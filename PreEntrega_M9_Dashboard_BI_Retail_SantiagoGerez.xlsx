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nicolasalderete/Desktop/"/>
    </mc:Choice>
  </mc:AlternateContent>
  <xr:revisionPtr revIDLastSave="0" documentId="13_ncr:1_{6452AB53-EB4F-8041-986E-E734FDC60451}" xr6:coauthVersionLast="47" xr6:coauthVersionMax="47" xr10:uidLastSave="{00000000-0000-0000-0000-000000000000}"/>
  <bookViews>
    <workbookView xWindow="0" yWindow="600" windowWidth="44800" windowHeight="23320" tabRatio="500" xr2:uid="{00000000-000D-0000-FFFF-FFFF00000000}"/>
  </bookViews>
  <sheets>
    <sheet name="Dashboard" sheetId="1" r:id="rId1"/>
    <sheet name="Datos" sheetId="2" r:id="rId2"/>
    <sheet name="Cálculos" sheetId="3" r:id="rId3"/>
    <sheet name="Análisis" sheetId="4" r:id="rId4"/>
    <sheet name="Configuración" sheetId="5" r:id="rId5"/>
  </sheets>
  <definedNames>
    <definedName name="_xlnm._FilterDatabase" localSheetId="1" hidden="1">Datos!$A$1:$S$2089</definedName>
    <definedName name="_xlnm.Print_Area" localSheetId="3">Análisis!$B$1:$G$37</definedName>
    <definedName name="_xlnm.Print_Area" localSheetId="0">Dashboard!$B$1:$S$74</definedName>
    <definedName name="lst_FiltroCategoria">Configuración!$K$6:$K$11</definedName>
    <definedName name="lst_FiltroRegion">Configuración!$M$6:$M$11</definedName>
    <definedName name="lst_FiltroSucursal">Configuración!$O$6:$O$16</definedName>
    <definedName name="lst_MesAb">Configuración!$I$6:$I$17</definedName>
    <definedName name="lst_Meses">Configuración!$H$6:$H$17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9" i="3" l="1"/>
  <c r="D48" i="3"/>
  <c r="D47" i="3"/>
  <c r="D46" i="3"/>
  <c r="D45" i="3"/>
  <c r="D44" i="3"/>
  <c r="D43" i="3"/>
  <c r="D42" i="3"/>
  <c r="D41" i="3"/>
  <c r="D40" i="3"/>
  <c r="D39" i="3"/>
  <c r="D38" i="3"/>
  <c r="D37" i="3"/>
  <c r="D36" i="3"/>
  <c r="D35" i="3"/>
  <c r="D34" i="3"/>
  <c r="D33" i="3"/>
  <c r="D32" i="3"/>
  <c r="C9" i="3"/>
  <c r="E9" i="3" s="1"/>
  <c r="C8" i="3"/>
  <c r="E8" i="3" s="1"/>
  <c r="C7" i="3"/>
  <c r="E7" i="3" s="1"/>
  <c r="H34" i="3" s="1"/>
  <c r="Q2089" i="2"/>
  <c r="O2089" i="2"/>
  <c r="R2089" i="2" s="1"/>
  <c r="S2089" i="2" s="1"/>
  <c r="E2089" i="2"/>
  <c r="D2089" i="2"/>
  <c r="C2089" i="2"/>
  <c r="B2089" i="2"/>
  <c r="Q2088" i="2"/>
  <c r="O2088" i="2"/>
  <c r="E2088" i="2"/>
  <c r="D2088" i="2"/>
  <c r="C2088" i="2"/>
  <c r="B2088" i="2"/>
  <c r="Q2087" i="2"/>
  <c r="O2087" i="2"/>
  <c r="R2087" i="2" s="1"/>
  <c r="S2087" i="2" s="1"/>
  <c r="E2087" i="2"/>
  <c r="D2087" i="2"/>
  <c r="C2087" i="2"/>
  <c r="B2087" i="2"/>
  <c r="Q2086" i="2"/>
  <c r="O2086" i="2"/>
  <c r="E2086" i="2"/>
  <c r="D2086" i="2"/>
  <c r="C2086" i="2"/>
  <c r="B2086" i="2"/>
  <c r="Q2085" i="2"/>
  <c r="O2085" i="2"/>
  <c r="R2085" i="2" s="1"/>
  <c r="S2085" i="2" s="1"/>
  <c r="E2085" i="2"/>
  <c r="D2085" i="2"/>
  <c r="C2085" i="2"/>
  <c r="B2085" i="2"/>
  <c r="S2084" i="2"/>
  <c r="Q2084" i="2"/>
  <c r="O2084" i="2"/>
  <c r="R2084" i="2" s="1"/>
  <c r="E2084" i="2"/>
  <c r="D2084" i="2"/>
  <c r="C2084" i="2"/>
  <c r="B2084" i="2"/>
  <c r="Q2083" i="2"/>
  <c r="O2083" i="2"/>
  <c r="E2083" i="2"/>
  <c r="D2083" i="2"/>
  <c r="C2083" i="2"/>
  <c r="B2083" i="2"/>
  <c r="Q2082" i="2"/>
  <c r="O2082" i="2"/>
  <c r="E2082" i="2"/>
  <c r="D2082" i="2"/>
  <c r="C2082" i="2"/>
  <c r="B2082" i="2"/>
  <c r="Q2081" i="2"/>
  <c r="O2081" i="2"/>
  <c r="R2081" i="2" s="1"/>
  <c r="S2081" i="2" s="1"/>
  <c r="E2081" i="2"/>
  <c r="D2081" i="2"/>
  <c r="C2081" i="2"/>
  <c r="B2081" i="2"/>
  <c r="Q2080" i="2"/>
  <c r="O2080" i="2"/>
  <c r="E2080" i="2"/>
  <c r="D2080" i="2"/>
  <c r="C2080" i="2"/>
  <c r="B2080" i="2"/>
  <c r="Q2079" i="2"/>
  <c r="O2079" i="2"/>
  <c r="R2079" i="2" s="1"/>
  <c r="S2079" i="2" s="1"/>
  <c r="E2079" i="2"/>
  <c r="D2079" i="2"/>
  <c r="C2079" i="2"/>
  <c r="B2079" i="2"/>
  <c r="Q2078" i="2"/>
  <c r="O2078" i="2"/>
  <c r="E2078" i="2"/>
  <c r="D2078" i="2"/>
  <c r="C2078" i="2"/>
  <c r="B2078" i="2"/>
  <c r="Q2077" i="2"/>
  <c r="O2077" i="2"/>
  <c r="R2077" i="2" s="1"/>
  <c r="S2077" i="2" s="1"/>
  <c r="E2077" i="2"/>
  <c r="D2077" i="2"/>
  <c r="C2077" i="2"/>
  <c r="B2077" i="2"/>
  <c r="S2076" i="2"/>
  <c r="Q2076" i="2"/>
  <c r="O2076" i="2"/>
  <c r="R2076" i="2" s="1"/>
  <c r="E2076" i="2"/>
  <c r="D2076" i="2"/>
  <c r="C2076" i="2"/>
  <c r="B2076" i="2"/>
  <c r="Q2075" i="2"/>
  <c r="O2075" i="2"/>
  <c r="E2075" i="2"/>
  <c r="D2075" i="2"/>
  <c r="C2075" i="2"/>
  <c r="B2075" i="2"/>
  <c r="Q2074" i="2"/>
  <c r="O2074" i="2"/>
  <c r="E2074" i="2"/>
  <c r="D2074" i="2"/>
  <c r="C2074" i="2"/>
  <c r="B2074" i="2"/>
  <c r="Q2073" i="2"/>
  <c r="O2073" i="2"/>
  <c r="R2073" i="2" s="1"/>
  <c r="S2073" i="2" s="1"/>
  <c r="E2073" i="2"/>
  <c r="D2073" i="2"/>
  <c r="C2073" i="2"/>
  <c r="B2073" i="2"/>
  <c r="Q2072" i="2"/>
  <c r="O2072" i="2"/>
  <c r="E2072" i="2"/>
  <c r="D2072" i="2"/>
  <c r="C2072" i="2"/>
  <c r="B2072" i="2"/>
  <c r="Q2071" i="2"/>
  <c r="O2071" i="2"/>
  <c r="R2071" i="2" s="1"/>
  <c r="S2071" i="2" s="1"/>
  <c r="E2071" i="2"/>
  <c r="D2071" i="2"/>
  <c r="C2071" i="2"/>
  <c r="B2071" i="2"/>
  <c r="Q2070" i="2"/>
  <c r="O2070" i="2"/>
  <c r="E2070" i="2"/>
  <c r="D2070" i="2"/>
  <c r="C2070" i="2"/>
  <c r="B2070" i="2"/>
  <c r="Q2069" i="2"/>
  <c r="O2069" i="2"/>
  <c r="R2069" i="2" s="1"/>
  <c r="S2069" i="2" s="1"/>
  <c r="E2069" i="2"/>
  <c r="D2069" i="2"/>
  <c r="C2069" i="2"/>
  <c r="B2069" i="2"/>
  <c r="S2068" i="2"/>
  <c r="Q2068" i="2"/>
  <c r="O2068" i="2"/>
  <c r="R2068" i="2" s="1"/>
  <c r="E2068" i="2"/>
  <c r="D2068" i="2"/>
  <c r="C2068" i="2"/>
  <c r="B2068" i="2"/>
  <c r="Q2067" i="2"/>
  <c r="O2067" i="2"/>
  <c r="E2067" i="2"/>
  <c r="D2067" i="2"/>
  <c r="C2067" i="2"/>
  <c r="B2067" i="2"/>
  <c r="Q2066" i="2"/>
  <c r="O2066" i="2"/>
  <c r="E2066" i="2"/>
  <c r="D2066" i="2"/>
  <c r="C2066" i="2"/>
  <c r="B2066" i="2"/>
  <c r="Q2065" i="2"/>
  <c r="O2065" i="2"/>
  <c r="R2065" i="2" s="1"/>
  <c r="S2065" i="2" s="1"/>
  <c r="E2065" i="2"/>
  <c r="D2065" i="2"/>
  <c r="C2065" i="2"/>
  <c r="B2065" i="2"/>
  <c r="Q2064" i="2"/>
  <c r="O2064" i="2"/>
  <c r="E2064" i="2"/>
  <c r="D2064" i="2"/>
  <c r="C2064" i="2"/>
  <c r="B2064" i="2"/>
  <c r="Q2063" i="2"/>
  <c r="O2063" i="2"/>
  <c r="R2063" i="2" s="1"/>
  <c r="S2063" i="2" s="1"/>
  <c r="E2063" i="2"/>
  <c r="D2063" i="2"/>
  <c r="C2063" i="2"/>
  <c r="B2063" i="2"/>
  <c r="Q2062" i="2"/>
  <c r="O2062" i="2"/>
  <c r="E2062" i="2"/>
  <c r="D2062" i="2"/>
  <c r="C2062" i="2"/>
  <c r="B2062" i="2"/>
  <c r="Q2061" i="2"/>
  <c r="O2061" i="2"/>
  <c r="R2061" i="2" s="1"/>
  <c r="S2061" i="2" s="1"/>
  <c r="E2061" i="2"/>
  <c r="D2061" i="2"/>
  <c r="C2061" i="2"/>
  <c r="B2061" i="2"/>
  <c r="S2060" i="2"/>
  <c r="Q2060" i="2"/>
  <c r="O2060" i="2"/>
  <c r="R2060" i="2" s="1"/>
  <c r="E2060" i="2"/>
  <c r="D2060" i="2"/>
  <c r="C2060" i="2"/>
  <c r="B2060" i="2"/>
  <c r="Q2059" i="2"/>
  <c r="O2059" i="2"/>
  <c r="E2059" i="2"/>
  <c r="D2059" i="2"/>
  <c r="C2059" i="2"/>
  <c r="B2059" i="2"/>
  <c r="Q2058" i="2"/>
  <c r="O2058" i="2"/>
  <c r="E2058" i="2"/>
  <c r="D2058" i="2"/>
  <c r="C2058" i="2"/>
  <c r="B2058" i="2"/>
  <c r="Q2057" i="2"/>
  <c r="O2057" i="2"/>
  <c r="R2057" i="2" s="1"/>
  <c r="S2057" i="2" s="1"/>
  <c r="E2057" i="2"/>
  <c r="D2057" i="2"/>
  <c r="C2057" i="2"/>
  <c r="B2057" i="2"/>
  <c r="Q2056" i="2"/>
  <c r="O2056" i="2"/>
  <c r="E2056" i="2"/>
  <c r="D2056" i="2"/>
  <c r="C2056" i="2"/>
  <c r="B2056" i="2"/>
  <c r="Q2055" i="2"/>
  <c r="O2055" i="2"/>
  <c r="R2055" i="2" s="1"/>
  <c r="S2055" i="2" s="1"/>
  <c r="E2055" i="2"/>
  <c r="D2055" i="2"/>
  <c r="C2055" i="2"/>
  <c r="B2055" i="2"/>
  <c r="Q2054" i="2"/>
  <c r="O2054" i="2"/>
  <c r="E2054" i="2"/>
  <c r="D2054" i="2"/>
  <c r="C2054" i="2"/>
  <c r="B2054" i="2"/>
  <c r="Q2053" i="2"/>
  <c r="O2053" i="2"/>
  <c r="R2053" i="2" s="1"/>
  <c r="S2053" i="2" s="1"/>
  <c r="E2053" i="2"/>
  <c r="D2053" i="2"/>
  <c r="C2053" i="2"/>
  <c r="B2053" i="2"/>
  <c r="S2052" i="2"/>
  <c r="Q2052" i="2"/>
  <c r="O2052" i="2"/>
  <c r="R2052" i="2" s="1"/>
  <c r="E2052" i="2"/>
  <c r="D2052" i="2"/>
  <c r="C2052" i="2"/>
  <c r="B2052" i="2"/>
  <c r="Q2051" i="2"/>
  <c r="O2051" i="2"/>
  <c r="E2051" i="2"/>
  <c r="D2051" i="2"/>
  <c r="C2051" i="2"/>
  <c r="B2051" i="2"/>
  <c r="R2050" i="2"/>
  <c r="S2050" i="2" s="1"/>
  <c r="Q2050" i="2"/>
  <c r="O2050" i="2"/>
  <c r="E2050" i="2"/>
  <c r="D2050" i="2"/>
  <c r="C2050" i="2"/>
  <c r="B2050" i="2"/>
  <c r="R2049" i="2"/>
  <c r="S2049" i="2" s="1"/>
  <c r="Q2049" i="2"/>
  <c r="O2049" i="2"/>
  <c r="E2049" i="2"/>
  <c r="D2049" i="2"/>
  <c r="C2049" i="2"/>
  <c r="B2049" i="2"/>
  <c r="R2048" i="2"/>
  <c r="S2048" i="2" s="1"/>
  <c r="Q2048" i="2"/>
  <c r="O2048" i="2"/>
  <c r="E2048" i="2"/>
  <c r="D2048" i="2"/>
  <c r="C2048" i="2"/>
  <c r="B2048" i="2"/>
  <c r="R2047" i="2"/>
  <c r="S2047" i="2" s="1"/>
  <c r="Q2047" i="2"/>
  <c r="O2047" i="2"/>
  <c r="E2047" i="2"/>
  <c r="D2047" i="2"/>
  <c r="C2047" i="2"/>
  <c r="B2047" i="2"/>
  <c r="R2046" i="2"/>
  <c r="S2046" i="2" s="1"/>
  <c r="Q2046" i="2"/>
  <c r="O2046" i="2"/>
  <c r="E2046" i="2"/>
  <c r="D2046" i="2"/>
  <c r="C2046" i="2"/>
  <c r="B2046" i="2"/>
  <c r="R2045" i="2"/>
  <c r="S2045" i="2" s="1"/>
  <c r="Q2045" i="2"/>
  <c r="O2045" i="2"/>
  <c r="E2045" i="2"/>
  <c r="D2045" i="2"/>
  <c r="C2045" i="2"/>
  <c r="B2045" i="2"/>
  <c r="R2044" i="2"/>
  <c r="S2044" i="2" s="1"/>
  <c r="Q2044" i="2"/>
  <c r="O2044" i="2"/>
  <c r="E2044" i="2"/>
  <c r="D2044" i="2"/>
  <c r="C2044" i="2"/>
  <c r="B2044" i="2"/>
  <c r="R2043" i="2"/>
  <c r="S2043" i="2" s="1"/>
  <c r="Q2043" i="2"/>
  <c r="O2043" i="2"/>
  <c r="E2043" i="2"/>
  <c r="D2043" i="2"/>
  <c r="C2043" i="2"/>
  <c r="B2043" i="2"/>
  <c r="R2042" i="2"/>
  <c r="S2042" i="2" s="1"/>
  <c r="Q2042" i="2"/>
  <c r="O2042" i="2"/>
  <c r="E2042" i="2"/>
  <c r="D2042" i="2"/>
  <c r="C2042" i="2"/>
  <c r="B2042" i="2"/>
  <c r="R2041" i="2"/>
  <c r="S2041" i="2" s="1"/>
  <c r="Q2041" i="2"/>
  <c r="O2041" i="2"/>
  <c r="E2041" i="2"/>
  <c r="D2041" i="2"/>
  <c r="C2041" i="2"/>
  <c r="B2041" i="2"/>
  <c r="R2040" i="2"/>
  <c r="S2040" i="2" s="1"/>
  <c r="Q2040" i="2"/>
  <c r="O2040" i="2"/>
  <c r="E2040" i="2"/>
  <c r="D2040" i="2"/>
  <c r="C2040" i="2"/>
  <c r="B2040" i="2"/>
  <c r="R2039" i="2"/>
  <c r="S2039" i="2" s="1"/>
  <c r="Q2039" i="2"/>
  <c r="O2039" i="2"/>
  <c r="E2039" i="2"/>
  <c r="D2039" i="2"/>
  <c r="C2039" i="2"/>
  <c r="B2039" i="2"/>
  <c r="R2038" i="2"/>
  <c r="S2038" i="2" s="1"/>
  <c r="Q2038" i="2"/>
  <c r="O2038" i="2"/>
  <c r="E2038" i="2"/>
  <c r="D2038" i="2"/>
  <c r="C2038" i="2"/>
  <c r="B2038" i="2"/>
  <c r="R2037" i="2"/>
  <c r="S2037" i="2" s="1"/>
  <c r="Q2037" i="2"/>
  <c r="O2037" i="2"/>
  <c r="E2037" i="2"/>
  <c r="D2037" i="2"/>
  <c r="C2037" i="2"/>
  <c r="B2037" i="2"/>
  <c r="R2036" i="2"/>
  <c r="S2036" i="2" s="1"/>
  <c r="Q2036" i="2"/>
  <c r="O2036" i="2"/>
  <c r="E2036" i="2"/>
  <c r="D2036" i="2"/>
  <c r="C2036" i="2"/>
  <c r="B2036" i="2"/>
  <c r="R2035" i="2"/>
  <c r="S2035" i="2" s="1"/>
  <c r="Q2035" i="2"/>
  <c r="O2035" i="2"/>
  <c r="E2035" i="2"/>
  <c r="D2035" i="2"/>
  <c r="C2035" i="2"/>
  <c r="B2035" i="2"/>
  <c r="R2034" i="2"/>
  <c r="S2034" i="2" s="1"/>
  <c r="Q2034" i="2"/>
  <c r="O2034" i="2"/>
  <c r="E2034" i="2"/>
  <c r="D2034" i="2"/>
  <c r="C2034" i="2"/>
  <c r="B2034" i="2"/>
  <c r="R2033" i="2"/>
  <c r="S2033" i="2" s="1"/>
  <c r="Q2033" i="2"/>
  <c r="O2033" i="2"/>
  <c r="E2033" i="2"/>
  <c r="D2033" i="2"/>
  <c r="C2033" i="2"/>
  <c r="B2033" i="2"/>
  <c r="R2032" i="2"/>
  <c r="S2032" i="2" s="1"/>
  <c r="Q2032" i="2"/>
  <c r="O2032" i="2"/>
  <c r="E2032" i="2"/>
  <c r="D2032" i="2"/>
  <c r="C2032" i="2"/>
  <c r="B2032" i="2"/>
  <c r="R2031" i="2"/>
  <c r="S2031" i="2" s="1"/>
  <c r="Q2031" i="2"/>
  <c r="O2031" i="2"/>
  <c r="E2031" i="2"/>
  <c r="D2031" i="2"/>
  <c r="C2031" i="2"/>
  <c r="B2031" i="2"/>
  <c r="R2030" i="2"/>
  <c r="S2030" i="2" s="1"/>
  <c r="Q2030" i="2"/>
  <c r="O2030" i="2"/>
  <c r="E2030" i="2"/>
  <c r="D2030" i="2"/>
  <c r="C2030" i="2"/>
  <c r="B2030" i="2"/>
  <c r="R2029" i="2"/>
  <c r="S2029" i="2" s="1"/>
  <c r="Q2029" i="2"/>
  <c r="O2029" i="2"/>
  <c r="E2029" i="2"/>
  <c r="D2029" i="2"/>
  <c r="C2029" i="2"/>
  <c r="B2029" i="2"/>
  <c r="R2028" i="2"/>
  <c r="S2028" i="2" s="1"/>
  <c r="Q2028" i="2"/>
  <c r="O2028" i="2"/>
  <c r="E2028" i="2"/>
  <c r="D2028" i="2"/>
  <c r="C2028" i="2"/>
  <c r="B2028" i="2"/>
  <c r="R2027" i="2"/>
  <c r="S2027" i="2" s="1"/>
  <c r="Q2027" i="2"/>
  <c r="O2027" i="2"/>
  <c r="E2027" i="2"/>
  <c r="D2027" i="2"/>
  <c r="C2027" i="2"/>
  <c r="B2027" i="2"/>
  <c r="R2026" i="2"/>
  <c r="S2026" i="2" s="1"/>
  <c r="Q2026" i="2"/>
  <c r="O2026" i="2"/>
  <c r="E2026" i="2"/>
  <c r="D2026" i="2"/>
  <c r="C2026" i="2"/>
  <c r="B2026" i="2"/>
  <c r="R2025" i="2"/>
  <c r="S2025" i="2" s="1"/>
  <c r="Q2025" i="2"/>
  <c r="O2025" i="2"/>
  <c r="E2025" i="2"/>
  <c r="D2025" i="2"/>
  <c r="C2025" i="2"/>
  <c r="B2025" i="2"/>
  <c r="R2024" i="2"/>
  <c r="S2024" i="2" s="1"/>
  <c r="Q2024" i="2"/>
  <c r="O2024" i="2"/>
  <c r="E2024" i="2"/>
  <c r="D2024" i="2"/>
  <c r="C2024" i="2"/>
  <c r="B2024" i="2"/>
  <c r="R2023" i="2"/>
  <c r="S2023" i="2" s="1"/>
  <c r="Q2023" i="2"/>
  <c r="O2023" i="2"/>
  <c r="E2023" i="2"/>
  <c r="D2023" i="2"/>
  <c r="C2023" i="2"/>
  <c r="B2023" i="2"/>
  <c r="R2022" i="2"/>
  <c r="S2022" i="2" s="1"/>
  <c r="Q2022" i="2"/>
  <c r="O2022" i="2"/>
  <c r="E2022" i="2"/>
  <c r="D2022" i="2"/>
  <c r="C2022" i="2"/>
  <c r="B2022" i="2"/>
  <c r="R2021" i="2"/>
  <c r="S2021" i="2" s="1"/>
  <c r="Q2021" i="2"/>
  <c r="O2021" i="2"/>
  <c r="E2021" i="2"/>
  <c r="D2021" i="2"/>
  <c r="C2021" i="2"/>
  <c r="B2021" i="2"/>
  <c r="R2020" i="2"/>
  <c r="S2020" i="2" s="1"/>
  <c r="Q2020" i="2"/>
  <c r="O2020" i="2"/>
  <c r="E2020" i="2"/>
  <c r="D2020" i="2"/>
  <c r="C2020" i="2"/>
  <c r="B2020" i="2"/>
  <c r="R2019" i="2"/>
  <c r="S2019" i="2" s="1"/>
  <c r="Q2019" i="2"/>
  <c r="O2019" i="2"/>
  <c r="E2019" i="2"/>
  <c r="D2019" i="2"/>
  <c r="C2019" i="2"/>
  <c r="B2019" i="2"/>
  <c r="R2018" i="2"/>
  <c r="S2018" i="2" s="1"/>
  <c r="Q2018" i="2"/>
  <c r="O2018" i="2"/>
  <c r="E2018" i="2"/>
  <c r="D2018" i="2"/>
  <c r="C2018" i="2"/>
  <c r="B2018" i="2"/>
  <c r="R2017" i="2"/>
  <c r="S2017" i="2" s="1"/>
  <c r="Q2017" i="2"/>
  <c r="O2017" i="2"/>
  <c r="E2017" i="2"/>
  <c r="D2017" i="2"/>
  <c r="C2017" i="2"/>
  <c r="B2017" i="2"/>
  <c r="R2016" i="2"/>
  <c r="S2016" i="2" s="1"/>
  <c r="Q2016" i="2"/>
  <c r="O2016" i="2"/>
  <c r="E2016" i="2"/>
  <c r="D2016" i="2"/>
  <c r="C2016" i="2"/>
  <c r="B2016" i="2"/>
  <c r="R2015" i="2"/>
  <c r="S2015" i="2" s="1"/>
  <c r="Q2015" i="2"/>
  <c r="O2015" i="2"/>
  <c r="E2015" i="2"/>
  <c r="D2015" i="2"/>
  <c r="C2015" i="2"/>
  <c r="B2015" i="2"/>
  <c r="R2014" i="2"/>
  <c r="S2014" i="2" s="1"/>
  <c r="Q2014" i="2"/>
  <c r="O2014" i="2"/>
  <c r="E2014" i="2"/>
  <c r="D2014" i="2"/>
  <c r="C2014" i="2"/>
  <c r="B2014" i="2"/>
  <c r="R2013" i="2"/>
  <c r="S2013" i="2" s="1"/>
  <c r="Q2013" i="2"/>
  <c r="O2013" i="2"/>
  <c r="E2013" i="2"/>
  <c r="D2013" i="2"/>
  <c r="C2013" i="2"/>
  <c r="B2013" i="2"/>
  <c r="R2012" i="2"/>
  <c r="S2012" i="2" s="1"/>
  <c r="Q2012" i="2"/>
  <c r="O2012" i="2"/>
  <c r="E2012" i="2"/>
  <c r="D2012" i="2"/>
  <c r="C2012" i="2"/>
  <c r="B2012" i="2"/>
  <c r="R2011" i="2"/>
  <c r="S2011" i="2" s="1"/>
  <c r="Q2011" i="2"/>
  <c r="O2011" i="2"/>
  <c r="E2011" i="2"/>
  <c r="D2011" i="2"/>
  <c r="C2011" i="2"/>
  <c r="B2011" i="2"/>
  <c r="R2010" i="2"/>
  <c r="S2010" i="2" s="1"/>
  <c r="Q2010" i="2"/>
  <c r="O2010" i="2"/>
  <c r="E2010" i="2"/>
  <c r="D2010" i="2"/>
  <c r="C2010" i="2"/>
  <c r="B2010" i="2"/>
  <c r="R2009" i="2"/>
  <c r="S2009" i="2" s="1"/>
  <c r="Q2009" i="2"/>
  <c r="O2009" i="2"/>
  <c r="E2009" i="2"/>
  <c r="D2009" i="2"/>
  <c r="C2009" i="2"/>
  <c r="B2009" i="2"/>
  <c r="R2008" i="2"/>
  <c r="S2008" i="2" s="1"/>
  <c r="Q2008" i="2"/>
  <c r="O2008" i="2"/>
  <c r="E2008" i="2"/>
  <c r="D2008" i="2"/>
  <c r="C2008" i="2"/>
  <c r="B2008" i="2"/>
  <c r="R2007" i="2"/>
  <c r="S2007" i="2" s="1"/>
  <c r="Q2007" i="2"/>
  <c r="O2007" i="2"/>
  <c r="E2007" i="2"/>
  <c r="D2007" i="2"/>
  <c r="C2007" i="2"/>
  <c r="B2007" i="2"/>
  <c r="R2006" i="2"/>
  <c r="S2006" i="2" s="1"/>
  <c r="Q2006" i="2"/>
  <c r="O2006" i="2"/>
  <c r="E2006" i="2"/>
  <c r="D2006" i="2"/>
  <c r="C2006" i="2"/>
  <c r="B2006" i="2"/>
  <c r="R2005" i="2"/>
  <c r="S2005" i="2" s="1"/>
  <c r="Q2005" i="2"/>
  <c r="O2005" i="2"/>
  <c r="E2005" i="2"/>
  <c r="D2005" i="2"/>
  <c r="C2005" i="2"/>
  <c r="B2005" i="2"/>
  <c r="R2004" i="2"/>
  <c r="S2004" i="2" s="1"/>
  <c r="Q2004" i="2"/>
  <c r="O2004" i="2"/>
  <c r="E2004" i="2"/>
  <c r="D2004" i="2"/>
  <c r="C2004" i="2"/>
  <c r="B2004" i="2"/>
  <c r="R2003" i="2"/>
  <c r="S2003" i="2" s="1"/>
  <c r="Q2003" i="2"/>
  <c r="O2003" i="2"/>
  <c r="E2003" i="2"/>
  <c r="D2003" i="2"/>
  <c r="C2003" i="2"/>
  <c r="B2003" i="2"/>
  <c r="R2002" i="2"/>
  <c r="S2002" i="2" s="1"/>
  <c r="Q2002" i="2"/>
  <c r="O2002" i="2"/>
  <c r="E2002" i="2"/>
  <c r="D2002" i="2"/>
  <c r="C2002" i="2"/>
  <c r="B2002" i="2"/>
  <c r="R2001" i="2"/>
  <c r="S2001" i="2" s="1"/>
  <c r="Q2001" i="2"/>
  <c r="O2001" i="2"/>
  <c r="E2001" i="2"/>
  <c r="D2001" i="2"/>
  <c r="C2001" i="2"/>
  <c r="B2001" i="2"/>
  <c r="R2000" i="2"/>
  <c r="S2000" i="2" s="1"/>
  <c r="Q2000" i="2"/>
  <c r="O2000" i="2"/>
  <c r="E2000" i="2"/>
  <c r="D2000" i="2"/>
  <c r="C2000" i="2"/>
  <c r="B2000" i="2"/>
  <c r="R1999" i="2"/>
  <c r="S1999" i="2" s="1"/>
  <c r="Q1999" i="2"/>
  <c r="O1999" i="2"/>
  <c r="E1999" i="2"/>
  <c r="D1999" i="2"/>
  <c r="C1999" i="2"/>
  <c r="B1999" i="2"/>
  <c r="R1998" i="2"/>
  <c r="S1998" i="2" s="1"/>
  <c r="Q1998" i="2"/>
  <c r="O1998" i="2"/>
  <c r="E1998" i="2"/>
  <c r="D1998" i="2"/>
  <c r="C1998" i="2"/>
  <c r="B1998" i="2"/>
  <c r="R1997" i="2"/>
  <c r="S1997" i="2" s="1"/>
  <c r="Q1997" i="2"/>
  <c r="O1997" i="2"/>
  <c r="E1997" i="2"/>
  <c r="D1997" i="2"/>
  <c r="C1997" i="2"/>
  <c r="B1997" i="2"/>
  <c r="R1996" i="2"/>
  <c r="S1996" i="2" s="1"/>
  <c r="Q1996" i="2"/>
  <c r="O1996" i="2"/>
  <c r="E1996" i="2"/>
  <c r="D1996" i="2"/>
  <c r="C1996" i="2"/>
  <c r="B1996" i="2"/>
  <c r="R1995" i="2"/>
  <c r="S1995" i="2" s="1"/>
  <c r="Q1995" i="2"/>
  <c r="O1995" i="2"/>
  <c r="E1995" i="2"/>
  <c r="D1995" i="2"/>
  <c r="C1995" i="2"/>
  <c r="B1995" i="2"/>
  <c r="R1994" i="2"/>
  <c r="S1994" i="2" s="1"/>
  <c r="Q1994" i="2"/>
  <c r="O1994" i="2"/>
  <c r="E1994" i="2"/>
  <c r="D1994" i="2"/>
  <c r="C1994" i="2"/>
  <c r="B1994" i="2"/>
  <c r="R1993" i="2"/>
  <c r="S1993" i="2" s="1"/>
  <c r="Q1993" i="2"/>
  <c r="O1993" i="2"/>
  <c r="E1993" i="2"/>
  <c r="D1993" i="2"/>
  <c r="C1993" i="2"/>
  <c r="B1993" i="2"/>
  <c r="R1992" i="2"/>
  <c r="S1992" i="2" s="1"/>
  <c r="Q1992" i="2"/>
  <c r="O1992" i="2"/>
  <c r="E1992" i="2"/>
  <c r="D1992" i="2"/>
  <c r="C1992" i="2"/>
  <c r="B1992" i="2"/>
  <c r="R1991" i="2"/>
  <c r="S1991" i="2" s="1"/>
  <c r="Q1991" i="2"/>
  <c r="O1991" i="2"/>
  <c r="E1991" i="2"/>
  <c r="D1991" i="2"/>
  <c r="C1991" i="2"/>
  <c r="B1991" i="2"/>
  <c r="R1990" i="2"/>
  <c r="S1990" i="2" s="1"/>
  <c r="Q1990" i="2"/>
  <c r="O1990" i="2"/>
  <c r="E1990" i="2"/>
  <c r="D1990" i="2"/>
  <c r="C1990" i="2"/>
  <c r="B1990" i="2"/>
  <c r="R1989" i="2"/>
  <c r="S1989" i="2" s="1"/>
  <c r="Q1989" i="2"/>
  <c r="O1989" i="2"/>
  <c r="E1989" i="2"/>
  <c r="D1989" i="2"/>
  <c r="C1989" i="2"/>
  <c r="B1989" i="2"/>
  <c r="R1988" i="2"/>
  <c r="S1988" i="2" s="1"/>
  <c r="Q1988" i="2"/>
  <c r="O1988" i="2"/>
  <c r="E1988" i="2"/>
  <c r="D1988" i="2"/>
  <c r="C1988" i="2"/>
  <c r="B1988" i="2"/>
  <c r="R1987" i="2"/>
  <c r="S1987" i="2" s="1"/>
  <c r="Q1987" i="2"/>
  <c r="O1987" i="2"/>
  <c r="E1987" i="2"/>
  <c r="D1987" i="2"/>
  <c r="C1987" i="2"/>
  <c r="B1987" i="2"/>
  <c r="R1986" i="2"/>
  <c r="S1986" i="2" s="1"/>
  <c r="Q1986" i="2"/>
  <c r="O1986" i="2"/>
  <c r="E1986" i="2"/>
  <c r="D1986" i="2"/>
  <c r="C1986" i="2"/>
  <c r="B1986" i="2"/>
  <c r="R1985" i="2"/>
  <c r="S1985" i="2" s="1"/>
  <c r="Q1985" i="2"/>
  <c r="O1985" i="2"/>
  <c r="E1985" i="2"/>
  <c r="D1985" i="2"/>
  <c r="C1985" i="2"/>
  <c r="B1985" i="2"/>
  <c r="R1984" i="2"/>
  <c r="S1984" i="2" s="1"/>
  <c r="Q1984" i="2"/>
  <c r="O1984" i="2"/>
  <c r="E1984" i="2"/>
  <c r="D1984" i="2"/>
  <c r="C1984" i="2"/>
  <c r="B1984" i="2"/>
  <c r="R1983" i="2"/>
  <c r="S1983" i="2" s="1"/>
  <c r="Q1983" i="2"/>
  <c r="O1983" i="2"/>
  <c r="E1983" i="2"/>
  <c r="D1983" i="2"/>
  <c r="C1983" i="2"/>
  <c r="B1983" i="2"/>
  <c r="R1982" i="2"/>
  <c r="S1982" i="2" s="1"/>
  <c r="Q1982" i="2"/>
  <c r="O1982" i="2"/>
  <c r="E1982" i="2"/>
  <c r="D1982" i="2"/>
  <c r="C1982" i="2"/>
  <c r="B1982" i="2"/>
  <c r="R1981" i="2"/>
  <c r="S1981" i="2" s="1"/>
  <c r="Q1981" i="2"/>
  <c r="O1981" i="2"/>
  <c r="E1981" i="2"/>
  <c r="D1981" i="2"/>
  <c r="C1981" i="2"/>
  <c r="B1981" i="2"/>
  <c r="R1980" i="2"/>
  <c r="S1980" i="2" s="1"/>
  <c r="Q1980" i="2"/>
  <c r="O1980" i="2"/>
  <c r="E1980" i="2"/>
  <c r="D1980" i="2"/>
  <c r="C1980" i="2"/>
  <c r="B1980" i="2"/>
  <c r="S1979" i="2"/>
  <c r="R1979" i="2"/>
  <c r="Q1979" i="2"/>
  <c r="O1979" i="2"/>
  <c r="E1979" i="2"/>
  <c r="D1979" i="2"/>
  <c r="C1979" i="2"/>
  <c r="B1979" i="2"/>
  <c r="S1978" i="2"/>
  <c r="R1978" i="2"/>
  <c r="Q1978" i="2"/>
  <c r="O1978" i="2"/>
  <c r="E1978" i="2"/>
  <c r="D1978" i="2"/>
  <c r="C1978" i="2"/>
  <c r="B1978" i="2"/>
  <c r="S1977" i="2"/>
  <c r="R1977" i="2"/>
  <c r="Q1977" i="2"/>
  <c r="O1977" i="2"/>
  <c r="E1977" i="2"/>
  <c r="D1977" i="2"/>
  <c r="C1977" i="2"/>
  <c r="B1977" i="2"/>
  <c r="S1976" i="2"/>
  <c r="R1976" i="2"/>
  <c r="Q1976" i="2"/>
  <c r="O1976" i="2"/>
  <c r="E1976" i="2"/>
  <c r="D1976" i="2"/>
  <c r="C1976" i="2"/>
  <c r="B1976" i="2"/>
  <c r="S1975" i="2"/>
  <c r="R1975" i="2"/>
  <c r="Q1975" i="2"/>
  <c r="O1975" i="2"/>
  <c r="E1975" i="2"/>
  <c r="D1975" i="2"/>
  <c r="C1975" i="2"/>
  <c r="B1975" i="2"/>
  <c r="S1974" i="2"/>
  <c r="R1974" i="2"/>
  <c r="Q1974" i="2"/>
  <c r="O1974" i="2"/>
  <c r="E1974" i="2"/>
  <c r="D1974" i="2"/>
  <c r="C1974" i="2"/>
  <c r="B1974" i="2"/>
  <c r="S1973" i="2"/>
  <c r="R1973" i="2"/>
  <c r="Q1973" i="2"/>
  <c r="O1973" i="2"/>
  <c r="E1973" i="2"/>
  <c r="D1973" i="2"/>
  <c r="C1973" i="2"/>
  <c r="B1973" i="2"/>
  <c r="S1972" i="2"/>
  <c r="R1972" i="2"/>
  <c r="Q1972" i="2"/>
  <c r="O1972" i="2"/>
  <c r="E1972" i="2"/>
  <c r="D1972" i="2"/>
  <c r="C1972" i="2"/>
  <c r="B1972" i="2"/>
  <c r="S1971" i="2"/>
  <c r="R1971" i="2"/>
  <c r="Q1971" i="2"/>
  <c r="O1971" i="2"/>
  <c r="E1971" i="2"/>
  <c r="D1971" i="2"/>
  <c r="C1971" i="2"/>
  <c r="B1971" i="2"/>
  <c r="S1970" i="2"/>
  <c r="R1970" i="2"/>
  <c r="Q1970" i="2"/>
  <c r="O1970" i="2"/>
  <c r="E1970" i="2"/>
  <c r="D1970" i="2"/>
  <c r="C1970" i="2"/>
  <c r="B1970" i="2"/>
  <c r="S1969" i="2"/>
  <c r="R1969" i="2"/>
  <c r="Q1969" i="2"/>
  <c r="O1969" i="2"/>
  <c r="E1969" i="2"/>
  <c r="D1969" i="2"/>
  <c r="C1969" i="2"/>
  <c r="B1969" i="2"/>
  <c r="S1968" i="2"/>
  <c r="R1968" i="2"/>
  <c r="Q1968" i="2"/>
  <c r="O1968" i="2"/>
  <c r="E1968" i="2"/>
  <c r="D1968" i="2"/>
  <c r="C1968" i="2"/>
  <c r="B1968" i="2"/>
  <c r="S1967" i="2"/>
  <c r="R1967" i="2"/>
  <c r="Q1967" i="2"/>
  <c r="O1967" i="2"/>
  <c r="E1967" i="2"/>
  <c r="D1967" i="2"/>
  <c r="C1967" i="2"/>
  <c r="B1967" i="2"/>
  <c r="S1966" i="2"/>
  <c r="R1966" i="2"/>
  <c r="Q1966" i="2"/>
  <c r="O1966" i="2"/>
  <c r="E1966" i="2"/>
  <c r="D1966" i="2"/>
  <c r="C1966" i="2"/>
  <c r="B1966" i="2"/>
  <c r="S1965" i="2"/>
  <c r="R1965" i="2"/>
  <c r="Q1965" i="2"/>
  <c r="O1965" i="2"/>
  <c r="E1965" i="2"/>
  <c r="D1965" i="2"/>
  <c r="C1965" i="2"/>
  <c r="B1965" i="2"/>
  <c r="S1964" i="2"/>
  <c r="R1964" i="2"/>
  <c r="Q1964" i="2"/>
  <c r="O1964" i="2"/>
  <c r="E1964" i="2"/>
  <c r="D1964" i="2"/>
  <c r="C1964" i="2"/>
  <c r="B1964" i="2"/>
  <c r="S1963" i="2"/>
  <c r="R1963" i="2"/>
  <c r="Q1963" i="2"/>
  <c r="O1963" i="2"/>
  <c r="E1963" i="2"/>
  <c r="D1963" i="2"/>
  <c r="C1963" i="2"/>
  <c r="B1963" i="2"/>
  <c r="S1962" i="2"/>
  <c r="R1962" i="2"/>
  <c r="Q1962" i="2"/>
  <c r="O1962" i="2"/>
  <c r="E1962" i="2"/>
  <c r="D1962" i="2"/>
  <c r="C1962" i="2"/>
  <c r="B1962" i="2"/>
  <c r="S1961" i="2"/>
  <c r="R1961" i="2"/>
  <c r="Q1961" i="2"/>
  <c r="O1961" i="2"/>
  <c r="E1961" i="2"/>
  <c r="D1961" i="2"/>
  <c r="C1961" i="2"/>
  <c r="B1961" i="2"/>
  <c r="S1960" i="2"/>
  <c r="R1960" i="2"/>
  <c r="Q1960" i="2"/>
  <c r="O1960" i="2"/>
  <c r="E1960" i="2"/>
  <c r="D1960" i="2"/>
  <c r="C1960" i="2"/>
  <c r="B1960" i="2"/>
  <c r="S1959" i="2"/>
  <c r="R1959" i="2"/>
  <c r="Q1959" i="2"/>
  <c r="O1959" i="2"/>
  <c r="E1959" i="2"/>
  <c r="D1959" i="2"/>
  <c r="C1959" i="2"/>
  <c r="B1959" i="2"/>
  <c r="S1958" i="2"/>
  <c r="R1958" i="2"/>
  <c r="Q1958" i="2"/>
  <c r="O1958" i="2"/>
  <c r="E1958" i="2"/>
  <c r="D1958" i="2"/>
  <c r="C1958" i="2"/>
  <c r="B1958" i="2"/>
  <c r="S1957" i="2"/>
  <c r="R1957" i="2"/>
  <c r="Q1957" i="2"/>
  <c r="O1957" i="2"/>
  <c r="E1957" i="2"/>
  <c r="D1957" i="2"/>
  <c r="C1957" i="2"/>
  <c r="B1957" i="2"/>
  <c r="S1956" i="2"/>
  <c r="R1956" i="2"/>
  <c r="Q1956" i="2"/>
  <c r="O1956" i="2"/>
  <c r="E1956" i="2"/>
  <c r="D1956" i="2"/>
  <c r="C1956" i="2"/>
  <c r="B1956" i="2"/>
  <c r="S1955" i="2"/>
  <c r="R1955" i="2"/>
  <c r="Q1955" i="2"/>
  <c r="O1955" i="2"/>
  <c r="E1955" i="2"/>
  <c r="D1955" i="2"/>
  <c r="C1955" i="2"/>
  <c r="B1955" i="2"/>
  <c r="S1954" i="2"/>
  <c r="R1954" i="2"/>
  <c r="Q1954" i="2"/>
  <c r="O1954" i="2"/>
  <c r="E1954" i="2"/>
  <c r="D1954" i="2"/>
  <c r="C1954" i="2"/>
  <c r="B1954" i="2"/>
  <c r="S1953" i="2"/>
  <c r="R1953" i="2"/>
  <c r="Q1953" i="2"/>
  <c r="O1953" i="2"/>
  <c r="E1953" i="2"/>
  <c r="D1953" i="2"/>
  <c r="C1953" i="2"/>
  <c r="B1953" i="2"/>
  <c r="S1952" i="2"/>
  <c r="R1952" i="2"/>
  <c r="Q1952" i="2"/>
  <c r="O1952" i="2"/>
  <c r="E1952" i="2"/>
  <c r="D1952" i="2"/>
  <c r="C1952" i="2"/>
  <c r="B1952" i="2"/>
  <c r="S1951" i="2"/>
  <c r="R1951" i="2"/>
  <c r="Q1951" i="2"/>
  <c r="O1951" i="2"/>
  <c r="E1951" i="2"/>
  <c r="D1951" i="2"/>
  <c r="C1951" i="2"/>
  <c r="B1951" i="2"/>
  <c r="S1950" i="2"/>
  <c r="R1950" i="2"/>
  <c r="Q1950" i="2"/>
  <c r="O1950" i="2"/>
  <c r="E1950" i="2"/>
  <c r="D1950" i="2"/>
  <c r="C1950" i="2"/>
  <c r="B1950" i="2"/>
  <c r="S1949" i="2"/>
  <c r="R1949" i="2"/>
  <c r="Q1949" i="2"/>
  <c r="O1949" i="2"/>
  <c r="E1949" i="2"/>
  <c r="D1949" i="2"/>
  <c r="C1949" i="2"/>
  <c r="B1949" i="2"/>
  <c r="S1948" i="2"/>
  <c r="R1948" i="2"/>
  <c r="Q1948" i="2"/>
  <c r="O1948" i="2"/>
  <c r="E1948" i="2"/>
  <c r="D1948" i="2"/>
  <c r="C1948" i="2"/>
  <c r="B1948" i="2"/>
  <c r="S1947" i="2"/>
  <c r="R1947" i="2"/>
  <c r="Q1947" i="2"/>
  <c r="O1947" i="2"/>
  <c r="E1947" i="2"/>
  <c r="D1947" i="2"/>
  <c r="C1947" i="2"/>
  <c r="B1947" i="2"/>
  <c r="S1946" i="2"/>
  <c r="R1946" i="2"/>
  <c r="Q1946" i="2"/>
  <c r="O1946" i="2"/>
  <c r="E1946" i="2"/>
  <c r="D1946" i="2"/>
  <c r="C1946" i="2"/>
  <c r="B1946" i="2"/>
  <c r="S1945" i="2"/>
  <c r="R1945" i="2"/>
  <c r="Q1945" i="2"/>
  <c r="O1945" i="2"/>
  <c r="E1945" i="2"/>
  <c r="D1945" i="2"/>
  <c r="C1945" i="2"/>
  <c r="B1945" i="2"/>
  <c r="S1944" i="2"/>
  <c r="R1944" i="2"/>
  <c r="Q1944" i="2"/>
  <c r="O1944" i="2"/>
  <c r="E1944" i="2"/>
  <c r="D1944" i="2"/>
  <c r="C1944" i="2"/>
  <c r="B1944" i="2"/>
  <c r="S1943" i="2"/>
  <c r="R1943" i="2"/>
  <c r="Q1943" i="2"/>
  <c r="O1943" i="2"/>
  <c r="E1943" i="2"/>
  <c r="D1943" i="2"/>
  <c r="C1943" i="2"/>
  <c r="B1943" i="2"/>
  <c r="S1942" i="2"/>
  <c r="R1942" i="2"/>
  <c r="Q1942" i="2"/>
  <c r="O1942" i="2"/>
  <c r="E1942" i="2"/>
  <c r="D1942" i="2"/>
  <c r="C1942" i="2"/>
  <c r="B1942" i="2"/>
  <c r="S1941" i="2"/>
  <c r="R1941" i="2"/>
  <c r="Q1941" i="2"/>
  <c r="O1941" i="2"/>
  <c r="E1941" i="2"/>
  <c r="D1941" i="2"/>
  <c r="C1941" i="2"/>
  <c r="B1941" i="2"/>
  <c r="S1940" i="2"/>
  <c r="R1940" i="2"/>
  <c r="Q1940" i="2"/>
  <c r="O1940" i="2"/>
  <c r="E1940" i="2"/>
  <c r="D1940" i="2"/>
  <c r="C1940" i="2"/>
  <c r="B1940" i="2"/>
  <c r="S1939" i="2"/>
  <c r="R1939" i="2"/>
  <c r="Q1939" i="2"/>
  <c r="O1939" i="2"/>
  <c r="E1939" i="2"/>
  <c r="D1939" i="2"/>
  <c r="C1939" i="2"/>
  <c r="B1939" i="2"/>
  <c r="S1938" i="2"/>
  <c r="R1938" i="2"/>
  <c r="Q1938" i="2"/>
  <c r="O1938" i="2"/>
  <c r="E1938" i="2"/>
  <c r="D1938" i="2"/>
  <c r="C1938" i="2"/>
  <c r="B1938" i="2"/>
  <c r="S1937" i="2"/>
  <c r="R1937" i="2"/>
  <c r="Q1937" i="2"/>
  <c r="O1937" i="2"/>
  <c r="E1937" i="2"/>
  <c r="D1937" i="2"/>
  <c r="C1937" i="2"/>
  <c r="B1937" i="2"/>
  <c r="S1936" i="2"/>
  <c r="R1936" i="2"/>
  <c r="Q1936" i="2"/>
  <c r="O1936" i="2"/>
  <c r="E1936" i="2"/>
  <c r="D1936" i="2"/>
  <c r="C1936" i="2"/>
  <c r="B1936" i="2"/>
  <c r="S1935" i="2"/>
  <c r="R1935" i="2"/>
  <c r="Q1935" i="2"/>
  <c r="O1935" i="2"/>
  <c r="E1935" i="2"/>
  <c r="D1935" i="2"/>
  <c r="C1935" i="2"/>
  <c r="B1935" i="2"/>
  <c r="S1934" i="2"/>
  <c r="R1934" i="2"/>
  <c r="Q1934" i="2"/>
  <c r="O1934" i="2"/>
  <c r="E1934" i="2"/>
  <c r="D1934" i="2"/>
  <c r="C1934" i="2"/>
  <c r="B1934" i="2"/>
  <c r="S1933" i="2"/>
  <c r="R1933" i="2"/>
  <c r="Q1933" i="2"/>
  <c r="O1933" i="2"/>
  <c r="E1933" i="2"/>
  <c r="D1933" i="2"/>
  <c r="C1933" i="2"/>
  <c r="B1933" i="2"/>
  <c r="S1932" i="2"/>
  <c r="R1932" i="2"/>
  <c r="Q1932" i="2"/>
  <c r="O1932" i="2"/>
  <c r="E1932" i="2"/>
  <c r="D1932" i="2"/>
  <c r="C1932" i="2"/>
  <c r="B1932" i="2"/>
  <c r="S1931" i="2"/>
  <c r="R1931" i="2"/>
  <c r="Q1931" i="2"/>
  <c r="O1931" i="2"/>
  <c r="E1931" i="2"/>
  <c r="D1931" i="2"/>
  <c r="C1931" i="2"/>
  <c r="B1931" i="2"/>
  <c r="S1930" i="2"/>
  <c r="R1930" i="2"/>
  <c r="Q1930" i="2"/>
  <c r="O1930" i="2"/>
  <c r="E1930" i="2"/>
  <c r="D1930" i="2"/>
  <c r="C1930" i="2"/>
  <c r="B1930" i="2"/>
  <c r="S1929" i="2"/>
  <c r="R1929" i="2"/>
  <c r="Q1929" i="2"/>
  <c r="O1929" i="2"/>
  <c r="E1929" i="2"/>
  <c r="D1929" i="2"/>
  <c r="C1929" i="2"/>
  <c r="B1929" i="2"/>
  <c r="S1928" i="2"/>
  <c r="R1928" i="2"/>
  <c r="Q1928" i="2"/>
  <c r="O1928" i="2"/>
  <c r="E1928" i="2"/>
  <c r="D1928" i="2"/>
  <c r="C1928" i="2"/>
  <c r="B1928" i="2"/>
  <c r="S1927" i="2"/>
  <c r="R1927" i="2"/>
  <c r="Q1927" i="2"/>
  <c r="O1927" i="2"/>
  <c r="E1927" i="2"/>
  <c r="D1927" i="2"/>
  <c r="C1927" i="2"/>
  <c r="B1927" i="2"/>
  <c r="S1926" i="2"/>
  <c r="R1926" i="2"/>
  <c r="Q1926" i="2"/>
  <c r="O1926" i="2"/>
  <c r="E1926" i="2"/>
  <c r="D1926" i="2"/>
  <c r="C1926" i="2"/>
  <c r="B1926" i="2"/>
  <c r="S1925" i="2"/>
  <c r="R1925" i="2"/>
  <c r="Q1925" i="2"/>
  <c r="O1925" i="2"/>
  <c r="E1925" i="2"/>
  <c r="D1925" i="2"/>
  <c r="C1925" i="2"/>
  <c r="B1925" i="2"/>
  <c r="S1924" i="2"/>
  <c r="R1924" i="2"/>
  <c r="Q1924" i="2"/>
  <c r="O1924" i="2"/>
  <c r="E1924" i="2"/>
  <c r="D1924" i="2"/>
  <c r="C1924" i="2"/>
  <c r="B1924" i="2"/>
  <c r="S1923" i="2"/>
  <c r="R1923" i="2"/>
  <c r="Q1923" i="2"/>
  <c r="O1923" i="2"/>
  <c r="E1923" i="2"/>
  <c r="D1923" i="2"/>
  <c r="C1923" i="2"/>
  <c r="B1923" i="2"/>
  <c r="S1922" i="2"/>
  <c r="R1922" i="2"/>
  <c r="Q1922" i="2"/>
  <c r="O1922" i="2"/>
  <c r="E1922" i="2"/>
  <c r="D1922" i="2"/>
  <c r="C1922" i="2"/>
  <c r="B1922" i="2"/>
  <c r="S1921" i="2"/>
  <c r="R1921" i="2"/>
  <c r="Q1921" i="2"/>
  <c r="O1921" i="2"/>
  <c r="E1921" i="2"/>
  <c r="D1921" i="2"/>
  <c r="C1921" i="2"/>
  <c r="B1921" i="2"/>
  <c r="S1920" i="2"/>
  <c r="R1920" i="2"/>
  <c r="Q1920" i="2"/>
  <c r="O1920" i="2"/>
  <c r="E1920" i="2"/>
  <c r="D1920" i="2"/>
  <c r="C1920" i="2"/>
  <c r="B1920" i="2"/>
  <c r="S1919" i="2"/>
  <c r="R1919" i="2"/>
  <c r="Q1919" i="2"/>
  <c r="O1919" i="2"/>
  <c r="E1919" i="2"/>
  <c r="D1919" i="2"/>
  <c r="C1919" i="2"/>
  <c r="B1919" i="2"/>
  <c r="S1918" i="2"/>
  <c r="R1918" i="2"/>
  <c r="Q1918" i="2"/>
  <c r="O1918" i="2"/>
  <c r="E1918" i="2"/>
  <c r="D1918" i="2"/>
  <c r="C1918" i="2"/>
  <c r="B1918" i="2"/>
  <c r="S1917" i="2"/>
  <c r="R1917" i="2"/>
  <c r="Q1917" i="2"/>
  <c r="O1917" i="2"/>
  <c r="E1917" i="2"/>
  <c r="D1917" i="2"/>
  <c r="C1917" i="2"/>
  <c r="B1917" i="2"/>
  <c r="S1916" i="2"/>
  <c r="R1916" i="2"/>
  <c r="Q1916" i="2"/>
  <c r="O1916" i="2"/>
  <c r="E1916" i="2"/>
  <c r="D1916" i="2"/>
  <c r="C1916" i="2"/>
  <c r="B1916" i="2"/>
  <c r="S1915" i="2"/>
  <c r="R1915" i="2"/>
  <c r="Q1915" i="2"/>
  <c r="O1915" i="2"/>
  <c r="E1915" i="2"/>
  <c r="D1915" i="2"/>
  <c r="C1915" i="2"/>
  <c r="B1915" i="2"/>
  <c r="S1914" i="2"/>
  <c r="R1914" i="2"/>
  <c r="Q1914" i="2"/>
  <c r="O1914" i="2"/>
  <c r="E1914" i="2"/>
  <c r="D1914" i="2"/>
  <c r="C1914" i="2"/>
  <c r="B1914" i="2"/>
  <c r="S1913" i="2"/>
  <c r="R1913" i="2"/>
  <c r="Q1913" i="2"/>
  <c r="O1913" i="2"/>
  <c r="E1913" i="2"/>
  <c r="D1913" i="2"/>
  <c r="C1913" i="2"/>
  <c r="B1913" i="2"/>
  <c r="S1912" i="2"/>
  <c r="R1912" i="2"/>
  <c r="Q1912" i="2"/>
  <c r="O1912" i="2"/>
  <c r="E1912" i="2"/>
  <c r="D1912" i="2"/>
  <c r="C1912" i="2"/>
  <c r="B1912" i="2"/>
  <c r="S1911" i="2"/>
  <c r="R1911" i="2"/>
  <c r="Q1911" i="2"/>
  <c r="O1911" i="2"/>
  <c r="E1911" i="2"/>
  <c r="D1911" i="2"/>
  <c r="C1911" i="2"/>
  <c r="B1911" i="2"/>
  <c r="S1910" i="2"/>
  <c r="R1910" i="2"/>
  <c r="Q1910" i="2"/>
  <c r="O1910" i="2"/>
  <c r="E1910" i="2"/>
  <c r="D1910" i="2"/>
  <c r="C1910" i="2"/>
  <c r="B1910" i="2"/>
  <c r="S1909" i="2"/>
  <c r="R1909" i="2"/>
  <c r="Q1909" i="2"/>
  <c r="O1909" i="2"/>
  <c r="E1909" i="2"/>
  <c r="D1909" i="2"/>
  <c r="C1909" i="2"/>
  <c r="B1909" i="2"/>
  <c r="S1908" i="2"/>
  <c r="R1908" i="2"/>
  <c r="Q1908" i="2"/>
  <c r="O1908" i="2"/>
  <c r="E1908" i="2"/>
  <c r="D1908" i="2"/>
  <c r="C1908" i="2"/>
  <c r="B1908" i="2"/>
  <c r="S1907" i="2"/>
  <c r="R1907" i="2"/>
  <c r="Q1907" i="2"/>
  <c r="O1907" i="2"/>
  <c r="E1907" i="2"/>
  <c r="D1907" i="2"/>
  <c r="C1907" i="2"/>
  <c r="B1907" i="2"/>
  <c r="S1906" i="2"/>
  <c r="R1906" i="2"/>
  <c r="Q1906" i="2"/>
  <c r="O1906" i="2"/>
  <c r="E1906" i="2"/>
  <c r="D1906" i="2"/>
  <c r="C1906" i="2"/>
  <c r="B1906" i="2"/>
  <c r="S1905" i="2"/>
  <c r="R1905" i="2"/>
  <c r="Q1905" i="2"/>
  <c r="O1905" i="2"/>
  <c r="E1905" i="2"/>
  <c r="D1905" i="2"/>
  <c r="C1905" i="2"/>
  <c r="B1905" i="2"/>
  <c r="S1904" i="2"/>
  <c r="R1904" i="2"/>
  <c r="Q1904" i="2"/>
  <c r="O1904" i="2"/>
  <c r="E1904" i="2"/>
  <c r="D1904" i="2"/>
  <c r="C1904" i="2"/>
  <c r="B1904" i="2"/>
  <c r="S1903" i="2"/>
  <c r="R1903" i="2"/>
  <c r="Q1903" i="2"/>
  <c r="O1903" i="2"/>
  <c r="E1903" i="2"/>
  <c r="D1903" i="2"/>
  <c r="C1903" i="2"/>
  <c r="B1903" i="2"/>
  <c r="S1902" i="2"/>
  <c r="R1902" i="2"/>
  <c r="Q1902" i="2"/>
  <c r="O1902" i="2"/>
  <c r="E1902" i="2"/>
  <c r="D1902" i="2"/>
  <c r="C1902" i="2"/>
  <c r="B1902" i="2"/>
  <c r="S1901" i="2"/>
  <c r="R1901" i="2"/>
  <c r="Q1901" i="2"/>
  <c r="O1901" i="2"/>
  <c r="E1901" i="2"/>
  <c r="D1901" i="2"/>
  <c r="C1901" i="2"/>
  <c r="B1901" i="2"/>
  <c r="S1900" i="2"/>
  <c r="R1900" i="2"/>
  <c r="Q1900" i="2"/>
  <c r="O1900" i="2"/>
  <c r="E1900" i="2"/>
  <c r="D1900" i="2"/>
  <c r="C1900" i="2"/>
  <c r="B1900" i="2"/>
  <c r="S1899" i="2"/>
  <c r="R1899" i="2"/>
  <c r="Q1899" i="2"/>
  <c r="O1899" i="2"/>
  <c r="E1899" i="2"/>
  <c r="D1899" i="2"/>
  <c r="C1899" i="2"/>
  <c r="B1899" i="2"/>
  <c r="S1898" i="2"/>
  <c r="R1898" i="2"/>
  <c r="Q1898" i="2"/>
  <c r="O1898" i="2"/>
  <c r="E1898" i="2"/>
  <c r="D1898" i="2"/>
  <c r="C1898" i="2"/>
  <c r="B1898" i="2"/>
  <c r="S1897" i="2"/>
  <c r="R1897" i="2"/>
  <c r="Q1897" i="2"/>
  <c r="O1897" i="2"/>
  <c r="E1897" i="2"/>
  <c r="D1897" i="2"/>
  <c r="C1897" i="2"/>
  <c r="B1897" i="2"/>
  <c r="S1896" i="2"/>
  <c r="R1896" i="2"/>
  <c r="Q1896" i="2"/>
  <c r="O1896" i="2"/>
  <c r="E1896" i="2"/>
  <c r="D1896" i="2"/>
  <c r="C1896" i="2"/>
  <c r="B1896" i="2"/>
  <c r="S1895" i="2"/>
  <c r="R1895" i="2"/>
  <c r="Q1895" i="2"/>
  <c r="O1895" i="2"/>
  <c r="E1895" i="2"/>
  <c r="D1895" i="2"/>
  <c r="C1895" i="2"/>
  <c r="B1895" i="2"/>
  <c r="S1894" i="2"/>
  <c r="R1894" i="2"/>
  <c r="Q1894" i="2"/>
  <c r="O1894" i="2"/>
  <c r="E1894" i="2"/>
  <c r="D1894" i="2"/>
  <c r="C1894" i="2"/>
  <c r="B1894" i="2"/>
  <c r="S1893" i="2"/>
  <c r="R1893" i="2"/>
  <c r="Q1893" i="2"/>
  <c r="O1893" i="2"/>
  <c r="E1893" i="2"/>
  <c r="D1893" i="2"/>
  <c r="C1893" i="2"/>
  <c r="B1893" i="2"/>
  <c r="S1892" i="2"/>
  <c r="R1892" i="2"/>
  <c r="Q1892" i="2"/>
  <c r="O1892" i="2"/>
  <c r="E1892" i="2"/>
  <c r="D1892" i="2"/>
  <c r="C1892" i="2"/>
  <c r="B1892" i="2"/>
  <c r="S1891" i="2"/>
  <c r="R1891" i="2"/>
  <c r="Q1891" i="2"/>
  <c r="O1891" i="2"/>
  <c r="E1891" i="2"/>
  <c r="D1891" i="2"/>
  <c r="C1891" i="2"/>
  <c r="B1891" i="2"/>
  <c r="S1890" i="2"/>
  <c r="R1890" i="2"/>
  <c r="Q1890" i="2"/>
  <c r="O1890" i="2"/>
  <c r="E1890" i="2"/>
  <c r="D1890" i="2"/>
  <c r="C1890" i="2"/>
  <c r="B1890" i="2"/>
  <c r="S1889" i="2"/>
  <c r="R1889" i="2"/>
  <c r="Q1889" i="2"/>
  <c r="O1889" i="2"/>
  <c r="E1889" i="2"/>
  <c r="D1889" i="2"/>
  <c r="C1889" i="2"/>
  <c r="B1889" i="2"/>
  <c r="S1888" i="2"/>
  <c r="R1888" i="2"/>
  <c r="Q1888" i="2"/>
  <c r="O1888" i="2"/>
  <c r="E1888" i="2"/>
  <c r="D1888" i="2"/>
  <c r="C1888" i="2"/>
  <c r="B1888" i="2"/>
  <c r="S1887" i="2"/>
  <c r="R1887" i="2"/>
  <c r="Q1887" i="2"/>
  <c r="O1887" i="2"/>
  <c r="E1887" i="2"/>
  <c r="D1887" i="2"/>
  <c r="C1887" i="2"/>
  <c r="B1887" i="2"/>
  <c r="S1886" i="2"/>
  <c r="R1886" i="2"/>
  <c r="Q1886" i="2"/>
  <c r="O1886" i="2"/>
  <c r="E1886" i="2"/>
  <c r="D1886" i="2"/>
  <c r="C1886" i="2"/>
  <c r="B1886" i="2"/>
  <c r="S1885" i="2"/>
  <c r="R1885" i="2"/>
  <c r="Q1885" i="2"/>
  <c r="O1885" i="2"/>
  <c r="E1885" i="2"/>
  <c r="D1885" i="2"/>
  <c r="C1885" i="2"/>
  <c r="B1885" i="2"/>
  <c r="S1884" i="2"/>
  <c r="R1884" i="2"/>
  <c r="Q1884" i="2"/>
  <c r="O1884" i="2"/>
  <c r="E1884" i="2"/>
  <c r="D1884" i="2"/>
  <c r="C1884" i="2"/>
  <c r="B1884" i="2"/>
  <c r="S1883" i="2"/>
  <c r="R1883" i="2"/>
  <c r="Q1883" i="2"/>
  <c r="O1883" i="2"/>
  <c r="E1883" i="2"/>
  <c r="D1883" i="2"/>
  <c r="C1883" i="2"/>
  <c r="B1883" i="2"/>
  <c r="S1882" i="2"/>
  <c r="R1882" i="2"/>
  <c r="Q1882" i="2"/>
  <c r="O1882" i="2"/>
  <c r="E1882" i="2"/>
  <c r="D1882" i="2"/>
  <c r="C1882" i="2"/>
  <c r="B1882" i="2"/>
  <c r="S1881" i="2"/>
  <c r="R1881" i="2"/>
  <c r="Q1881" i="2"/>
  <c r="O1881" i="2"/>
  <c r="E1881" i="2"/>
  <c r="D1881" i="2"/>
  <c r="C1881" i="2"/>
  <c r="B1881" i="2"/>
  <c r="S1880" i="2"/>
  <c r="R1880" i="2"/>
  <c r="Q1880" i="2"/>
  <c r="O1880" i="2"/>
  <c r="E1880" i="2"/>
  <c r="D1880" i="2"/>
  <c r="C1880" i="2"/>
  <c r="B1880" i="2"/>
  <c r="S1879" i="2"/>
  <c r="R1879" i="2"/>
  <c r="Q1879" i="2"/>
  <c r="O1879" i="2"/>
  <c r="E1879" i="2"/>
  <c r="D1879" i="2"/>
  <c r="C1879" i="2"/>
  <c r="B1879" i="2"/>
  <c r="S1878" i="2"/>
  <c r="R1878" i="2"/>
  <c r="Q1878" i="2"/>
  <c r="O1878" i="2"/>
  <c r="E1878" i="2"/>
  <c r="D1878" i="2"/>
  <c r="C1878" i="2"/>
  <c r="B1878" i="2"/>
  <c r="S1877" i="2"/>
  <c r="R1877" i="2"/>
  <c r="Q1877" i="2"/>
  <c r="O1877" i="2"/>
  <c r="E1877" i="2"/>
  <c r="D1877" i="2"/>
  <c r="C1877" i="2"/>
  <c r="B1877" i="2"/>
  <c r="S1876" i="2"/>
  <c r="R1876" i="2"/>
  <c r="Q1876" i="2"/>
  <c r="O1876" i="2"/>
  <c r="E1876" i="2"/>
  <c r="D1876" i="2"/>
  <c r="C1876" i="2"/>
  <c r="B1876" i="2"/>
  <c r="S1875" i="2"/>
  <c r="R1875" i="2"/>
  <c r="Q1875" i="2"/>
  <c r="O1875" i="2"/>
  <c r="E1875" i="2"/>
  <c r="D1875" i="2"/>
  <c r="C1875" i="2"/>
  <c r="B1875" i="2"/>
  <c r="S1874" i="2"/>
  <c r="R1874" i="2"/>
  <c r="Q1874" i="2"/>
  <c r="O1874" i="2"/>
  <c r="E1874" i="2"/>
  <c r="D1874" i="2"/>
  <c r="C1874" i="2"/>
  <c r="B1874" i="2"/>
  <c r="S1873" i="2"/>
  <c r="R1873" i="2"/>
  <c r="Q1873" i="2"/>
  <c r="O1873" i="2"/>
  <c r="E1873" i="2"/>
  <c r="D1873" i="2"/>
  <c r="C1873" i="2"/>
  <c r="B1873" i="2"/>
  <c r="S1872" i="2"/>
  <c r="R1872" i="2"/>
  <c r="Q1872" i="2"/>
  <c r="O1872" i="2"/>
  <c r="E1872" i="2"/>
  <c r="D1872" i="2"/>
  <c r="C1872" i="2"/>
  <c r="B1872" i="2"/>
  <c r="S1871" i="2"/>
  <c r="R1871" i="2"/>
  <c r="Q1871" i="2"/>
  <c r="O1871" i="2"/>
  <c r="E1871" i="2"/>
  <c r="D1871" i="2"/>
  <c r="C1871" i="2"/>
  <c r="B1871" i="2"/>
  <c r="S1870" i="2"/>
  <c r="R1870" i="2"/>
  <c r="Q1870" i="2"/>
  <c r="O1870" i="2"/>
  <c r="E1870" i="2"/>
  <c r="D1870" i="2"/>
  <c r="C1870" i="2"/>
  <c r="B1870" i="2"/>
  <c r="S1869" i="2"/>
  <c r="R1869" i="2"/>
  <c r="Q1869" i="2"/>
  <c r="O1869" i="2"/>
  <c r="E1869" i="2"/>
  <c r="D1869" i="2"/>
  <c r="C1869" i="2"/>
  <c r="B1869" i="2"/>
  <c r="S1868" i="2"/>
  <c r="R1868" i="2"/>
  <c r="Q1868" i="2"/>
  <c r="O1868" i="2"/>
  <c r="E1868" i="2"/>
  <c r="D1868" i="2"/>
  <c r="C1868" i="2"/>
  <c r="B1868" i="2"/>
  <c r="S1867" i="2"/>
  <c r="R1867" i="2"/>
  <c r="Q1867" i="2"/>
  <c r="O1867" i="2"/>
  <c r="E1867" i="2"/>
  <c r="D1867" i="2"/>
  <c r="C1867" i="2"/>
  <c r="B1867" i="2"/>
  <c r="S1866" i="2"/>
  <c r="R1866" i="2"/>
  <c r="Q1866" i="2"/>
  <c r="O1866" i="2"/>
  <c r="E1866" i="2"/>
  <c r="D1866" i="2"/>
  <c r="C1866" i="2"/>
  <c r="B1866" i="2"/>
  <c r="S1865" i="2"/>
  <c r="R1865" i="2"/>
  <c r="Q1865" i="2"/>
  <c r="O1865" i="2"/>
  <c r="E1865" i="2"/>
  <c r="D1865" i="2"/>
  <c r="C1865" i="2"/>
  <c r="B1865" i="2"/>
  <c r="S1864" i="2"/>
  <c r="R1864" i="2"/>
  <c r="Q1864" i="2"/>
  <c r="O1864" i="2"/>
  <c r="E1864" i="2"/>
  <c r="D1864" i="2"/>
  <c r="C1864" i="2"/>
  <c r="B1864" i="2"/>
  <c r="S1863" i="2"/>
  <c r="R1863" i="2"/>
  <c r="Q1863" i="2"/>
  <c r="O1863" i="2"/>
  <c r="E1863" i="2"/>
  <c r="D1863" i="2"/>
  <c r="C1863" i="2"/>
  <c r="B1863" i="2"/>
  <c r="S1862" i="2"/>
  <c r="R1862" i="2"/>
  <c r="Q1862" i="2"/>
  <c r="O1862" i="2"/>
  <c r="E1862" i="2"/>
  <c r="D1862" i="2"/>
  <c r="C1862" i="2"/>
  <c r="B1862" i="2"/>
  <c r="S1861" i="2"/>
  <c r="R1861" i="2"/>
  <c r="Q1861" i="2"/>
  <c r="O1861" i="2"/>
  <c r="E1861" i="2"/>
  <c r="D1861" i="2"/>
  <c r="C1861" i="2"/>
  <c r="B1861" i="2"/>
  <c r="S1860" i="2"/>
  <c r="R1860" i="2"/>
  <c r="Q1860" i="2"/>
  <c r="O1860" i="2"/>
  <c r="E1860" i="2"/>
  <c r="D1860" i="2"/>
  <c r="C1860" i="2"/>
  <c r="B1860" i="2"/>
  <c r="S1859" i="2"/>
  <c r="R1859" i="2"/>
  <c r="Q1859" i="2"/>
  <c r="O1859" i="2"/>
  <c r="E1859" i="2"/>
  <c r="D1859" i="2"/>
  <c r="C1859" i="2"/>
  <c r="B1859" i="2"/>
  <c r="S1858" i="2"/>
  <c r="R1858" i="2"/>
  <c r="Q1858" i="2"/>
  <c r="O1858" i="2"/>
  <c r="E1858" i="2"/>
  <c r="D1858" i="2"/>
  <c r="C1858" i="2"/>
  <c r="B1858" i="2"/>
  <c r="S1857" i="2"/>
  <c r="R1857" i="2"/>
  <c r="Q1857" i="2"/>
  <c r="O1857" i="2"/>
  <c r="E1857" i="2"/>
  <c r="D1857" i="2"/>
  <c r="C1857" i="2"/>
  <c r="B1857" i="2"/>
  <c r="S1856" i="2"/>
  <c r="R1856" i="2"/>
  <c r="Q1856" i="2"/>
  <c r="O1856" i="2"/>
  <c r="E1856" i="2"/>
  <c r="D1856" i="2"/>
  <c r="C1856" i="2"/>
  <c r="B1856" i="2"/>
  <c r="S1855" i="2"/>
  <c r="R1855" i="2"/>
  <c r="Q1855" i="2"/>
  <c r="O1855" i="2"/>
  <c r="E1855" i="2"/>
  <c r="D1855" i="2"/>
  <c r="C1855" i="2"/>
  <c r="B1855" i="2"/>
  <c r="S1854" i="2"/>
  <c r="R1854" i="2"/>
  <c r="Q1854" i="2"/>
  <c r="O1854" i="2"/>
  <c r="E1854" i="2"/>
  <c r="D1854" i="2"/>
  <c r="C1854" i="2"/>
  <c r="B1854" i="2"/>
  <c r="S1853" i="2"/>
  <c r="R1853" i="2"/>
  <c r="Q1853" i="2"/>
  <c r="O1853" i="2"/>
  <c r="E1853" i="2"/>
  <c r="D1853" i="2"/>
  <c r="C1853" i="2"/>
  <c r="B1853" i="2"/>
  <c r="S1852" i="2"/>
  <c r="R1852" i="2"/>
  <c r="Q1852" i="2"/>
  <c r="O1852" i="2"/>
  <c r="E1852" i="2"/>
  <c r="D1852" i="2"/>
  <c r="C1852" i="2"/>
  <c r="B1852" i="2"/>
  <c r="S1851" i="2"/>
  <c r="R1851" i="2"/>
  <c r="Q1851" i="2"/>
  <c r="O1851" i="2"/>
  <c r="E1851" i="2"/>
  <c r="D1851" i="2"/>
  <c r="C1851" i="2"/>
  <c r="B1851" i="2"/>
  <c r="S1850" i="2"/>
  <c r="R1850" i="2"/>
  <c r="Q1850" i="2"/>
  <c r="O1850" i="2"/>
  <c r="E1850" i="2"/>
  <c r="D1850" i="2"/>
  <c r="C1850" i="2"/>
  <c r="B1850" i="2"/>
  <c r="S1849" i="2"/>
  <c r="R1849" i="2"/>
  <c r="Q1849" i="2"/>
  <c r="O1849" i="2"/>
  <c r="E1849" i="2"/>
  <c r="D1849" i="2"/>
  <c r="C1849" i="2"/>
  <c r="B1849" i="2"/>
  <c r="S1848" i="2"/>
  <c r="R1848" i="2"/>
  <c r="Q1848" i="2"/>
  <c r="O1848" i="2"/>
  <c r="E1848" i="2"/>
  <c r="D1848" i="2"/>
  <c r="C1848" i="2"/>
  <c r="B1848" i="2"/>
  <c r="S1847" i="2"/>
  <c r="R1847" i="2"/>
  <c r="Q1847" i="2"/>
  <c r="O1847" i="2"/>
  <c r="E1847" i="2"/>
  <c r="D1847" i="2"/>
  <c r="C1847" i="2"/>
  <c r="B1847" i="2"/>
  <c r="S1846" i="2"/>
  <c r="R1846" i="2"/>
  <c r="Q1846" i="2"/>
  <c r="O1846" i="2"/>
  <c r="E1846" i="2"/>
  <c r="D1846" i="2"/>
  <c r="C1846" i="2"/>
  <c r="B1846" i="2"/>
  <c r="S1845" i="2"/>
  <c r="R1845" i="2"/>
  <c r="Q1845" i="2"/>
  <c r="O1845" i="2"/>
  <c r="E1845" i="2"/>
  <c r="D1845" i="2"/>
  <c r="C1845" i="2"/>
  <c r="B1845" i="2"/>
  <c r="S1844" i="2"/>
  <c r="R1844" i="2"/>
  <c r="Q1844" i="2"/>
  <c r="O1844" i="2"/>
  <c r="E1844" i="2"/>
  <c r="D1844" i="2"/>
  <c r="C1844" i="2"/>
  <c r="B1844" i="2"/>
  <c r="S1843" i="2"/>
  <c r="R1843" i="2"/>
  <c r="Q1843" i="2"/>
  <c r="O1843" i="2"/>
  <c r="E1843" i="2"/>
  <c r="D1843" i="2"/>
  <c r="C1843" i="2"/>
  <c r="B1843" i="2"/>
  <c r="S1842" i="2"/>
  <c r="R1842" i="2"/>
  <c r="Q1842" i="2"/>
  <c r="O1842" i="2"/>
  <c r="E1842" i="2"/>
  <c r="D1842" i="2"/>
  <c r="C1842" i="2"/>
  <c r="B1842" i="2"/>
  <c r="S1841" i="2"/>
  <c r="R1841" i="2"/>
  <c r="Q1841" i="2"/>
  <c r="O1841" i="2"/>
  <c r="E1841" i="2"/>
  <c r="D1841" i="2"/>
  <c r="C1841" i="2"/>
  <c r="B1841" i="2"/>
  <c r="S1840" i="2"/>
  <c r="R1840" i="2"/>
  <c r="Q1840" i="2"/>
  <c r="O1840" i="2"/>
  <c r="E1840" i="2"/>
  <c r="D1840" i="2"/>
  <c r="C1840" i="2"/>
  <c r="B1840" i="2"/>
  <c r="S1839" i="2"/>
  <c r="R1839" i="2"/>
  <c r="Q1839" i="2"/>
  <c r="O1839" i="2"/>
  <c r="E1839" i="2"/>
  <c r="D1839" i="2"/>
  <c r="C1839" i="2"/>
  <c r="B1839" i="2"/>
  <c r="S1838" i="2"/>
  <c r="R1838" i="2"/>
  <c r="Q1838" i="2"/>
  <c r="O1838" i="2"/>
  <c r="E1838" i="2"/>
  <c r="D1838" i="2"/>
  <c r="C1838" i="2"/>
  <c r="B1838" i="2"/>
  <c r="S1837" i="2"/>
  <c r="R1837" i="2"/>
  <c r="Q1837" i="2"/>
  <c r="O1837" i="2"/>
  <c r="E1837" i="2"/>
  <c r="D1837" i="2"/>
  <c r="C1837" i="2"/>
  <c r="B1837" i="2"/>
  <c r="S1836" i="2"/>
  <c r="R1836" i="2"/>
  <c r="Q1836" i="2"/>
  <c r="O1836" i="2"/>
  <c r="E1836" i="2"/>
  <c r="D1836" i="2"/>
  <c r="C1836" i="2"/>
  <c r="B1836" i="2"/>
  <c r="S1835" i="2"/>
  <c r="R1835" i="2"/>
  <c r="Q1835" i="2"/>
  <c r="O1835" i="2"/>
  <c r="E1835" i="2"/>
  <c r="D1835" i="2"/>
  <c r="C1835" i="2"/>
  <c r="B1835" i="2"/>
  <c r="S1834" i="2"/>
  <c r="R1834" i="2"/>
  <c r="Q1834" i="2"/>
  <c r="O1834" i="2"/>
  <c r="E1834" i="2"/>
  <c r="D1834" i="2"/>
  <c r="C1834" i="2"/>
  <c r="B1834" i="2"/>
  <c r="S1833" i="2"/>
  <c r="R1833" i="2"/>
  <c r="Q1833" i="2"/>
  <c r="O1833" i="2"/>
  <c r="E1833" i="2"/>
  <c r="D1833" i="2"/>
  <c r="C1833" i="2"/>
  <c r="B1833" i="2"/>
  <c r="S1832" i="2"/>
  <c r="R1832" i="2"/>
  <c r="Q1832" i="2"/>
  <c r="O1832" i="2"/>
  <c r="E1832" i="2"/>
  <c r="D1832" i="2"/>
  <c r="C1832" i="2"/>
  <c r="B1832" i="2"/>
  <c r="S1831" i="2"/>
  <c r="R1831" i="2"/>
  <c r="Q1831" i="2"/>
  <c r="O1831" i="2"/>
  <c r="E1831" i="2"/>
  <c r="D1831" i="2"/>
  <c r="C1831" i="2"/>
  <c r="B1831" i="2"/>
  <c r="S1830" i="2"/>
  <c r="R1830" i="2"/>
  <c r="Q1830" i="2"/>
  <c r="O1830" i="2"/>
  <c r="E1830" i="2"/>
  <c r="D1830" i="2"/>
  <c r="C1830" i="2"/>
  <c r="B1830" i="2"/>
  <c r="S1829" i="2"/>
  <c r="R1829" i="2"/>
  <c r="Q1829" i="2"/>
  <c r="O1829" i="2"/>
  <c r="E1829" i="2"/>
  <c r="D1829" i="2"/>
  <c r="C1829" i="2"/>
  <c r="B1829" i="2"/>
  <c r="S1828" i="2"/>
  <c r="R1828" i="2"/>
  <c r="Q1828" i="2"/>
  <c r="O1828" i="2"/>
  <c r="E1828" i="2"/>
  <c r="D1828" i="2"/>
  <c r="C1828" i="2"/>
  <c r="B1828" i="2"/>
  <c r="S1827" i="2"/>
  <c r="R1827" i="2"/>
  <c r="Q1827" i="2"/>
  <c r="O1827" i="2"/>
  <c r="E1827" i="2"/>
  <c r="D1827" i="2"/>
  <c r="C1827" i="2"/>
  <c r="B1827" i="2"/>
  <c r="S1826" i="2"/>
  <c r="R1826" i="2"/>
  <c r="Q1826" i="2"/>
  <c r="O1826" i="2"/>
  <c r="E1826" i="2"/>
  <c r="D1826" i="2"/>
  <c r="C1826" i="2"/>
  <c r="B1826" i="2"/>
  <c r="S1825" i="2"/>
  <c r="R1825" i="2"/>
  <c r="Q1825" i="2"/>
  <c r="O1825" i="2"/>
  <c r="E1825" i="2"/>
  <c r="D1825" i="2"/>
  <c r="C1825" i="2"/>
  <c r="B1825" i="2"/>
  <c r="S1824" i="2"/>
  <c r="R1824" i="2"/>
  <c r="Q1824" i="2"/>
  <c r="O1824" i="2"/>
  <c r="E1824" i="2"/>
  <c r="D1824" i="2"/>
  <c r="C1824" i="2"/>
  <c r="B1824" i="2"/>
  <c r="S1823" i="2"/>
  <c r="R1823" i="2"/>
  <c r="Q1823" i="2"/>
  <c r="O1823" i="2"/>
  <c r="E1823" i="2"/>
  <c r="D1823" i="2"/>
  <c r="C1823" i="2"/>
  <c r="B1823" i="2"/>
  <c r="S1822" i="2"/>
  <c r="R1822" i="2"/>
  <c r="Q1822" i="2"/>
  <c r="O1822" i="2"/>
  <c r="E1822" i="2"/>
  <c r="D1822" i="2"/>
  <c r="C1822" i="2"/>
  <c r="B1822" i="2"/>
  <c r="S1821" i="2"/>
  <c r="R1821" i="2"/>
  <c r="Q1821" i="2"/>
  <c r="O1821" i="2"/>
  <c r="E1821" i="2"/>
  <c r="D1821" i="2"/>
  <c r="C1821" i="2"/>
  <c r="B1821" i="2"/>
  <c r="S1820" i="2"/>
  <c r="R1820" i="2"/>
  <c r="Q1820" i="2"/>
  <c r="O1820" i="2"/>
  <c r="E1820" i="2"/>
  <c r="D1820" i="2"/>
  <c r="C1820" i="2"/>
  <c r="B1820" i="2"/>
  <c r="S1819" i="2"/>
  <c r="R1819" i="2"/>
  <c r="Q1819" i="2"/>
  <c r="O1819" i="2"/>
  <c r="E1819" i="2"/>
  <c r="D1819" i="2"/>
  <c r="C1819" i="2"/>
  <c r="B1819" i="2"/>
  <c r="S1818" i="2"/>
  <c r="R1818" i="2"/>
  <c r="Q1818" i="2"/>
  <c r="O1818" i="2"/>
  <c r="E1818" i="2"/>
  <c r="D1818" i="2"/>
  <c r="C1818" i="2"/>
  <c r="B1818" i="2"/>
  <c r="S1817" i="2"/>
  <c r="R1817" i="2"/>
  <c r="Q1817" i="2"/>
  <c r="O1817" i="2"/>
  <c r="E1817" i="2"/>
  <c r="D1817" i="2"/>
  <c r="C1817" i="2"/>
  <c r="B1817" i="2"/>
  <c r="S1816" i="2"/>
  <c r="R1816" i="2"/>
  <c r="Q1816" i="2"/>
  <c r="O1816" i="2"/>
  <c r="E1816" i="2"/>
  <c r="D1816" i="2"/>
  <c r="C1816" i="2"/>
  <c r="B1816" i="2"/>
  <c r="S1815" i="2"/>
  <c r="R1815" i="2"/>
  <c r="Q1815" i="2"/>
  <c r="O1815" i="2"/>
  <c r="E1815" i="2"/>
  <c r="D1815" i="2"/>
  <c r="C1815" i="2"/>
  <c r="B1815" i="2"/>
  <c r="S1814" i="2"/>
  <c r="R1814" i="2"/>
  <c r="Q1814" i="2"/>
  <c r="O1814" i="2"/>
  <c r="E1814" i="2"/>
  <c r="D1814" i="2"/>
  <c r="C1814" i="2"/>
  <c r="B1814" i="2"/>
  <c r="S1813" i="2"/>
  <c r="R1813" i="2"/>
  <c r="Q1813" i="2"/>
  <c r="O1813" i="2"/>
  <c r="E1813" i="2"/>
  <c r="D1813" i="2"/>
  <c r="C1813" i="2"/>
  <c r="B1813" i="2"/>
  <c r="S1812" i="2"/>
  <c r="R1812" i="2"/>
  <c r="Q1812" i="2"/>
  <c r="O1812" i="2"/>
  <c r="E1812" i="2"/>
  <c r="D1812" i="2"/>
  <c r="C1812" i="2"/>
  <c r="B1812" i="2"/>
  <c r="S1811" i="2"/>
  <c r="R1811" i="2"/>
  <c r="Q1811" i="2"/>
  <c r="O1811" i="2"/>
  <c r="E1811" i="2"/>
  <c r="D1811" i="2"/>
  <c r="C1811" i="2"/>
  <c r="B1811" i="2"/>
  <c r="S1810" i="2"/>
  <c r="R1810" i="2"/>
  <c r="Q1810" i="2"/>
  <c r="O1810" i="2"/>
  <c r="E1810" i="2"/>
  <c r="D1810" i="2"/>
  <c r="C1810" i="2"/>
  <c r="B1810" i="2"/>
  <c r="S1809" i="2"/>
  <c r="R1809" i="2"/>
  <c r="Q1809" i="2"/>
  <c r="O1809" i="2"/>
  <c r="E1809" i="2"/>
  <c r="D1809" i="2"/>
  <c r="C1809" i="2"/>
  <c r="B1809" i="2"/>
  <c r="S1808" i="2"/>
  <c r="R1808" i="2"/>
  <c r="Q1808" i="2"/>
  <c r="O1808" i="2"/>
  <c r="E1808" i="2"/>
  <c r="D1808" i="2"/>
  <c r="C1808" i="2"/>
  <c r="B1808" i="2"/>
  <c r="S1807" i="2"/>
  <c r="R1807" i="2"/>
  <c r="Q1807" i="2"/>
  <c r="O1807" i="2"/>
  <c r="E1807" i="2"/>
  <c r="D1807" i="2"/>
  <c r="C1807" i="2"/>
  <c r="B1807" i="2"/>
  <c r="S1806" i="2"/>
  <c r="R1806" i="2"/>
  <c r="Q1806" i="2"/>
  <c r="O1806" i="2"/>
  <c r="E1806" i="2"/>
  <c r="D1806" i="2"/>
  <c r="C1806" i="2"/>
  <c r="B1806" i="2"/>
  <c r="S1805" i="2"/>
  <c r="R1805" i="2"/>
  <c r="Q1805" i="2"/>
  <c r="O1805" i="2"/>
  <c r="E1805" i="2"/>
  <c r="D1805" i="2"/>
  <c r="C1805" i="2"/>
  <c r="B1805" i="2"/>
  <c r="S1804" i="2"/>
  <c r="R1804" i="2"/>
  <c r="Q1804" i="2"/>
  <c r="O1804" i="2"/>
  <c r="E1804" i="2"/>
  <c r="D1804" i="2"/>
  <c r="C1804" i="2"/>
  <c r="B1804" i="2"/>
  <c r="S1803" i="2"/>
  <c r="R1803" i="2"/>
  <c r="Q1803" i="2"/>
  <c r="O1803" i="2"/>
  <c r="E1803" i="2"/>
  <c r="D1803" i="2"/>
  <c r="C1803" i="2"/>
  <c r="B1803" i="2"/>
  <c r="S1802" i="2"/>
  <c r="R1802" i="2"/>
  <c r="Q1802" i="2"/>
  <c r="O1802" i="2"/>
  <c r="E1802" i="2"/>
  <c r="D1802" i="2"/>
  <c r="C1802" i="2"/>
  <c r="B1802" i="2"/>
  <c r="S1801" i="2"/>
  <c r="R1801" i="2"/>
  <c r="Q1801" i="2"/>
  <c r="O1801" i="2"/>
  <c r="E1801" i="2"/>
  <c r="D1801" i="2"/>
  <c r="C1801" i="2"/>
  <c r="B1801" i="2"/>
  <c r="S1800" i="2"/>
  <c r="R1800" i="2"/>
  <c r="Q1800" i="2"/>
  <c r="O1800" i="2"/>
  <c r="E1800" i="2"/>
  <c r="D1800" i="2"/>
  <c r="C1800" i="2"/>
  <c r="B1800" i="2"/>
  <c r="S1799" i="2"/>
  <c r="R1799" i="2"/>
  <c r="Q1799" i="2"/>
  <c r="O1799" i="2"/>
  <c r="E1799" i="2"/>
  <c r="D1799" i="2"/>
  <c r="C1799" i="2"/>
  <c r="B1799" i="2"/>
  <c r="S1798" i="2"/>
  <c r="R1798" i="2"/>
  <c r="Q1798" i="2"/>
  <c r="O1798" i="2"/>
  <c r="E1798" i="2"/>
  <c r="D1798" i="2"/>
  <c r="C1798" i="2"/>
  <c r="B1798" i="2"/>
  <c r="S1797" i="2"/>
  <c r="R1797" i="2"/>
  <c r="Q1797" i="2"/>
  <c r="O1797" i="2"/>
  <c r="E1797" i="2"/>
  <c r="D1797" i="2"/>
  <c r="C1797" i="2"/>
  <c r="B1797" i="2"/>
  <c r="S1796" i="2"/>
  <c r="R1796" i="2"/>
  <c r="Q1796" i="2"/>
  <c r="O1796" i="2"/>
  <c r="E1796" i="2"/>
  <c r="D1796" i="2"/>
  <c r="C1796" i="2"/>
  <c r="B1796" i="2"/>
  <c r="S1795" i="2"/>
  <c r="R1795" i="2"/>
  <c r="Q1795" i="2"/>
  <c r="O1795" i="2"/>
  <c r="E1795" i="2"/>
  <c r="D1795" i="2"/>
  <c r="C1795" i="2"/>
  <c r="B1795" i="2"/>
  <c r="S1794" i="2"/>
  <c r="R1794" i="2"/>
  <c r="Q1794" i="2"/>
  <c r="O1794" i="2"/>
  <c r="E1794" i="2"/>
  <c r="D1794" i="2"/>
  <c r="C1794" i="2"/>
  <c r="B1794" i="2"/>
  <c r="S1793" i="2"/>
  <c r="R1793" i="2"/>
  <c r="Q1793" i="2"/>
  <c r="O1793" i="2"/>
  <c r="E1793" i="2"/>
  <c r="D1793" i="2"/>
  <c r="C1793" i="2"/>
  <c r="B1793" i="2"/>
  <c r="S1792" i="2"/>
  <c r="R1792" i="2"/>
  <c r="Q1792" i="2"/>
  <c r="O1792" i="2"/>
  <c r="E1792" i="2"/>
  <c r="D1792" i="2"/>
  <c r="C1792" i="2"/>
  <c r="B1792" i="2"/>
  <c r="S1791" i="2"/>
  <c r="R1791" i="2"/>
  <c r="Q1791" i="2"/>
  <c r="O1791" i="2"/>
  <c r="E1791" i="2"/>
  <c r="D1791" i="2"/>
  <c r="C1791" i="2"/>
  <c r="B1791" i="2"/>
  <c r="S1790" i="2"/>
  <c r="R1790" i="2"/>
  <c r="Q1790" i="2"/>
  <c r="O1790" i="2"/>
  <c r="E1790" i="2"/>
  <c r="D1790" i="2"/>
  <c r="C1790" i="2"/>
  <c r="B1790" i="2"/>
  <c r="S1789" i="2"/>
  <c r="R1789" i="2"/>
  <c r="Q1789" i="2"/>
  <c r="O1789" i="2"/>
  <c r="E1789" i="2"/>
  <c r="D1789" i="2"/>
  <c r="C1789" i="2"/>
  <c r="B1789" i="2"/>
  <c r="S1788" i="2"/>
  <c r="R1788" i="2"/>
  <c r="Q1788" i="2"/>
  <c r="O1788" i="2"/>
  <c r="E1788" i="2"/>
  <c r="D1788" i="2"/>
  <c r="C1788" i="2"/>
  <c r="B1788" i="2"/>
  <c r="S1787" i="2"/>
  <c r="R1787" i="2"/>
  <c r="Q1787" i="2"/>
  <c r="O1787" i="2"/>
  <c r="E1787" i="2"/>
  <c r="D1787" i="2"/>
  <c r="C1787" i="2"/>
  <c r="B1787" i="2"/>
  <c r="S1786" i="2"/>
  <c r="R1786" i="2"/>
  <c r="Q1786" i="2"/>
  <c r="O1786" i="2"/>
  <c r="E1786" i="2"/>
  <c r="D1786" i="2"/>
  <c r="C1786" i="2"/>
  <c r="B1786" i="2"/>
  <c r="S1785" i="2"/>
  <c r="R1785" i="2"/>
  <c r="Q1785" i="2"/>
  <c r="O1785" i="2"/>
  <c r="E1785" i="2"/>
  <c r="D1785" i="2"/>
  <c r="C1785" i="2"/>
  <c r="B1785" i="2"/>
  <c r="S1784" i="2"/>
  <c r="R1784" i="2"/>
  <c r="Q1784" i="2"/>
  <c r="O1784" i="2"/>
  <c r="E1784" i="2"/>
  <c r="D1784" i="2"/>
  <c r="C1784" i="2"/>
  <c r="B1784" i="2"/>
  <c r="S1783" i="2"/>
  <c r="R1783" i="2"/>
  <c r="Q1783" i="2"/>
  <c r="O1783" i="2"/>
  <c r="E1783" i="2"/>
  <c r="D1783" i="2"/>
  <c r="C1783" i="2"/>
  <c r="B1783" i="2"/>
  <c r="S1782" i="2"/>
  <c r="R1782" i="2"/>
  <c r="Q1782" i="2"/>
  <c r="O1782" i="2"/>
  <c r="E1782" i="2"/>
  <c r="D1782" i="2"/>
  <c r="C1782" i="2"/>
  <c r="B1782" i="2"/>
  <c r="S1781" i="2"/>
  <c r="R1781" i="2"/>
  <c r="Q1781" i="2"/>
  <c r="O1781" i="2"/>
  <c r="E1781" i="2"/>
  <c r="D1781" i="2"/>
  <c r="C1781" i="2"/>
  <c r="B1781" i="2"/>
  <c r="S1780" i="2"/>
  <c r="R1780" i="2"/>
  <c r="Q1780" i="2"/>
  <c r="O1780" i="2"/>
  <c r="E1780" i="2"/>
  <c r="D1780" i="2"/>
  <c r="C1780" i="2"/>
  <c r="B1780" i="2"/>
  <c r="S1779" i="2"/>
  <c r="R1779" i="2"/>
  <c r="Q1779" i="2"/>
  <c r="O1779" i="2"/>
  <c r="E1779" i="2"/>
  <c r="D1779" i="2"/>
  <c r="C1779" i="2"/>
  <c r="B1779" i="2"/>
  <c r="S1778" i="2"/>
  <c r="R1778" i="2"/>
  <c r="Q1778" i="2"/>
  <c r="O1778" i="2"/>
  <c r="E1778" i="2"/>
  <c r="D1778" i="2"/>
  <c r="C1778" i="2"/>
  <c r="B1778" i="2"/>
  <c r="S1777" i="2"/>
  <c r="R1777" i="2"/>
  <c r="Q1777" i="2"/>
  <c r="O1777" i="2"/>
  <c r="E1777" i="2"/>
  <c r="D1777" i="2"/>
  <c r="C1777" i="2"/>
  <c r="B1777" i="2"/>
  <c r="S1776" i="2"/>
  <c r="R1776" i="2"/>
  <c r="Q1776" i="2"/>
  <c r="O1776" i="2"/>
  <c r="E1776" i="2"/>
  <c r="D1776" i="2"/>
  <c r="C1776" i="2"/>
  <c r="B1776" i="2"/>
  <c r="S1775" i="2"/>
  <c r="R1775" i="2"/>
  <c r="Q1775" i="2"/>
  <c r="O1775" i="2"/>
  <c r="E1775" i="2"/>
  <c r="D1775" i="2"/>
  <c r="C1775" i="2"/>
  <c r="B1775" i="2"/>
  <c r="S1774" i="2"/>
  <c r="R1774" i="2"/>
  <c r="Q1774" i="2"/>
  <c r="O1774" i="2"/>
  <c r="E1774" i="2"/>
  <c r="D1774" i="2"/>
  <c r="C1774" i="2"/>
  <c r="B1774" i="2"/>
  <c r="S1773" i="2"/>
  <c r="R1773" i="2"/>
  <c r="Q1773" i="2"/>
  <c r="O1773" i="2"/>
  <c r="E1773" i="2"/>
  <c r="D1773" i="2"/>
  <c r="C1773" i="2"/>
  <c r="B1773" i="2"/>
  <c r="S1772" i="2"/>
  <c r="R1772" i="2"/>
  <c r="Q1772" i="2"/>
  <c r="O1772" i="2"/>
  <c r="E1772" i="2"/>
  <c r="D1772" i="2"/>
  <c r="C1772" i="2"/>
  <c r="B1772" i="2"/>
  <c r="S1771" i="2"/>
  <c r="R1771" i="2"/>
  <c r="Q1771" i="2"/>
  <c r="O1771" i="2"/>
  <c r="E1771" i="2"/>
  <c r="D1771" i="2"/>
  <c r="C1771" i="2"/>
  <c r="B1771" i="2"/>
  <c r="S1770" i="2"/>
  <c r="R1770" i="2"/>
  <c r="Q1770" i="2"/>
  <c r="O1770" i="2"/>
  <c r="E1770" i="2"/>
  <c r="D1770" i="2"/>
  <c r="C1770" i="2"/>
  <c r="B1770" i="2"/>
  <c r="S1769" i="2"/>
  <c r="R1769" i="2"/>
  <c r="Q1769" i="2"/>
  <c r="O1769" i="2"/>
  <c r="E1769" i="2"/>
  <c r="D1769" i="2"/>
  <c r="C1769" i="2"/>
  <c r="B1769" i="2"/>
  <c r="S1768" i="2"/>
  <c r="R1768" i="2"/>
  <c r="Q1768" i="2"/>
  <c r="O1768" i="2"/>
  <c r="E1768" i="2"/>
  <c r="D1768" i="2"/>
  <c r="C1768" i="2"/>
  <c r="B1768" i="2"/>
  <c r="S1767" i="2"/>
  <c r="R1767" i="2"/>
  <c r="Q1767" i="2"/>
  <c r="O1767" i="2"/>
  <c r="E1767" i="2"/>
  <c r="D1767" i="2"/>
  <c r="C1767" i="2"/>
  <c r="B1767" i="2"/>
  <c r="S1766" i="2"/>
  <c r="R1766" i="2"/>
  <c r="Q1766" i="2"/>
  <c r="O1766" i="2"/>
  <c r="E1766" i="2"/>
  <c r="D1766" i="2"/>
  <c r="C1766" i="2"/>
  <c r="B1766" i="2"/>
  <c r="S1765" i="2"/>
  <c r="R1765" i="2"/>
  <c r="Q1765" i="2"/>
  <c r="O1765" i="2"/>
  <c r="E1765" i="2"/>
  <c r="D1765" i="2"/>
  <c r="C1765" i="2"/>
  <c r="B1765" i="2"/>
  <c r="S1764" i="2"/>
  <c r="R1764" i="2"/>
  <c r="Q1764" i="2"/>
  <c r="O1764" i="2"/>
  <c r="E1764" i="2"/>
  <c r="D1764" i="2"/>
  <c r="C1764" i="2"/>
  <c r="B1764" i="2"/>
  <c r="S1763" i="2"/>
  <c r="R1763" i="2"/>
  <c r="Q1763" i="2"/>
  <c r="O1763" i="2"/>
  <c r="E1763" i="2"/>
  <c r="D1763" i="2"/>
  <c r="C1763" i="2"/>
  <c r="B1763" i="2"/>
  <c r="S1762" i="2"/>
  <c r="R1762" i="2"/>
  <c r="Q1762" i="2"/>
  <c r="O1762" i="2"/>
  <c r="E1762" i="2"/>
  <c r="D1762" i="2"/>
  <c r="C1762" i="2"/>
  <c r="B1762" i="2"/>
  <c r="S1761" i="2"/>
  <c r="R1761" i="2"/>
  <c r="Q1761" i="2"/>
  <c r="O1761" i="2"/>
  <c r="E1761" i="2"/>
  <c r="D1761" i="2"/>
  <c r="C1761" i="2"/>
  <c r="B1761" i="2"/>
  <c r="S1760" i="2"/>
  <c r="R1760" i="2"/>
  <c r="Q1760" i="2"/>
  <c r="O1760" i="2"/>
  <c r="E1760" i="2"/>
  <c r="D1760" i="2"/>
  <c r="C1760" i="2"/>
  <c r="B1760" i="2"/>
  <c r="S1759" i="2"/>
  <c r="R1759" i="2"/>
  <c r="Q1759" i="2"/>
  <c r="O1759" i="2"/>
  <c r="E1759" i="2"/>
  <c r="D1759" i="2"/>
  <c r="C1759" i="2"/>
  <c r="B1759" i="2"/>
  <c r="S1758" i="2"/>
  <c r="R1758" i="2"/>
  <c r="Q1758" i="2"/>
  <c r="O1758" i="2"/>
  <c r="E1758" i="2"/>
  <c r="D1758" i="2"/>
  <c r="C1758" i="2"/>
  <c r="B1758" i="2"/>
  <c r="S1757" i="2"/>
  <c r="R1757" i="2"/>
  <c r="Q1757" i="2"/>
  <c r="O1757" i="2"/>
  <c r="E1757" i="2"/>
  <c r="D1757" i="2"/>
  <c r="C1757" i="2"/>
  <c r="B1757" i="2"/>
  <c r="S1756" i="2"/>
  <c r="R1756" i="2"/>
  <c r="Q1756" i="2"/>
  <c r="O1756" i="2"/>
  <c r="E1756" i="2"/>
  <c r="D1756" i="2"/>
  <c r="C1756" i="2"/>
  <c r="B1756" i="2"/>
  <c r="S1755" i="2"/>
  <c r="R1755" i="2"/>
  <c r="Q1755" i="2"/>
  <c r="O1755" i="2"/>
  <c r="E1755" i="2"/>
  <c r="D1755" i="2"/>
  <c r="C1755" i="2"/>
  <c r="B1755" i="2"/>
  <c r="S1754" i="2"/>
  <c r="R1754" i="2"/>
  <c r="Q1754" i="2"/>
  <c r="O1754" i="2"/>
  <c r="E1754" i="2"/>
  <c r="D1754" i="2"/>
  <c r="C1754" i="2"/>
  <c r="B1754" i="2"/>
  <c r="S1753" i="2"/>
  <c r="R1753" i="2"/>
  <c r="Q1753" i="2"/>
  <c r="O1753" i="2"/>
  <c r="E1753" i="2"/>
  <c r="D1753" i="2"/>
  <c r="C1753" i="2"/>
  <c r="B1753" i="2"/>
  <c r="S1752" i="2"/>
  <c r="R1752" i="2"/>
  <c r="Q1752" i="2"/>
  <c r="O1752" i="2"/>
  <c r="E1752" i="2"/>
  <c r="D1752" i="2"/>
  <c r="C1752" i="2"/>
  <c r="B1752" i="2"/>
  <c r="S1751" i="2"/>
  <c r="R1751" i="2"/>
  <c r="Q1751" i="2"/>
  <c r="O1751" i="2"/>
  <c r="E1751" i="2"/>
  <c r="D1751" i="2"/>
  <c r="C1751" i="2"/>
  <c r="B1751" i="2"/>
  <c r="S1750" i="2"/>
  <c r="R1750" i="2"/>
  <c r="Q1750" i="2"/>
  <c r="O1750" i="2"/>
  <c r="E1750" i="2"/>
  <c r="D1750" i="2"/>
  <c r="C1750" i="2"/>
  <c r="B1750" i="2"/>
  <c r="S1749" i="2"/>
  <c r="R1749" i="2"/>
  <c r="Q1749" i="2"/>
  <c r="O1749" i="2"/>
  <c r="E1749" i="2"/>
  <c r="D1749" i="2"/>
  <c r="C1749" i="2"/>
  <c r="B1749" i="2"/>
  <c r="S1748" i="2"/>
  <c r="R1748" i="2"/>
  <c r="Q1748" i="2"/>
  <c r="O1748" i="2"/>
  <c r="E1748" i="2"/>
  <c r="D1748" i="2"/>
  <c r="C1748" i="2"/>
  <c r="B1748" i="2"/>
  <c r="S1747" i="2"/>
  <c r="R1747" i="2"/>
  <c r="Q1747" i="2"/>
  <c r="O1747" i="2"/>
  <c r="E1747" i="2"/>
  <c r="D1747" i="2"/>
  <c r="C1747" i="2"/>
  <c r="B1747" i="2"/>
  <c r="S1746" i="2"/>
  <c r="R1746" i="2"/>
  <c r="Q1746" i="2"/>
  <c r="O1746" i="2"/>
  <c r="E1746" i="2"/>
  <c r="D1746" i="2"/>
  <c r="C1746" i="2"/>
  <c r="B1746" i="2"/>
  <c r="S1745" i="2"/>
  <c r="R1745" i="2"/>
  <c r="Q1745" i="2"/>
  <c r="O1745" i="2"/>
  <c r="E1745" i="2"/>
  <c r="D1745" i="2"/>
  <c r="C1745" i="2"/>
  <c r="B1745" i="2"/>
  <c r="S1744" i="2"/>
  <c r="R1744" i="2"/>
  <c r="Q1744" i="2"/>
  <c r="O1744" i="2"/>
  <c r="E1744" i="2"/>
  <c r="D1744" i="2"/>
  <c r="C1744" i="2"/>
  <c r="B1744" i="2"/>
  <c r="S1743" i="2"/>
  <c r="R1743" i="2"/>
  <c r="Q1743" i="2"/>
  <c r="O1743" i="2"/>
  <c r="E1743" i="2"/>
  <c r="D1743" i="2"/>
  <c r="C1743" i="2"/>
  <c r="B1743" i="2"/>
  <c r="S1742" i="2"/>
  <c r="R1742" i="2"/>
  <c r="Q1742" i="2"/>
  <c r="O1742" i="2"/>
  <c r="E1742" i="2"/>
  <c r="D1742" i="2"/>
  <c r="C1742" i="2"/>
  <c r="B1742" i="2"/>
  <c r="S1741" i="2"/>
  <c r="R1741" i="2"/>
  <c r="Q1741" i="2"/>
  <c r="O1741" i="2"/>
  <c r="E1741" i="2"/>
  <c r="D1741" i="2"/>
  <c r="C1741" i="2"/>
  <c r="B1741" i="2"/>
  <c r="S1740" i="2"/>
  <c r="R1740" i="2"/>
  <c r="Q1740" i="2"/>
  <c r="O1740" i="2"/>
  <c r="E1740" i="2"/>
  <c r="D1740" i="2"/>
  <c r="C1740" i="2"/>
  <c r="B1740" i="2"/>
  <c r="S1739" i="2"/>
  <c r="R1739" i="2"/>
  <c r="Q1739" i="2"/>
  <c r="O1739" i="2"/>
  <c r="E1739" i="2"/>
  <c r="D1739" i="2"/>
  <c r="C1739" i="2"/>
  <c r="B1739" i="2"/>
  <c r="S1738" i="2"/>
  <c r="R1738" i="2"/>
  <c r="Q1738" i="2"/>
  <c r="O1738" i="2"/>
  <c r="E1738" i="2"/>
  <c r="D1738" i="2"/>
  <c r="C1738" i="2"/>
  <c r="B1738" i="2"/>
  <c r="S1737" i="2"/>
  <c r="R1737" i="2"/>
  <c r="Q1737" i="2"/>
  <c r="O1737" i="2"/>
  <c r="E1737" i="2"/>
  <c r="D1737" i="2"/>
  <c r="C1737" i="2"/>
  <c r="B1737" i="2"/>
  <c r="S1736" i="2"/>
  <c r="R1736" i="2"/>
  <c r="Q1736" i="2"/>
  <c r="O1736" i="2"/>
  <c r="E1736" i="2"/>
  <c r="D1736" i="2"/>
  <c r="C1736" i="2"/>
  <c r="B1736" i="2"/>
  <c r="S1735" i="2"/>
  <c r="R1735" i="2"/>
  <c r="Q1735" i="2"/>
  <c r="O1735" i="2"/>
  <c r="E1735" i="2"/>
  <c r="D1735" i="2"/>
  <c r="C1735" i="2"/>
  <c r="B1735" i="2"/>
  <c r="S1734" i="2"/>
  <c r="R1734" i="2"/>
  <c r="Q1734" i="2"/>
  <c r="O1734" i="2"/>
  <c r="E1734" i="2"/>
  <c r="D1734" i="2"/>
  <c r="C1734" i="2"/>
  <c r="B1734" i="2"/>
  <c r="S1733" i="2"/>
  <c r="R1733" i="2"/>
  <c r="Q1733" i="2"/>
  <c r="O1733" i="2"/>
  <c r="E1733" i="2"/>
  <c r="D1733" i="2"/>
  <c r="C1733" i="2"/>
  <c r="B1733" i="2"/>
  <c r="S1732" i="2"/>
  <c r="R1732" i="2"/>
  <c r="Q1732" i="2"/>
  <c r="O1732" i="2"/>
  <c r="E1732" i="2"/>
  <c r="D1732" i="2"/>
  <c r="C1732" i="2"/>
  <c r="B1732" i="2"/>
  <c r="S1731" i="2"/>
  <c r="R1731" i="2"/>
  <c r="Q1731" i="2"/>
  <c r="O1731" i="2"/>
  <c r="E1731" i="2"/>
  <c r="D1731" i="2"/>
  <c r="C1731" i="2"/>
  <c r="B1731" i="2"/>
  <c r="S1730" i="2"/>
  <c r="R1730" i="2"/>
  <c r="Q1730" i="2"/>
  <c r="O1730" i="2"/>
  <c r="E1730" i="2"/>
  <c r="D1730" i="2"/>
  <c r="C1730" i="2"/>
  <c r="B1730" i="2"/>
  <c r="S1729" i="2"/>
  <c r="R1729" i="2"/>
  <c r="Q1729" i="2"/>
  <c r="O1729" i="2"/>
  <c r="E1729" i="2"/>
  <c r="D1729" i="2"/>
  <c r="C1729" i="2"/>
  <c r="B1729" i="2"/>
  <c r="S1728" i="2"/>
  <c r="R1728" i="2"/>
  <c r="Q1728" i="2"/>
  <c r="O1728" i="2"/>
  <c r="E1728" i="2"/>
  <c r="D1728" i="2"/>
  <c r="C1728" i="2"/>
  <c r="B1728" i="2"/>
  <c r="S1727" i="2"/>
  <c r="R1727" i="2"/>
  <c r="Q1727" i="2"/>
  <c r="O1727" i="2"/>
  <c r="E1727" i="2"/>
  <c r="D1727" i="2"/>
  <c r="C1727" i="2"/>
  <c r="B1727" i="2"/>
  <c r="S1726" i="2"/>
  <c r="R1726" i="2"/>
  <c r="Q1726" i="2"/>
  <c r="O1726" i="2"/>
  <c r="E1726" i="2"/>
  <c r="D1726" i="2"/>
  <c r="C1726" i="2"/>
  <c r="B1726" i="2"/>
  <c r="S1725" i="2"/>
  <c r="R1725" i="2"/>
  <c r="Q1725" i="2"/>
  <c r="O1725" i="2"/>
  <c r="E1725" i="2"/>
  <c r="D1725" i="2"/>
  <c r="C1725" i="2"/>
  <c r="B1725" i="2"/>
  <c r="S1724" i="2"/>
  <c r="R1724" i="2"/>
  <c r="Q1724" i="2"/>
  <c r="O1724" i="2"/>
  <c r="E1724" i="2"/>
  <c r="D1724" i="2"/>
  <c r="C1724" i="2"/>
  <c r="B1724" i="2"/>
  <c r="S1723" i="2"/>
  <c r="R1723" i="2"/>
  <c r="Q1723" i="2"/>
  <c r="O1723" i="2"/>
  <c r="E1723" i="2"/>
  <c r="D1723" i="2"/>
  <c r="C1723" i="2"/>
  <c r="B1723" i="2"/>
  <c r="S1722" i="2"/>
  <c r="R1722" i="2"/>
  <c r="Q1722" i="2"/>
  <c r="O1722" i="2"/>
  <c r="E1722" i="2"/>
  <c r="D1722" i="2"/>
  <c r="C1722" i="2"/>
  <c r="B1722" i="2"/>
  <c r="S1721" i="2"/>
  <c r="R1721" i="2"/>
  <c r="Q1721" i="2"/>
  <c r="O1721" i="2"/>
  <c r="E1721" i="2"/>
  <c r="D1721" i="2"/>
  <c r="C1721" i="2"/>
  <c r="B1721" i="2"/>
  <c r="S1720" i="2"/>
  <c r="R1720" i="2"/>
  <c r="Q1720" i="2"/>
  <c r="O1720" i="2"/>
  <c r="E1720" i="2"/>
  <c r="D1720" i="2"/>
  <c r="C1720" i="2"/>
  <c r="B1720" i="2"/>
  <c r="S1719" i="2"/>
  <c r="R1719" i="2"/>
  <c r="Q1719" i="2"/>
  <c r="O1719" i="2"/>
  <c r="E1719" i="2"/>
  <c r="D1719" i="2"/>
  <c r="C1719" i="2"/>
  <c r="B1719" i="2"/>
  <c r="S1718" i="2"/>
  <c r="R1718" i="2"/>
  <c r="Q1718" i="2"/>
  <c r="O1718" i="2"/>
  <c r="E1718" i="2"/>
  <c r="D1718" i="2"/>
  <c r="C1718" i="2"/>
  <c r="B1718" i="2"/>
  <c r="S1717" i="2"/>
  <c r="R1717" i="2"/>
  <c r="Q1717" i="2"/>
  <c r="O1717" i="2"/>
  <c r="E1717" i="2"/>
  <c r="D1717" i="2"/>
  <c r="C1717" i="2"/>
  <c r="B1717" i="2"/>
  <c r="S1716" i="2"/>
  <c r="R1716" i="2"/>
  <c r="Q1716" i="2"/>
  <c r="O1716" i="2"/>
  <c r="E1716" i="2"/>
  <c r="D1716" i="2"/>
  <c r="C1716" i="2"/>
  <c r="B1716" i="2"/>
  <c r="S1715" i="2"/>
  <c r="R1715" i="2"/>
  <c r="Q1715" i="2"/>
  <c r="O1715" i="2"/>
  <c r="E1715" i="2"/>
  <c r="D1715" i="2"/>
  <c r="C1715" i="2"/>
  <c r="B1715" i="2"/>
  <c r="S1714" i="2"/>
  <c r="R1714" i="2"/>
  <c r="Q1714" i="2"/>
  <c r="O1714" i="2"/>
  <c r="E1714" i="2"/>
  <c r="D1714" i="2"/>
  <c r="C1714" i="2"/>
  <c r="B1714" i="2"/>
  <c r="S1713" i="2"/>
  <c r="R1713" i="2"/>
  <c r="Q1713" i="2"/>
  <c r="O1713" i="2"/>
  <c r="E1713" i="2"/>
  <c r="D1713" i="2"/>
  <c r="C1713" i="2"/>
  <c r="B1713" i="2"/>
  <c r="S1712" i="2"/>
  <c r="R1712" i="2"/>
  <c r="Q1712" i="2"/>
  <c r="O1712" i="2"/>
  <c r="E1712" i="2"/>
  <c r="D1712" i="2"/>
  <c r="C1712" i="2"/>
  <c r="B1712" i="2"/>
  <c r="S1711" i="2"/>
  <c r="R1711" i="2"/>
  <c r="Q1711" i="2"/>
  <c r="O1711" i="2"/>
  <c r="E1711" i="2"/>
  <c r="D1711" i="2"/>
  <c r="C1711" i="2"/>
  <c r="B1711" i="2"/>
  <c r="S1710" i="2"/>
  <c r="R1710" i="2"/>
  <c r="Q1710" i="2"/>
  <c r="O1710" i="2"/>
  <c r="E1710" i="2"/>
  <c r="D1710" i="2"/>
  <c r="C1710" i="2"/>
  <c r="B1710" i="2"/>
  <c r="S1709" i="2"/>
  <c r="R1709" i="2"/>
  <c r="Q1709" i="2"/>
  <c r="O1709" i="2"/>
  <c r="E1709" i="2"/>
  <c r="D1709" i="2"/>
  <c r="C1709" i="2"/>
  <c r="B1709" i="2"/>
  <c r="S1708" i="2"/>
  <c r="R1708" i="2"/>
  <c r="Q1708" i="2"/>
  <c r="O1708" i="2"/>
  <c r="E1708" i="2"/>
  <c r="D1708" i="2"/>
  <c r="C1708" i="2"/>
  <c r="B1708" i="2"/>
  <c r="S1707" i="2"/>
  <c r="R1707" i="2"/>
  <c r="Q1707" i="2"/>
  <c r="O1707" i="2"/>
  <c r="E1707" i="2"/>
  <c r="D1707" i="2"/>
  <c r="C1707" i="2"/>
  <c r="B1707" i="2"/>
  <c r="S1706" i="2"/>
  <c r="R1706" i="2"/>
  <c r="Q1706" i="2"/>
  <c r="O1706" i="2"/>
  <c r="E1706" i="2"/>
  <c r="D1706" i="2"/>
  <c r="C1706" i="2"/>
  <c r="B1706" i="2"/>
  <c r="S1705" i="2"/>
  <c r="R1705" i="2"/>
  <c r="Q1705" i="2"/>
  <c r="O1705" i="2"/>
  <c r="E1705" i="2"/>
  <c r="D1705" i="2"/>
  <c r="C1705" i="2"/>
  <c r="B1705" i="2"/>
  <c r="S1704" i="2"/>
  <c r="R1704" i="2"/>
  <c r="Q1704" i="2"/>
  <c r="O1704" i="2"/>
  <c r="E1704" i="2"/>
  <c r="D1704" i="2"/>
  <c r="C1704" i="2"/>
  <c r="B1704" i="2"/>
  <c r="S1703" i="2"/>
  <c r="R1703" i="2"/>
  <c r="Q1703" i="2"/>
  <c r="O1703" i="2"/>
  <c r="E1703" i="2"/>
  <c r="D1703" i="2"/>
  <c r="C1703" i="2"/>
  <c r="B1703" i="2"/>
  <c r="S1702" i="2"/>
  <c r="R1702" i="2"/>
  <c r="Q1702" i="2"/>
  <c r="O1702" i="2"/>
  <c r="E1702" i="2"/>
  <c r="D1702" i="2"/>
  <c r="C1702" i="2"/>
  <c r="B1702" i="2"/>
  <c r="S1701" i="2"/>
  <c r="R1701" i="2"/>
  <c r="Q1701" i="2"/>
  <c r="O1701" i="2"/>
  <c r="E1701" i="2"/>
  <c r="D1701" i="2"/>
  <c r="C1701" i="2"/>
  <c r="B1701" i="2"/>
  <c r="S1700" i="2"/>
  <c r="R1700" i="2"/>
  <c r="Q1700" i="2"/>
  <c r="O1700" i="2"/>
  <c r="E1700" i="2"/>
  <c r="D1700" i="2"/>
  <c r="C1700" i="2"/>
  <c r="B1700" i="2"/>
  <c r="S1699" i="2"/>
  <c r="R1699" i="2"/>
  <c r="Q1699" i="2"/>
  <c r="O1699" i="2"/>
  <c r="E1699" i="2"/>
  <c r="D1699" i="2"/>
  <c r="C1699" i="2"/>
  <c r="B1699" i="2"/>
  <c r="S1698" i="2"/>
  <c r="R1698" i="2"/>
  <c r="Q1698" i="2"/>
  <c r="O1698" i="2"/>
  <c r="E1698" i="2"/>
  <c r="D1698" i="2"/>
  <c r="C1698" i="2"/>
  <c r="B1698" i="2"/>
  <c r="S1697" i="2"/>
  <c r="R1697" i="2"/>
  <c r="Q1697" i="2"/>
  <c r="O1697" i="2"/>
  <c r="E1697" i="2"/>
  <c r="D1697" i="2"/>
  <c r="C1697" i="2"/>
  <c r="B1697" i="2"/>
  <c r="S1696" i="2"/>
  <c r="R1696" i="2"/>
  <c r="Q1696" i="2"/>
  <c r="O1696" i="2"/>
  <c r="E1696" i="2"/>
  <c r="D1696" i="2"/>
  <c r="C1696" i="2"/>
  <c r="B1696" i="2"/>
  <c r="S1695" i="2"/>
  <c r="R1695" i="2"/>
  <c r="Q1695" i="2"/>
  <c r="O1695" i="2"/>
  <c r="E1695" i="2"/>
  <c r="D1695" i="2"/>
  <c r="C1695" i="2"/>
  <c r="B1695" i="2"/>
  <c r="S1694" i="2"/>
  <c r="R1694" i="2"/>
  <c r="Q1694" i="2"/>
  <c r="O1694" i="2"/>
  <c r="E1694" i="2"/>
  <c r="D1694" i="2"/>
  <c r="C1694" i="2"/>
  <c r="B1694" i="2"/>
  <c r="S1693" i="2"/>
  <c r="R1693" i="2"/>
  <c r="Q1693" i="2"/>
  <c r="O1693" i="2"/>
  <c r="E1693" i="2"/>
  <c r="D1693" i="2"/>
  <c r="C1693" i="2"/>
  <c r="B1693" i="2"/>
  <c r="S1692" i="2"/>
  <c r="R1692" i="2"/>
  <c r="Q1692" i="2"/>
  <c r="O1692" i="2"/>
  <c r="E1692" i="2"/>
  <c r="D1692" i="2"/>
  <c r="C1692" i="2"/>
  <c r="B1692" i="2"/>
  <c r="S1691" i="2"/>
  <c r="R1691" i="2"/>
  <c r="Q1691" i="2"/>
  <c r="O1691" i="2"/>
  <c r="E1691" i="2"/>
  <c r="D1691" i="2"/>
  <c r="C1691" i="2"/>
  <c r="B1691" i="2"/>
  <c r="S1690" i="2"/>
  <c r="R1690" i="2"/>
  <c r="Q1690" i="2"/>
  <c r="O1690" i="2"/>
  <c r="E1690" i="2"/>
  <c r="D1690" i="2"/>
  <c r="C1690" i="2"/>
  <c r="B1690" i="2"/>
  <c r="S1689" i="2"/>
  <c r="R1689" i="2"/>
  <c r="Q1689" i="2"/>
  <c r="O1689" i="2"/>
  <c r="E1689" i="2"/>
  <c r="D1689" i="2"/>
  <c r="C1689" i="2"/>
  <c r="B1689" i="2"/>
  <c r="S1688" i="2"/>
  <c r="R1688" i="2"/>
  <c r="Q1688" i="2"/>
  <c r="O1688" i="2"/>
  <c r="E1688" i="2"/>
  <c r="D1688" i="2"/>
  <c r="C1688" i="2"/>
  <c r="B1688" i="2"/>
  <c r="S1687" i="2"/>
  <c r="R1687" i="2"/>
  <c r="Q1687" i="2"/>
  <c r="O1687" i="2"/>
  <c r="E1687" i="2"/>
  <c r="D1687" i="2"/>
  <c r="C1687" i="2"/>
  <c r="B1687" i="2"/>
  <c r="S1686" i="2"/>
  <c r="R1686" i="2"/>
  <c r="Q1686" i="2"/>
  <c r="O1686" i="2"/>
  <c r="E1686" i="2"/>
  <c r="D1686" i="2"/>
  <c r="C1686" i="2"/>
  <c r="B1686" i="2"/>
  <c r="S1685" i="2"/>
  <c r="R1685" i="2"/>
  <c r="Q1685" i="2"/>
  <c r="O1685" i="2"/>
  <c r="E1685" i="2"/>
  <c r="D1685" i="2"/>
  <c r="C1685" i="2"/>
  <c r="B1685" i="2"/>
  <c r="S1684" i="2"/>
  <c r="R1684" i="2"/>
  <c r="Q1684" i="2"/>
  <c r="O1684" i="2"/>
  <c r="E1684" i="2"/>
  <c r="D1684" i="2"/>
  <c r="C1684" i="2"/>
  <c r="B1684" i="2"/>
  <c r="S1683" i="2"/>
  <c r="R1683" i="2"/>
  <c r="Q1683" i="2"/>
  <c r="O1683" i="2"/>
  <c r="E1683" i="2"/>
  <c r="D1683" i="2"/>
  <c r="C1683" i="2"/>
  <c r="B1683" i="2"/>
  <c r="S1682" i="2"/>
  <c r="R1682" i="2"/>
  <c r="Q1682" i="2"/>
  <c r="O1682" i="2"/>
  <c r="E1682" i="2"/>
  <c r="D1682" i="2"/>
  <c r="C1682" i="2"/>
  <c r="B1682" i="2"/>
  <c r="S1681" i="2"/>
  <c r="R1681" i="2"/>
  <c r="Q1681" i="2"/>
  <c r="O1681" i="2"/>
  <c r="E1681" i="2"/>
  <c r="D1681" i="2"/>
  <c r="C1681" i="2"/>
  <c r="B1681" i="2"/>
  <c r="S1680" i="2"/>
  <c r="R1680" i="2"/>
  <c r="Q1680" i="2"/>
  <c r="O1680" i="2"/>
  <c r="E1680" i="2"/>
  <c r="D1680" i="2"/>
  <c r="C1680" i="2"/>
  <c r="B1680" i="2"/>
  <c r="S1679" i="2"/>
  <c r="R1679" i="2"/>
  <c r="Q1679" i="2"/>
  <c r="O1679" i="2"/>
  <c r="E1679" i="2"/>
  <c r="D1679" i="2"/>
  <c r="C1679" i="2"/>
  <c r="B1679" i="2"/>
  <c r="S1678" i="2"/>
  <c r="R1678" i="2"/>
  <c r="Q1678" i="2"/>
  <c r="O1678" i="2"/>
  <c r="E1678" i="2"/>
  <c r="D1678" i="2"/>
  <c r="C1678" i="2"/>
  <c r="B1678" i="2"/>
  <c r="S1677" i="2"/>
  <c r="R1677" i="2"/>
  <c r="Q1677" i="2"/>
  <c r="O1677" i="2"/>
  <c r="E1677" i="2"/>
  <c r="D1677" i="2"/>
  <c r="C1677" i="2"/>
  <c r="B1677" i="2"/>
  <c r="S1676" i="2"/>
  <c r="R1676" i="2"/>
  <c r="Q1676" i="2"/>
  <c r="O1676" i="2"/>
  <c r="E1676" i="2"/>
  <c r="D1676" i="2"/>
  <c r="C1676" i="2"/>
  <c r="B1676" i="2"/>
  <c r="S1675" i="2"/>
  <c r="R1675" i="2"/>
  <c r="Q1675" i="2"/>
  <c r="O1675" i="2"/>
  <c r="E1675" i="2"/>
  <c r="D1675" i="2"/>
  <c r="C1675" i="2"/>
  <c r="B1675" i="2"/>
  <c r="S1674" i="2"/>
  <c r="R1674" i="2"/>
  <c r="Q1674" i="2"/>
  <c r="O1674" i="2"/>
  <c r="E1674" i="2"/>
  <c r="D1674" i="2"/>
  <c r="C1674" i="2"/>
  <c r="B1674" i="2"/>
  <c r="S1673" i="2"/>
  <c r="R1673" i="2"/>
  <c r="Q1673" i="2"/>
  <c r="O1673" i="2"/>
  <c r="E1673" i="2"/>
  <c r="D1673" i="2"/>
  <c r="C1673" i="2"/>
  <c r="B1673" i="2"/>
  <c r="S1672" i="2"/>
  <c r="R1672" i="2"/>
  <c r="Q1672" i="2"/>
  <c r="O1672" i="2"/>
  <c r="E1672" i="2"/>
  <c r="D1672" i="2"/>
  <c r="C1672" i="2"/>
  <c r="B1672" i="2"/>
  <c r="S1671" i="2"/>
  <c r="R1671" i="2"/>
  <c r="Q1671" i="2"/>
  <c r="O1671" i="2"/>
  <c r="E1671" i="2"/>
  <c r="D1671" i="2"/>
  <c r="C1671" i="2"/>
  <c r="B1671" i="2"/>
  <c r="S1670" i="2"/>
  <c r="R1670" i="2"/>
  <c r="Q1670" i="2"/>
  <c r="O1670" i="2"/>
  <c r="E1670" i="2"/>
  <c r="D1670" i="2"/>
  <c r="C1670" i="2"/>
  <c r="B1670" i="2"/>
  <c r="S1669" i="2"/>
  <c r="R1669" i="2"/>
  <c r="Q1669" i="2"/>
  <c r="O1669" i="2"/>
  <c r="E1669" i="2"/>
  <c r="D1669" i="2"/>
  <c r="C1669" i="2"/>
  <c r="B1669" i="2"/>
  <c r="S1668" i="2"/>
  <c r="R1668" i="2"/>
  <c r="Q1668" i="2"/>
  <c r="O1668" i="2"/>
  <c r="E1668" i="2"/>
  <c r="D1668" i="2"/>
  <c r="C1668" i="2"/>
  <c r="B1668" i="2"/>
  <c r="S1667" i="2"/>
  <c r="R1667" i="2"/>
  <c r="Q1667" i="2"/>
  <c r="O1667" i="2"/>
  <c r="E1667" i="2"/>
  <c r="D1667" i="2"/>
  <c r="C1667" i="2"/>
  <c r="B1667" i="2"/>
  <c r="S1666" i="2"/>
  <c r="R1666" i="2"/>
  <c r="Q1666" i="2"/>
  <c r="O1666" i="2"/>
  <c r="E1666" i="2"/>
  <c r="D1666" i="2"/>
  <c r="C1666" i="2"/>
  <c r="B1666" i="2"/>
  <c r="S1665" i="2"/>
  <c r="R1665" i="2"/>
  <c r="Q1665" i="2"/>
  <c r="O1665" i="2"/>
  <c r="E1665" i="2"/>
  <c r="D1665" i="2"/>
  <c r="C1665" i="2"/>
  <c r="B1665" i="2"/>
  <c r="S1664" i="2"/>
  <c r="R1664" i="2"/>
  <c r="Q1664" i="2"/>
  <c r="O1664" i="2"/>
  <c r="E1664" i="2"/>
  <c r="D1664" i="2"/>
  <c r="C1664" i="2"/>
  <c r="B1664" i="2"/>
  <c r="S1663" i="2"/>
  <c r="R1663" i="2"/>
  <c r="Q1663" i="2"/>
  <c r="O1663" i="2"/>
  <c r="E1663" i="2"/>
  <c r="D1663" i="2"/>
  <c r="C1663" i="2"/>
  <c r="B1663" i="2"/>
  <c r="S1662" i="2"/>
  <c r="R1662" i="2"/>
  <c r="Q1662" i="2"/>
  <c r="O1662" i="2"/>
  <c r="E1662" i="2"/>
  <c r="D1662" i="2"/>
  <c r="C1662" i="2"/>
  <c r="B1662" i="2"/>
  <c r="S1661" i="2"/>
  <c r="R1661" i="2"/>
  <c r="Q1661" i="2"/>
  <c r="O1661" i="2"/>
  <c r="E1661" i="2"/>
  <c r="D1661" i="2"/>
  <c r="C1661" i="2"/>
  <c r="B1661" i="2"/>
  <c r="S1660" i="2"/>
  <c r="R1660" i="2"/>
  <c r="Q1660" i="2"/>
  <c r="O1660" i="2"/>
  <c r="E1660" i="2"/>
  <c r="D1660" i="2"/>
  <c r="C1660" i="2"/>
  <c r="B1660" i="2"/>
  <c r="S1659" i="2"/>
  <c r="R1659" i="2"/>
  <c r="Q1659" i="2"/>
  <c r="O1659" i="2"/>
  <c r="E1659" i="2"/>
  <c r="D1659" i="2"/>
  <c r="C1659" i="2"/>
  <c r="B1659" i="2"/>
  <c r="S1658" i="2"/>
  <c r="R1658" i="2"/>
  <c r="Q1658" i="2"/>
  <c r="O1658" i="2"/>
  <c r="E1658" i="2"/>
  <c r="D1658" i="2"/>
  <c r="C1658" i="2"/>
  <c r="B1658" i="2"/>
  <c r="S1657" i="2"/>
  <c r="R1657" i="2"/>
  <c r="Q1657" i="2"/>
  <c r="O1657" i="2"/>
  <c r="E1657" i="2"/>
  <c r="D1657" i="2"/>
  <c r="C1657" i="2"/>
  <c r="B1657" i="2"/>
  <c r="S1656" i="2"/>
  <c r="R1656" i="2"/>
  <c r="Q1656" i="2"/>
  <c r="O1656" i="2"/>
  <c r="E1656" i="2"/>
  <c r="D1656" i="2"/>
  <c r="C1656" i="2"/>
  <c r="B1656" i="2"/>
  <c r="S1655" i="2"/>
  <c r="R1655" i="2"/>
  <c r="Q1655" i="2"/>
  <c r="O1655" i="2"/>
  <c r="E1655" i="2"/>
  <c r="D1655" i="2"/>
  <c r="C1655" i="2"/>
  <c r="B1655" i="2"/>
  <c r="S1654" i="2"/>
  <c r="R1654" i="2"/>
  <c r="Q1654" i="2"/>
  <c r="O1654" i="2"/>
  <c r="E1654" i="2"/>
  <c r="D1654" i="2"/>
  <c r="C1654" i="2"/>
  <c r="B1654" i="2"/>
  <c r="S1653" i="2"/>
  <c r="R1653" i="2"/>
  <c r="Q1653" i="2"/>
  <c r="O1653" i="2"/>
  <c r="E1653" i="2"/>
  <c r="D1653" i="2"/>
  <c r="C1653" i="2"/>
  <c r="B1653" i="2"/>
  <c r="S1652" i="2"/>
  <c r="R1652" i="2"/>
  <c r="Q1652" i="2"/>
  <c r="O1652" i="2"/>
  <c r="E1652" i="2"/>
  <c r="D1652" i="2"/>
  <c r="C1652" i="2"/>
  <c r="B1652" i="2"/>
  <c r="S1651" i="2"/>
  <c r="R1651" i="2"/>
  <c r="Q1651" i="2"/>
  <c r="O1651" i="2"/>
  <c r="E1651" i="2"/>
  <c r="D1651" i="2"/>
  <c r="C1651" i="2"/>
  <c r="B1651" i="2"/>
  <c r="S1650" i="2"/>
  <c r="R1650" i="2"/>
  <c r="Q1650" i="2"/>
  <c r="O1650" i="2"/>
  <c r="E1650" i="2"/>
  <c r="D1650" i="2"/>
  <c r="C1650" i="2"/>
  <c r="B1650" i="2"/>
  <c r="S1649" i="2"/>
  <c r="R1649" i="2"/>
  <c r="Q1649" i="2"/>
  <c r="O1649" i="2"/>
  <c r="E1649" i="2"/>
  <c r="D1649" i="2"/>
  <c r="C1649" i="2"/>
  <c r="B1649" i="2"/>
  <c r="S1648" i="2"/>
  <c r="R1648" i="2"/>
  <c r="Q1648" i="2"/>
  <c r="O1648" i="2"/>
  <c r="E1648" i="2"/>
  <c r="D1648" i="2"/>
  <c r="C1648" i="2"/>
  <c r="B1648" i="2"/>
  <c r="S1647" i="2"/>
  <c r="R1647" i="2"/>
  <c r="Q1647" i="2"/>
  <c r="O1647" i="2"/>
  <c r="E1647" i="2"/>
  <c r="D1647" i="2"/>
  <c r="C1647" i="2"/>
  <c r="B1647" i="2"/>
  <c r="S1646" i="2"/>
  <c r="R1646" i="2"/>
  <c r="Q1646" i="2"/>
  <c r="O1646" i="2"/>
  <c r="E1646" i="2"/>
  <c r="D1646" i="2"/>
  <c r="C1646" i="2"/>
  <c r="B1646" i="2"/>
  <c r="S1645" i="2"/>
  <c r="R1645" i="2"/>
  <c r="Q1645" i="2"/>
  <c r="O1645" i="2"/>
  <c r="E1645" i="2"/>
  <c r="D1645" i="2"/>
  <c r="C1645" i="2"/>
  <c r="B1645" i="2"/>
  <c r="S1644" i="2"/>
  <c r="R1644" i="2"/>
  <c r="Q1644" i="2"/>
  <c r="O1644" i="2"/>
  <c r="E1644" i="2"/>
  <c r="D1644" i="2"/>
  <c r="C1644" i="2"/>
  <c r="B1644" i="2"/>
  <c r="S1643" i="2"/>
  <c r="R1643" i="2"/>
  <c r="Q1643" i="2"/>
  <c r="O1643" i="2"/>
  <c r="E1643" i="2"/>
  <c r="D1643" i="2"/>
  <c r="C1643" i="2"/>
  <c r="B1643" i="2"/>
  <c r="S1642" i="2"/>
  <c r="R1642" i="2"/>
  <c r="Q1642" i="2"/>
  <c r="O1642" i="2"/>
  <c r="E1642" i="2"/>
  <c r="D1642" i="2"/>
  <c r="C1642" i="2"/>
  <c r="B1642" i="2"/>
  <c r="S1641" i="2"/>
  <c r="R1641" i="2"/>
  <c r="Q1641" i="2"/>
  <c r="O1641" i="2"/>
  <c r="E1641" i="2"/>
  <c r="D1641" i="2"/>
  <c r="C1641" i="2"/>
  <c r="B1641" i="2"/>
  <c r="S1640" i="2"/>
  <c r="R1640" i="2"/>
  <c r="Q1640" i="2"/>
  <c r="O1640" i="2"/>
  <c r="E1640" i="2"/>
  <c r="D1640" i="2"/>
  <c r="C1640" i="2"/>
  <c r="B1640" i="2"/>
  <c r="S1639" i="2"/>
  <c r="R1639" i="2"/>
  <c r="Q1639" i="2"/>
  <c r="O1639" i="2"/>
  <c r="E1639" i="2"/>
  <c r="D1639" i="2"/>
  <c r="C1639" i="2"/>
  <c r="B1639" i="2"/>
  <c r="S1638" i="2"/>
  <c r="R1638" i="2"/>
  <c r="Q1638" i="2"/>
  <c r="O1638" i="2"/>
  <c r="E1638" i="2"/>
  <c r="D1638" i="2"/>
  <c r="C1638" i="2"/>
  <c r="B1638" i="2"/>
  <c r="S1637" i="2"/>
  <c r="R1637" i="2"/>
  <c r="Q1637" i="2"/>
  <c r="O1637" i="2"/>
  <c r="E1637" i="2"/>
  <c r="D1637" i="2"/>
  <c r="C1637" i="2"/>
  <c r="B1637" i="2"/>
  <c r="S1636" i="2"/>
  <c r="R1636" i="2"/>
  <c r="Q1636" i="2"/>
  <c r="O1636" i="2"/>
  <c r="E1636" i="2"/>
  <c r="D1636" i="2"/>
  <c r="C1636" i="2"/>
  <c r="B1636" i="2"/>
  <c r="S1635" i="2"/>
  <c r="R1635" i="2"/>
  <c r="Q1635" i="2"/>
  <c r="O1635" i="2"/>
  <c r="E1635" i="2"/>
  <c r="D1635" i="2"/>
  <c r="C1635" i="2"/>
  <c r="B1635" i="2"/>
  <c r="S1634" i="2"/>
  <c r="R1634" i="2"/>
  <c r="Q1634" i="2"/>
  <c r="O1634" i="2"/>
  <c r="E1634" i="2"/>
  <c r="D1634" i="2"/>
  <c r="C1634" i="2"/>
  <c r="B1634" i="2"/>
  <c r="S1633" i="2"/>
  <c r="R1633" i="2"/>
  <c r="Q1633" i="2"/>
  <c r="O1633" i="2"/>
  <c r="E1633" i="2"/>
  <c r="D1633" i="2"/>
  <c r="C1633" i="2"/>
  <c r="B1633" i="2"/>
  <c r="S1632" i="2"/>
  <c r="R1632" i="2"/>
  <c r="Q1632" i="2"/>
  <c r="O1632" i="2"/>
  <c r="E1632" i="2"/>
  <c r="D1632" i="2"/>
  <c r="C1632" i="2"/>
  <c r="B1632" i="2"/>
  <c r="S1631" i="2"/>
  <c r="R1631" i="2"/>
  <c r="Q1631" i="2"/>
  <c r="O1631" i="2"/>
  <c r="E1631" i="2"/>
  <c r="D1631" i="2"/>
  <c r="C1631" i="2"/>
  <c r="B1631" i="2"/>
  <c r="S1630" i="2"/>
  <c r="R1630" i="2"/>
  <c r="Q1630" i="2"/>
  <c r="O1630" i="2"/>
  <c r="E1630" i="2"/>
  <c r="D1630" i="2"/>
  <c r="C1630" i="2"/>
  <c r="B1630" i="2"/>
  <c r="S1629" i="2"/>
  <c r="R1629" i="2"/>
  <c r="Q1629" i="2"/>
  <c r="O1629" i="2"/>
  <c r="E1629" i="2"/>
  <c r="D1629" i="2"/>
  <c r="C1629" i="2"/>
  <c r="B1629" i="2"/>
  <c r="S1628" i="2"/>
  <c r="R1628" i="2"/>
  <c r="Q1628" i="2"/>
  <c r="O1628" i="2"/>
  <c r="E1628" i="2"/>
  <c r="D1628" i="2"/>
  <c r="C1628" i="2"/>
  <c r="B1628" i="2"/>
  <c r="S1627" i="2"/>
  <c r="R1627" i="2"/>
  <c r="Q1627" i="2"/>
  <c r="O1627" i="2"/>
  <c r="E1627" i="2"/>
  <c r="D1627" i="2"/>
  <c r="C1627" i="2"/>
  <c r="B1627" i="2"/>
  <c r="S1626" i="2"/>
  <c r="R1626" i="2"/>
  <c r="Q1626" i="2"/>
  <c r="O1626" i="2"/>
  <c r="E1626" i="2"/>
  <c r="D1626" i="2"/>
  <c r="C1626" i="2"/>
  <c r="B1626" i="2"/>
  <c r="S1625" i="2"/>
  <c r="R1625" i="2"/>
  <c r="Q1625" i="2"/>
  <c r="O1625" i="2"/>
  <c r="E1625" i="2"/>
  <c r="D1625" i="2"/>
  <c r="C1625" i="2"/>
  <c r="B1625" i="2"/>
  <c r="S1624" i="2"/>
  <c r="R1624" i="2"/>
  <c r="Q1624" i="2"/>
  <c r="O1624" i="2"/>
  <c r="E1624" i="2"/>
  <c r="D1624" i="2"/>
  <c r="C1624" i="2"/>
  <c r="B1624" i="2"/>
  <c r="S1623" i="2"/>
  <c r="R1623" i="2"/>
  <c r="Q1623" i="2"/>
  <c r="O1623" i="2"/>
  <c r="E1623" i="2"/>
  <c r="D1623" i="2"/>
  <c r="C1623" i="2"/>
  <c r="B1623" i="2"/>
  <c r="S1622" i="2"/>
  <c r="R1622" i="2"/>
  <c r="Q1622" i="2"/>
  <c r="O1622" i="2"/>
  <c r="E1622" i="2"/>
  <c r="D1622" i="2"/>
  <c r="C1622" i="2"/>
  <c r="B1622" i="2"/>
  <c r="S1621" i="2"/>
  <c r="R1621" i="2"/>
  <c r="Q1621" i="2"/>
  <c r="O1621" i="2"/>
  <c r="E1621" i="2"/>
  <c r="D1621" i="2"/>
  <c r="C1621" i="2"/>
  <c r="B1621" i="2"/>
  <c r="S1620" i="2"/>
  <c r="R1620" i="2"/>
  <c r="Q1620" i="2"/>
  <c r="O1620" i="2"/>
  <c r="E1620" i="2"/>
  <c r="D1620" i="2"/>
  <c r="C1620" i="2"/>
  <c r="B1620" i="2"/>
  <c r="S1619" i="2"/>
  <c r="R1619" i="2"/>
  <c r="Q1619" i="2"/>
  <c r="O1619" i="2"/>
  <c r="E1619" i="2"/>
  <c r="D1619" i="2"/>
  <c r="C1619" i="2"/>
  <c r="B1619" i="2"/>
  <c r="S1618" i="2"/>
  <c r="R1618" i="2"/>
  <c r="Q1618" i="2"/>
  <c r="O1618" i="2"/>
  <c r="E1618" i="2"/>
  <c r="D1618" i="2"/>
  <c r="C1618" i="2"/>
  <c r="B1618" i="2"/>
  <c r="S1617" i="2"/>
  <c r="R1617" i="2"/>
  <c r="Q1617" i="2"/>
  <c r="O1617" i="2"/>
  <c r="E1617" i="2"/>
  <c r="D1617" i="2"/>
  <c r="C1617" i="2"/>
  <c r="B1617" i="2"/>
  <c r="S1616" i="2"/>
  <c r="R1616" i="2"/>
  <c r="Q1616" i="2"/>
  <c r="O1616" i="2"/>
  <c r="E1616" i="2"/>
  <c r="D1616" i="2"/>
  <c r="C1616" i="2"/>
  <c r="B1616" i="2"/>
  <c r="S1615" i="2"/>
  <c r="R1615" i="2"/>
  <c r="Q1615" i="2"/>
  <c r="O1615" i="2"/>
  <c r="E1615" i="2"/>
  <c r="D1615" i="2"/>
  <c r="C1615" i="2"/>
  <c r="B1615" i="2"/>
  <c r="S1614" i="2"/>
  <c r="R1614" i="2"/>
  <c r="Q1614" i="2"/>
  <c r="O1614" i="2"/>
  <c r="E1614" i="2"/>
  <c r="D1614" i="2"/>
  <c r="C1614" i="2"/>
  <c r="B1614" i="2"/>
  <c r="S1613" i="2"/>
  <c r="R1613" i="2"/>
  <c r="Q1613" i="2"/>
  <c r="O1613" i="2"/>
  <c r="E1613" i="2"/>
  <c r="D1613" i="2"/>
  <c r="C1613" i="2"/>
  <c r="B1613" i="2"/>
  <c r="S1612" i="2"/>
  <c r="R1612" i="2"/>
  <c r="Q1612" i="2"/>
  <c r="O1612" i="2"/>
  <c r="E1612" i="2"/>
  <c r="D1612" i="2"/>
  <c r="C1612" i="2"/>
  <c r="B1612" i="2"/>
  <c r="S1611" i="2"/>
  <c r="R1611" i="2"/>
  <c r="Q1611" i="2"/>
  <c r="O1611" i="2"/>
  <c r="E1611" i="2"/>
  <c r="D1611" i="2"/>
  <c r="C1611" i="2"/>
  <c r="B1611" i="2"/>
  <c r="S1610" i="2"/>
  <c r="R1610" i="2"/>
  <c r="Q1610" i="2"/>
  <c r="O1610" i="2"/>
  <c r="E1610" i="2"/>
  <c r="D1610" i="2"/>
  <c r="C1610" i="2"/>
  <c r="B1610" i="2"/>
  <c r="S1609" i="2"/>
  <c r="R1609" i="2"/>
  <c r="Q1609" i="2"/>
  <c r="O1609" i="2"/>
  <c r="E1609" i="2"/>
  <c r="D1609" i="2"/>
  <c r="C1609" i="2"/>
  <c r="B1609" i="2"/>
  <c r="S1608" i="2"/>
  <c r="R1608" i="2"/>
  <c r="Q1608" i="2"/>
  <c r="O1608" i="2"/>
  <c r="E1608" i="2"/>
  <c r="D1608" i="2"/>
  <c r="C1608" i="2"/>
  <c r="B1608" i="2"/>
  <c r="S1607" i="2"/>
  <c r="R1607" i="2"/>
  <c r="Q1607" i="2"/>
  <c r="O1607" i="2"/>
  <c r="E1607" i="2"/>
  <c r="D1607" i="2"/>
  <c r="C1607" i="2"/>
  <c r="B1607" i="2"/>
  <c r="S1606" i="2"/>
  <c r="R1606" i="2"/>
  <c r="Q1606" i="2"/>
  <c r="O1606" i="2"/>
  <c r="E1606" i="2"/>
  <c r="D1606" i="2"/>
  <c r="C1606" i="2"/>
  <c r="B1606" i="2"/>
  <c r="S1605" i="2"/>
  <c r="R1605" i="2"/>
  <c r="Q1605" i="2"/>
  <c r="O1605" i="2"/>
  <c r="E1605" i="2"/>
  <c r="D1605" i="2"/>
  <c r="C1605" i="2"/>
  <c r="B1605" i="2"/>
  <c r="S1604" i="2"/>
  <c r="R1604" i="2"/>
  <c r="Q1604" i="2"/>
  <c r="O1604" i="2"/>
  <c r="E1604" i="2"/>
  <c r="D1604" i="2"/>
  <c r="C1604" i="2"/>
  <c r="B1604" i="2"/>
  <c r="S1603" i="2"/>
  <c r="R1603" i="2"/>
  <c r="Q1603" i="2"/>
  <c r="O1603" i="2"/>
  <c r="E1603" i="2"/>
  <c r="D1603" i="2"/>
  <c r="C1603" i="2"/>
  <c r="B1603" i="2"/>
  <c r="S1602" i="2"/>
  <c r="R1602" i="2"/>
  <c r="Q1602" i="2"/>
  <c r="O1602" i="2"/>
  <c r="E1602" i="2"/>
  <c r="D1602" i="2"/>
  <c r="C1602" i="2"/>
  <c r="B1602" i="2"/>
  <c r="S1601" i="2"/>
  <c r="R1601" i="2"/>
  <c r="Q1601" i="2"/>
  <c r="O1601" i="2"/>
  <c r="E1601" i="2"/>
  <c r="D1601" i="2"/>
  <c r="C1601" i="2"/>
  <c r="B1601" i="2"/>
  <c r="S1600" i="2"/>
  <c r="R1600" i="2"/>
  <c r="Q1600" i="2"/>
  <c r="O1600" i="2"/>
  <c r="E1600" i="2"/>
  <c r="D1600" i="2"/>
  <c r="C1600" i="2"/>
  <c r="B1600" i="2"/>
  <c r="S1599" i="2"/>
  <c r="R1599" i="2"/>
  <c r="Q1599" i="2"/>
  <c r="O1599" i="2"/>
  <c r="E1599" i="2"/>
  <c r="D1599" i="2"/>
  <c r="C1599" i="2"/>
  <c r="B1599" i="2"/>
  <c r="S1598" i="2"/>
  <c r="R1598" i="2"/>
  <c r="Q1598" i="2"/>
  <c r="O1598" i="2"/>
  <c r="E1598" i="2"/>
  <c r="D1598" i="2"/>
  <c r="C1598" i="2"/>
  <c r="B1598" i="2"/>
  <c r="S1597" i="2"/>
  <c r="R1597" i="2"/>
  <c r="Q1597" i="2"/>
  <c r="O1597" i="2"/>
  <c r="E1597" i="2"/>
  <c r="D1597" i="2"/>
  <c r="C1597" i="2"/>
  <c r="B1597" i="2"/>
  <c r="S1596" i="2"/>
  <c r="R1596" i="2"/>
  <c r="Q1596" i="2"/>
  <c r="O1596" i="2"/>
  <c r="E1596" i="2"/>
  <c r="D1596" i="2"/>
  <c r="C1596" i="2"/>
  <c r="B1596" i="2"/>
  <c r="S1595" i="2"/>
  <c r="R1595" i="2"/>
  <c r="Q1595" i="2"/>
  <c r="O1595" i="2"/>
  <c r="E1595" i="2"/>
  <c r="D1595" i="2"/>
  <c r="C1595" i="2"/>
  <c r="B1595" i="2"/>
  <c r="S1594" i="2"/>
  <c r="R1594" i="2"/>
  <c r="Q1594" i="2"/>
  <c r="O1594" i="2"/>
  <c r="E1594" i="2"/>
  <c r="D1594" i="2"/>
  <c r="C1594" i="2"/>
  <c r="B1594" i="2"/>
  <c r="S1593" i="2"/>
  <c r="R1593" i="2"/>
  <c r="Q1593" i="2"/>
  <c r="O1593" i="2"/>
  <c r="E1593" i="2"/>
  <c r="D1593" i="2"/>
  <c r="C1593" i="2"/>
  <c r="B1593" i="2"/>
  <c r="S1592" i="2"/>
  <c r="R1592" i="2"/>
  <c r="Q1592" i="2"/>
  <c r="O1592" i="2"/>
  <c r="E1592" i="2"/>
  <c r="D1592" i="2"/>
  <c r="C1592" i="2"/>
  <c r="B1592" i="2"/>
  <c r="S1591" i="2"/>
  <c r="R1591" i="2"/>
  <c r="Q1591" i="2"/>
  <c r="O1591" i="2"/>
  <c r="E1591" i="2"/>
  <c r="D1591" i="2"/>
  <c r="C1591" i="2"/>
  <c r="B1591" i="2"/>
  <c r="S1590" i="2"/>
  <c r="R1590" i="2"/>
  <c r="Q1590" i="2"/>
  <c r="O1590" i="2"/>
  <c r="E1590" i="2"/>
  <c r="D1590" i="2"/>
  <c r="C1590" i="2"/>
  <c r="B1590" i="2"/>
  <c r="S1589" i="2"/>
  <c r="R1589" i="2"/>
  <c r="Q1589" i="2"/>
  <c r="O1589" i="2"/>
  <c r="E1589" i="2"/>
  <c r="D1589" i="2"/>
  <c r="C1589" i="2"/>
  <c r="B1589" i="2"/>
  <c r="S1588" i="2"/>
  <c r="R1588" i="2"/>
  <c r="Q1588" i="2"/>
  <c r="O1588" i="2"/>
  <c r="E1588" i="2"/>
  <c r="D1588" i="2"/>
  <c r="C1588" i="2"/>
  <c r="B1588" i="2"/>
  <c r="S1587" i="2"/>
  <c r="R1587" i="2"/>
  <c r="Q1587" i="2"/>
  <c r="O1587" i="2"/>
  <c r="E1587" i="2"/>
  <c r="D1587" i="2"/>
  <c r="C1587" i="2"/>
  <c r="B1587" i="2"/>
  <c r="S1586" i="2"/>
  <c r="R1586" i="2"/>
  <c r="Q1586" i="2"/>
  <c r="O1586" i="2"/>
  <c r="E1586" i="2"/>
  <c r="D1586" i="2"/>
  <c r="C1586" i="2"/>
  <c r="B1586" i="2"/>
  <c r="S1585" i="2"/>
  <c r="R1585" i="2"/>
  <c r="Q1585" i="2"/>
  <c r="O1585" i="2"/>
  <c r="E1585" i="2"/>
  <c r="D1585" i="2"/>
  <c r="C1585" i="2"/>
  <c r="B1585" i="2"/>
  <c r="S1584" i="2"/>
  <c r="R1584" i="2"/>
  <c r="Q1584" i="2"/>
  <c r="O1584" i="2"/>
  <c r="E1584" i="2"/>
  <c r="D1584" i="2"/>
  <c r="C1584" i="2"/>
  <c r="B1584" i="2"/>
  <c r="S1583" i="2"/>
  <c r="R1583" i="2"/>
  <c r="Q1583" i="2"/>
  <c r="O1583" i="2"/>
  <c r="E1583" i="2"/>
  <c r="D1583" i="2"/>
  <c r="C1583" i="2"/>
  <c r="B1583" i="2"/>
  <c r="S1582" i="2"/>
  <c r="R1582" i="2"/>
  <c r="Q1582" i="2"/>
  <c r="O1582" i="2"/>
  <c r="E1582" i="2"/>
  <c r="D1582" i="2"/>
  <c r="C1582" i="2"/>
  <c r="B1582" i="2"/>
  <c r="S1581" i="2"/>
  <c r="R1581" i="2"/>
  <c r="Q1581" i="2"/>
  <c r="O1581" i="2"/>
  <c r="E1581" i="2"/>
  <c r="D1581" i="2"/>
  <c r="C1581" i="2"/>
  <c r="B1581" i="2"/>
  <c r="S1580" i="2"/>
  <c r="R1580" i="2"/>
  <c r="Q1580" i="2"/>
  <c r="O1580" i="2"/>
  <c r="E1580" i="2"/>
  <c r="D1580" i="2"/>
  <c r="C1580" i="2"/>
  <c r="B1580" i="2"/>
  <c r="S1579" i="2"/>
  <c r="R1579" i="2"/>
  <c r="Q1579" i="2"/>
  <c r="O1579" i="2"/>
  <c r="E1579" i="2"/>
  <c r="D1579" i="2"/>
  <c r="C1579" i="2"/>
  <c r="B1579" i="2"/>
  <c r="S1578" i="2"/>
  <c r="R1578" i="2"/>
  <c r="Q1578" i="2"/>
  <c r="O1578" i="2"/>
  <c r="E1578" i="2"/>
  <c r="D1578" i="2"/>
  <c r="C1578" i="2"/>
  <c r="B1578" i="2"/>
  <c r="S1577" i="2"/>
  <c r="R1577" i="2"/>
  <c r="Q1577" i="2"/>
  <c r="O1577" i="2"/>
  <c r="E1577" i="2"/>
  <c r="D1577" i="2"/>
  <c r="C1577" i="2"/>
  <c r="B1577" i="2"/>
  <c r="S1576" i="2"/>
  <c r="R1576" i="2"/>
  <c r="Q1576" i="2"/>
  <c r="O1576" i="2"/>
  <c r="E1576" i="2"/>
  <c r="D1576" i="2"/>
  <c r="C1576" i="2"/>
  <c r="B1576" i="2"/>
  <c r="S1575" i="2"/>
  <c r="R1575" i="2"/>
  <c r="Q1575" i="2"/>
  <c r="O1575" i="2"/>
  <c r="E1575" i="2"/>
  <c r="D1575" i="2"/>
  <c r="C1575" i="2"/>
  <c r="B1575" i="2"/>
  <c r="S1574" i="2"/>
  <c r="R1574" i="2"/>
  <c r="Q1574" i="2"/>
  <c r="O1574" i="2"/>
  <c r="E1574" i="2"/>
  <c r="D1574" i="2"/>
  <c r="C1574" i="2"/>
  <c r="B1574" i="2"/>
  <c r="S1573" i="2"/>
  <c r="R1573" i="2"/>
  <c r="Q1573" i="2"/>
  <c r="O1573" i="2"/>
  <c r="E1573" i="2"/>
  <c r="D1573" i="2"/>
  <c r="C1573" i="2"/>
  <c r="B1573" i="2"/>
  <c r="S1572" i="2"/>
  <c r="R1572" i="2"/>
  <c r="Q1572" i="2"/>
  <c r="O1572" i="2"/>
  <c r="E1572" i="2"/>
  <c r="D1572" i="2"/>
  <c r="C1572" i="2"/>
  <c r="B1572" i="2"/>
  <c r="S1571" i="2"/>
  <c r="R1571" i="2"/>
  <c r="Q1571" i="2"/>
  <c r="O1571" i="2"/>
  <c r="E1571" i="2"/>
  <c r="D1571" i="2"/>
  <c r="C1571" i="2"/>
  <c r="B1571" i="2"/>
  <c r="S1570" i="2"/>
  <c r="R1570" i="2"/>
  <c r="Q1570" i="2"/>
  <c r="O1570" i="2"/>
  <c r="E1570" i="2"/>
  <c r="D1570" i="2"/>
  <c r="C1570" i="2"/>
  <c r="B1570" i="2"/>
  <c r="S1569" i="2"/>
  <c r="R1569" i="2"/>
  <c r="Q1569" i="2"/>
  <c r="O1569" i="2"/>
  <c r="E1569" i="2"/>
  <c r="D1569" i="2"/>
  <c r="C1569" i="2"/>
  <c r="B1569" i="2"/>
  <c r="S1568" i="2"/>
  <c r="R1568" i="2"/>
  <c r="Q1568" i="2"/>
  <c r="O1568" i="2"/>
  <c r="E1568" i="2"/>
  <c r="D1568" i="2"/>
  <c r="C1568" i="2"/>
  <c r="B1568" i="2"/>
  <c r="S1567" i="2"/>
  <c r="R1567" i="2"/>
  <c r="Q1567" i="2"/>
  <c r="O1567" i="2"/>
  <c r="E1567" i="2"/>
  <c r="D1567" i="2"/>
  <c r="C1567" i="2"/>
  <c r="B1567" i="2"/>
  <c r="S1566" i="2"/>
  <c r="R1566" i="2"/>
  <c r="Q1566" i="2"/>
  <c r="O1566" i="2"/>
  <c r="E1566" i="2"/>
  <c r="D1566" i="2"/>
  <c r="C1566" i="2"/>
  <c r="B1566" i="2"/>
  <c r="S1565" i="2"/>
  <c r="R1565" i="2"/>
  <c r="Q1565" i="2"/>
  <c r="O1565" i="2"/>
  <c r="E1565" i="2"/>
  <c r="D1565" i="2"/>
  <c r="C1565" i="2"/>
  <c r="B1565" i="2"/>
  <c r="S1564" i="2"/>
  <c r="R1564" i="2"/>
  <c r="Q1564" i="2"/>
  <c r="O1564" i="2"/>
  <c r="E1564" i="2"/>
  <c r="D1564" i="2"/>
  <c r="C1564" i="2"/>
  <c r="B1564" i="2"/>
  <c r="S1563" i="2"/>
  <c r="R1563" i="2"/>
  <c r="Q1563" i="2"/>
  <c r="O1563" i="2"/>
  <c r="E1563" i="2"/>
  <c r="D1563" i="2"/>
  <c r="C1563" i="2"/>
  <c r="B1563" i="2"/>
  <c r="S1562" i="2"/>
  <c r="R1562" i="2"/>
  <c r="Q1562" i="2"/>
  <c r="O1562" i="2"/>
  <c r="E1562" i="2"/>
  <c r="D1562" i="2"/>
  <c r="C1562" i="2"/>
  <c r="B1562" i="2"/>
  <c r="S1561" i="2"/>
  <c r="R1561" i="2"/>
  <c r="Q1561" i="2"/>
  <c r="O1561" i="2"/>
  <c r="E1561" i="2"/>
  <c r="D1561" i="2"/>
  <c r="C1561" i="2"/>
  <c r="B1561" i="2"/>
  <c r="S1560" i="2"/>
  <c r="R1560" i="2"/>
  <c r="Q1560" i="2"/>
  <c r="O1560" i="2"/>
  <c r="E1560" i="2"/>
  <c r="D1560" i="2"/>
  <c r="C1560" i="2"/>
  <c r="B1560" i="2"/>
  <c r="S1559" i="2"/>
  <c r="R1559" i="2"/>
  <c r="Q1559" i="2"/>
  <c r="O1559" i="2"/>
  <c r="E1559" i="2"/>
  <c r="D1559" i="2"/>
  <c r="C1559" i="2"/>
  <c r="B1559" i="2"/>
  <c r="S1558" i="2"/>
  <c r="R1558" i="2"/>
  <c r="Q1558" i="2"/>
  <c r="O1558" i="2"/>
  <c r="E1558" i="2"/>
  <c r="D1558" i="2"/>
  <c r="C1558" i="2"/>
  <c r="B1558" i="2"/>
  <c r="S1557" i="2"/>
  <c r="R1557" i="2"/>
  <c r="Q1557" i="2"/>
  <c r="O1557" i="2"/>
  <c r="E1557" i="2"/>
  <c r="D1557" i="2"/>
  <c r="C1557" i="2"/>
  <c r="B1557" i="2"/>
  <c r="S1556" i="2"/>
  <c r="R1556" i="2"/>
  <c r="Q1556" i="2"/>
  <c r="O1556" i="2"/>
  <c r="E1556" i="2"/>
  <c r="D1556" i="2"/>
  <c r="C1556" i="2"/>
  <c r="B1556" i="2"/>
  <c r="S1555" i="2"/>
  <c r="R1555" i="2"/>
  <c r="Q1555" i="2"/>
  <c r="O1555" i="2"/>
  <c r="E1555" i="2"/>
  <c r="D1555" i="2"/>
  <c r="C1555" i="2"/>
  <c r="B1555" i="2"/>
  <c r="S1554" i="2"/>
  <c r="R1554" i="2"/>
  <c r="Q1554" i="2"/>
  <c r="O1554" i="2"/>
  <c r="E1554" i="2"/>
  <c r="D1554" i="2"/>
  <c r="C1554" i="2"/>
  <c r="B1554" i="2"/>
  <c r="S1553" i="2"/>
  <c r="R1553" i="2"/>
  <c r="Q1553" i="2"/>
  <c r="O1553" i="2"/>
  <c r="E1553" i="2"/>
  <c r="D1553" i="2"/>
  <c r="C1553" i="2"/>
  <c r="B1553" i="2"/>
  <c r="S1552" i="2"/>
  <c r="R1552" i="2"/>
  <c r="Q1552" i="2"/>
  <c r="O1552" i="2"/>
  <c r="E1552" i="2"/>
  <c r="D1552" i="2"/>
  <c r="C1552" i="2"/>
  <c r="B1552" i="2"/>
  <c r="S1551" i="2"/>
  <c r="R1551" i="2"/>
  <c r="Q1551" i="2"/>
  <c r="O1551" i="2"/>
  <c r="E1551" i="2"/>
  <c r="D1551" i="2"/>
  <c r="C1551" i="2"/>
  <c r="B1551" i="2"/>
  <c r="S1550" i="2"/>
  <c r="R1550" i="2"/>
  <c r="Q1550" i="2"/>
  <c r="O1550" i="2"/>
  <c r="E1550" i="2"/>
  <c r="D1550" i="2"/>
  <c r="C1550" i="2"/>
  <c r="B1550" i="2"/>
  <c r="S1549" i="2"/>
  <c r="R1549" i="2"/>
  <c r="Q1549" i="2"/>
  <c r="O1549" i="2"/>
  <c r="E1549" i="2"/>
  <c r="D1549" i="2"/>
  <c r="C1549" i="2"/>
  <c r="B1549" i="2"/>
  <c r="S1548" i="2"/>
  <c r="R1548" i="2"/>
  <c r="Q1548" i="2"/>
  <c r="O1548" i="2"/>
  <c r="E1548" i="2"/>
  <c r="D1548" i="2"/>
  <c r="C1548" i="2"/>
  <c r="B1548" i="2"/>
  <c r="S1547" i="2"/>
  <c r="R1547" i="2"/>
  <c r="Q1547" i="2"/>
  <c r="O1547" i="2"/>
  <c r="E1547" i="2"/>
  <c r="D1547" i="2"/>
  <c r="C1547" i="2"/>
  <c r="B1547" i="2"/>
  <c r="S1546" i="2"/>
  <c r="R1546" i="2"/>
  <c r="Q1546" i="2"/>
  <c r="O1546" i="2"/>
  <c r="E1546" i="2"/>
  <c r="D1546" i="2"/>
  <c r="C1546" i="2"/>
  <c r="B1546" i="2"/>
  <c r="S1545" i="2"/>
  <c r="R1545" i="2"/>
  <c r="Q1545" i="2"/>
  <c r="O1545" i="2"/>
  <c r="E1545" i="2"/>
  <c r="D1545" i="2"/>
  <c r="C1545" i="2"/>
  <c r="B1545" i="2"/>
  <c r="S1544" i="2"/>
  <c r="R1544" i="2"/>
  <c r="Q1544" i="2"/>
  <c r="O1544" i="2"/>
  <c r="E1544" i="2"/>
  <c r="D1544" i="2"/>
  <c r="C1544" i="2"/>
  <c r="B1544" i="2"/>
  <c r="S1543" i="2"/>
  <c r="R1543" i="2"/>
  <c r="Q1543" i="2"/>
  <c r="O1543" i="2"/>
  <c r="E1543" i="2"/>
  <c r="D1543" i="2"/>
  <c r="C1543" i="2"/>
  <c r="B1543" i="2"/>
  <c r="S1542" i="2"/>
  <c r="R1542" i="2"/>
  <c r="Q1542" i="2"/>
  <c r="O1542" i="2"/>
  <c r="E1542" i="2"/>
  <c r="D1542" i="2"/>
  <c r="C1542" i="2"/>
  <c r="B1542" i="2"/>
  <c r="S1541" i="2"/>
  <c r="R1541" i="2"/>
  <c r="Q1541" i="2"/>
  <c r="O1541" i="2"/>
  <c r="E1541" i="2"/>
  <c r="D1541" i="2"/>
  <c r="C1541" i="2"/>
  <c r="B1541" i="2"/>
  <c r="S1540" i="2"/>
  <c r="R1540" i="2"/>
  <c r="Q1540" i="2"/>
  <c r="O1540" i="2"/>
  <c r="E1540" i="2"/>
  <c r="D1540" i="2"/>
  <c r="C1540" i="2"/>
  <c r="B1540" i="2"/>
  <c r="S1539" i="2"/>
  <c r="R1539" i="2"/>
  <c r="Q1539" i="2"/>
  <c r="O1539" i="2"/>
  <c r="E1539" i="2"/>
  <c r="D1539" i="2"/>
  <c r="C1539" i="2"/>
  <c r="B1539" i="2"/>
  <c r="S1538" i="2"/>
  <c r="R1538" i="2"/>
  <c r="Q1538" i="2"/>
  <c r="O1538" i="2"/>
  <c r="E1538" i="2"/>
  <c r="D1538" i="2"/>
  <c r="C1538" i="2"/>
  <c r="B1538" i="2"/>
  <c r="S1537" i="2"/>
  <c r="R1537" i="2"/>
  <c r="Q1537" i="2"/>
  <c r="O1537" i="2"/>
  <c r="E1537" i="2"/>
  <c r="D1537" i="2"/>
  <c r="C1537" i="2"/>
  <c r="B1537" i="2"/>
  <c r="S1536" i="2"/>
  <c r="R1536" i="2"/>
  <c r="Q1536" i="2"/>
  <c r="O1536" i="2"/>
  <c r="E1536" i="2"/>
  <c r="D1536" i="2"/>
  <c r="C1536" i="2"/>
  <c r="B1536" i="2"/>
  <c r="S1535" i="2"/>
  <c r="R1535" i="2"/>
  <c r="Q1535" i="2"/>
  <c r="O1535" i="2"/>
  <c r="E1535" i="2"/>
  <c r="D1535" i="2"/>
  <c r="C1535" i="2"/>
  <c r="B1535" i="2"/>
  <c r="S1534" i="2"/>
  <c r="R1534" i="2"/>
  <c r="Q1534" i="2"/>
  <c r="O1534" i="2"/>
  <c r="E1534" i="2"/>
  <c r="D1534" i="2"/>
  <c r="C1534" i="2"/>
  <c r="B1534" i="2"/>
  <c r="S1533" i="2"/>
  <c r="R1533" i="2"/>
  <c r="Q1533" i="2"/>
  <c r="O1533" i="2"/>
  <c r="E1533" i="2"/>
  <c r="D1533" i="2"/>
  <c r="C1533" i="2"/>
  <c r="B1533" i="2"/>
  <c r="S1532" i="2"/>
  <c r="R1532" i="2"/>
  <c r="Q1532" i="2"/>
  <c r="O1532" i="2"/>
  <c r="E1532" i="2"/>
  <c r="D1532" i="2"/>
  <c r="C1532" i="2"/>
  <c r="B1532" i="2"/>
  <c r="S1531" i="2"/>
  <c r="R1531" i="2"/>
  <c r="Q1531" i="2"/>
  <c r="O1531" i="2"/>
  <c r="E1531" i="2"/>
  <c r="D1531" i="2"/>
  <c r="C1531" i="2"/>
  <c r="B1531" i="2"/>
  <c r="S1530" i="2"/>
  <c r="R1530" i="2"/>
  <c r="Q1530" i="2"/>
  <c r="O1530" i="2"/>
  <c r="E1530" i="2"/>
  <c r="D1530" i="2"/>
  <c r="C1530" i="2"/>
  <c r="B1530" i="2"/>
  <c r="S1529" i="2"/>
  <c r="R1529" i="2"/>
  <c r="Q1529" i="2"/>
  <c r="O1529" i="2"/>
  <c r="E1529" i="2"/>
  <c r="D1529" i="2"/>
  <c r="C1529" i="2"/>
  <c r="B1529" i="2"/>
  <c r="S1528" i="2"/>
  <c r="R1528" i="2"/>
  <c r="Q1528" i="2"/>
  <c r="O1528" i="2"/>
  <c r="E1528" i="2"/>
  <c r="D1528" i="2"/>
  <c r="C1528" i="2"/>
  <c r="B1528" i="2"/>
  <c r="S1527" i="2"/>
  <c r="R1527" i="2"/>
  <c r="Q1527" i="2"/>
  <c r="O1527" i="2"/>
  <c r="E1527" i="2"/>
  <c r="D1527" i="2"/>
  <c r="C1527" i="2"/>
  <c r="B1527" i="2"/>
  <c r="S1526" i="2"/>
  <c r="R1526" i="2"/>
  <c r="Q1526" i="2"/>
  <c r="O1526" i="2"/>
  <c r="E1526" i="2"/>
  <c r="D1526" i="2"/>
  <c r="C1526" i="2"/>
  <c r="B1526" i="2"/>
  <c r="S1525" i="2"/>
  <c r="R1525" i="2"/>
  <c r="Q1525" i="2"/>
  <c r="O1525" i="2"/>
  <c r="E1525" i="2"/>
  <c r="D1525" i="2"/>
  <c r="C1525" i="2"/>
  <c r="B1525" i="2"/>
  <c r="S1524" i="2"/>
  <c r="R1524" i="2"/>
  <c r="Q1524" i="2"/>
  <c r="O1524" i="2"/>
  <c r="E1524" i="2"/>
  <c r="D1524" i="2"/>
  <c r="C1524" i="2"/>
  <c r="B1524" i="2"/>
  <c r="S1523" i="2"/>
  <c r="R1523" i="2"/>
  <c r="Q1523" i="2"/>
  <c r="O1523" i="2"/>
  <c r="E1523" i="2"/>
  <c r="D1523" i="2"/>
  <c r="C1523" i="2"/>
  <c r="B1523" i="2"/>
  <c r="S1522" i="2"/>
  <c r="R1522" i="2"/>
  <c r="Q1522" i="2"/>
  <c r="O1522" i="2"/>
  <c r="E1522" i="2"/>
  <c r="D1522" i="2"/>
  <c r="C1522" i="2"/>
  <c r="B1522" i="2"/>
  <c r="S1521" i="2"/>
  <c r="R1521" i="2"/>
  <c r="Q1521" i="2"/>
  <c r="O1521" i="2"/>
  <c r="E1521" i="2"/>
  <c r="D1521" i="2"/>
  <c r="C1521" i="2"/>
  <c r="B1521" i="2"/>
  <c r="S1520" i="2"/>
  <c r="R1520" i="2"/>
  <c r="Q1520" i="2"/>
  <c r="O1520" i="2"/>
  <c r="E1520" i="2"/>
  <c r="D1520" i="2"/>
  <c r="C1520" i="2"/>
  <c r="B1520" i="2"/>
  <c r="S1519" i="2"/>
  <c r="R1519" i="2"/>
  <c r="Q1519" i="2"/>
  <c r="O1519" i="2"/>
  <c r="E1519" i="2"/>
  <c r="D1519" i="2"/>
  <c r="C1519" i="2"/>
  <c r="B1519" i="2"/>
  <c r="S1518" i="2"/>
  <c r="R1518" i="2"/>
  <c r="Q1518" i="2"/>
  <c r="O1518" i="2"/>
  <c r="E1518" i="2"/>
  <c r="D1518" i="2"/>
  <c r="C1518" i="2"/>
  <c r="B1518" i="2"/>
  <c r="S1517" i="2"/>
  <c r="R1517" i="2"/>
  <c r="Q1517" i="2"/>
  <c r="O1517" i="2"/>
  <c r="E1517" i="2"/>
  <c r="D1517" i="2"/>
  <c r="C1517" i="2"/>
  <c r="B1517" i="2"/>
  <c r="S1516" i="2"/>
  <c r="R1516" i="2"/>
  <c r="Q1516" i="2"/>
  <c r="O1516" i="2"/>
  <c r="E1516" i="2"/>
  <c r="D1516" i="2"/>
  <c r="C1516" i="2"/>
  <c r="B1516" i="2"/>
  <c r="S1515" i="2"/>
  <c r="R1515" i="2"/>
  <c r="Q1515" i="2"/>
  <c r="O1515" i="2"/>
  <c r="E1515" i="2"/>
  <c r="D1515" i="2"/>
  <c r="C1515" i="2"/>
  <c r="B1515" i="2"/>
  <c r="S1514" i="2"/>
  <c r="R1514" i="2"/>
  <c r="Q1514" i="2"/>
  <c r="O1514" i="2"/>
  <c r="E1514" i="2"/>
  <c r="D1514" i="2"/>
  <c r="C1514" i="2"/>
  <c r="B1514" i="2"/>
  <c r="S1513" i="2"/>
  <c r="R1513" i="2"/>
  <c r="Q1513" i="2"/>
  <c r="O1513" i="2"/>
  <c r="E1513" i="2"/>
  <c r="D1513" i="2"/>
  <c r="C1513" i="2"/>
  <c r="B1513" i="2"/>
  <c r="S1512" i="2"/>
  <c r="R1512" i="2"/>
  <c r="Q1512" i="2"/>
  <c r="O1512" i="2"/>
  <c r="E1512" i="2"/>
  <c r="D1512" i="2"/>
  <c r="C1512" i="2"/>
  <c r="B1512" i="2"/>
  <c r="S1511" i="2"/>
  <c r="R1511" i="2"/>
  <c r="Q1511" i="2"/>
  <c r="O1511" i="2"/>
  <c r="E1511" i="2"/>
  <c r="D1511" i="2"/>
  <c r="C1511" i="2"/>
  <c r="B1511" i="2"/>
  <c r="S1510" i="2"/>
  <c r="R1510" i="2"/>
  <c r="Q1510" i="2"/>
  <c r="O1510" i="2"/>
  <c r="E1510" i="2"/>
  <c r="D1510" i="2"/>
  <c r="C1510" i="2"/>
  <c r="B1510" i="2"/>
  <c r="S1509" i="2"/>
  <c r="R1509" i="2"/>
  <c r="Q1509" i="2"/>
  <c r="O1509" i="2"/>
  <c r="E1509" i="2"/>
  <c r="D1509" i="2"/>
  <c r="C1509" i="2"/>
  <c r="B1509" i="2"/>
  <c r="S1508" i="2"/>
  <c r="R1508" i="2"/>
  <c r="Q1508" i="2"/>
  <c r="O1508" i="2"/>
  <c r="E1508" i="2"/>
  <c r="D1508" i="2"/>
  <c r="C1508" i="2"/>
  <c r="B1508" i="2"/>
  <c r="S1507" i="2"/>
  <c r="R1507" i="2"/>
  <c r="Q1507" i="2"/>
  <c r="O1507" i="2"/>
  <c r="E1507" i="2"/>
  <c r="D1507" i="2"/>
  <c r="C1507" i="2"/>
  <c r="B1507" i="2"/>
  <c r="S1506" i="2"/>
  <c r="R1506" i="2"/>
  <c r="Q1506" i="2"/>
  <c r="O1506" i="2"/>
  <c r="E1506" i="2"/>
  <c r="D1506" i="2"/>
  <c r="C1506" i="2"/>
  <c r="B1506" i="2"/>
  <c r="S1505" i="2"/>
  <c r="R1505" i="2"/>
  <c r="Q1505" i="2"/>
  <c r="O1505" i="2"/>
  <c r="E1505" i="2"/>
  <c r="D1505" i="2"/>
  <c r="C1505" i="2"/>
  <c r="B1505" i="2"/>
  <c r="S1504" i="2"/>
  <c r="R1504" i="2"/>
  <c r="Q1504" i="2"/>
  <c r="O1504" i="2"/>
  <c r="E1504" i="2"/>
  <c r="D1504" i="2"/>
  <c r="C1504" i="2"/>
  <c r="B1504" i="2"/>
  <c r="S1503" i="2"/>
  <c r="R1503" i="2"/>
  <c r="Q1503" i="2"/>
  <c r="O1503" i="2"/>
  <c r="E1503" i="2"/>
  <c r="D1503" i="2"/>
  <c r="C1503" i="2"/>
  <c r="B1503" i="2"/>
  <c r="S1502" i="2"/>
  <c r="R1502" i="2"/>
  <c r="Q1502" i="2"/>
  <c r="O1502" i="2"/>
  <c r="E1502" i="2"/>
  <c r="D1502" i="2"/>
  <c r="C1502" i="2"/>
  <c r="B1502" i="2"/>
  <c r="S1501" i="2"/>
  <c r="R1501" i="2"/>
  <c r="Q1501" i="2"/>
  <c r="O1501" i="2"/>
  <c r="E1501" i="2"/>
  <c r="D1501" i="2"/>
  <c r="C1501" i="2"/>
  <c r="B1501" i="2"/>
  <c r="S1500" i="2"/>
  <c r="R1500" i="2"/>
  <c r="Q1500" i="2"/>
  <c r="O1500" i="2"/>
  <c r="E1500" i="2"/>
  <c r="D1500" i="2"/>
  <c r="C1500" i="2"/>
  <c r="B1500" i="2"/>
  <c r="S1499" i="2"/>
  <c r="R1499" i="2"/>
  <c r="Q1499" i="2"/>
  <c r="O1499" i="2"/>
  <c r="E1499" i="2"/>
  <c r="D1499" i="2"/>
  <c r="C1499" i="2"/>
  <c r="B1499" i="2"/>
  <c r="S1498" i="2"/>
  <c r="R1498" i="2"/>
  <c r="Q1498" i="2"/>
  <c r="O1498" i="2"/>
  <c r="E1498" i="2"/>
  <c r="D1498" i="2"/>
  <c r="C1498" i="2"/>
  <c r="B1498" i="2"/>
  <c r="S1497" i="2"/>
  <c r="R1497" i="2"/>
  <c r="Q1497" i="2"/>
  <c r="O1497" i="2"/>
  <c r="E1497" i="2"/>
  <c r="D1497" i="2"/>
  <c r="C1497" i="2"/>
  <c r="B1497" i="2"/>
  <c r="S1496" i="2"/>
  <c r="R1496" i="2"/>
  <c r="Q1496" i="2"/>
  <c r="O1496" i="2"/>
  <c r="E1496" i="2"/>
  <c r="D1496" i="2"/>
  <c r="C1496" i="2"/>
  <c r="B1496" i="2"/>
  <c r="S1495" i="2"/>
  <c r="R1495" i="2"/>
  <c r="Q1495" i="2"/>
  <c r="O1495" i="2"/>
  <c r="E1495" i="2"/>
  <c r="D1495" i="2"/>
  <c r="C1495" i="2"/>
  <c r="B1495" i="2"/>
  <c r="S1494" i="2"/>
  <c r="R1494" i="2"/>
  <c r="Q1494" i="2"/>
  <c r="O1494" i="2"/>
  <c r="E1494" i="2"/>
  <c r="D1494" i="2"/>
  <c r="C1494" i="2"/>
  <c r="B1494" i="2"/>
  <c r="S1493" i="2"/>
  <c r="R1493" i="2"/>
  <c r="Q1493" i="2"/>
  <c r="O1493" i="2"/>
  <c r="E1493" i="2"/>
  <c r="D1493" i="2"/>
  <c r="C1493" i="2"/>
  <c r="B1493" i="2"/>
  <c r="S1492" i="2"/>
  <c r="R1492" i="2"/>
  <c r="Q1492" i="2"/>
  <c r="O1492" i="2"/>
  <c r="E1492" i="2"/>
  <c r="D1492" i="2"/>
  <c r="C1492" i="2"/>
  <c r="B1492" i="2"/>
  <c r="S1491" i="2"/>
  <c r="R1491" i="2"/>
  <c r="Q1491" i="2"/>
  <c r="O1491" i="2"/>
  <c r="E1491" i="2"/>
  <c r="D1491" i="2"/>
  <c r="C1491" i="2"/>
  <c r="B1491" i="2"/>
  <c r="S1490" i="2"/>
  <c r="R1490" i="2"/>
  <c r="Q1490" i="2"/>
  <c r="O1490" i="2"/>
  <c r="E1490" i="2"/>
  <c r="D1490" i="2"/>
  <c r="C1490" i="2"/>
  <c r="B1490" i="2"/>
  <c r="S1489" i="2"/>
  <c r="R1489" i="2"/>
  <c r="Q1489" i="2"/>
  <c r="O1489" i="2"/>
  <c r="E1489" i="2"/>
  <c r="D1489" i="2"/>
  <c r="C1489" i="2"/>
  <c r="B1489" i="2"/>
  <c r="S1488" i="2"/>
  <c r="R1488" i="2"/>
  <c r="Q1488" i="2"/>
  <c r="O1488" i="2"/>
  <c r="E1488" i="2"/>
  <c r="D1488" i="2"/>
  <c r="C1488" i="2"/>
  <c r="B1488" i="2"/>
  <c r="S1487" i="2"/>
  <c r="R1487" i="2"/>
  <c r="Q1487" i="2"/>
  <c r="O1487" i="2"/>
  <c r="E1487" i="2"/>
  <c r="D1487" i="2"/>
  <c r="C1487" i="2"/>
  <c r="B1487" i="2"/>
  <c r="S1486" i="2"/>
  <c r="R1486" i="2"/>
  <c r="Q1486" i="2"/>
  <c r="O1486" i="2"/>
  <c r="E1486" i="2"/>
  <c r="D1486" i="2"/>
  <c r="C1486" i="2"/>
  <c r="B1486" i="2"/>
  <c r="S1485" i="2"/>
  <c r="R1485" i="2"/>
  <c r="Q1485" i="2"/>
  <c r="O1485" i="2"/>
  <c r="E1485" i="2"/>
  <c r="D1485" i="2"/>
  <c r="C1485" i="2"/>
  <c r="B1485" i="2"/>
  <c r="S1484" i="2"/>
  <c r="R1484" i="2"/>
  <c r="Q1484" i="2"/>
  <c r="O1484" i="2"/>
  <c r="E1484" i="2"/>
  <c r="D1484" i="2"/>
  <c r="C1484" i="2"/>
  <c r="B1484" i="2"/>
  <c r="S1483" i="2"/>
  <c r="R1483" i="2"/>
  <c r="Q1483" i="2"/>
  <c r="O1483" i="2"/>
  <c r="E1483" i="2"/>
  <c r="D1483" i="2"/>
  <c r="C1483" i="2"/>
  <c r="B1483" i="2"/>
  <c r="S1482" i="2"/>
  <c r="R1482" i="2"/>
  <c r="Q1482" i="2"/>
  <c r="O1482" i="2"/>
  <c r="E1482" i="2"/>
  <c r="D1482" i="2"/>
  <c r="C1482" i="2"/>
  <c r="B1482" i="2"/>
  <c r="S1481" i="2"/>
  <c r="R1481" i="2"/>
  <c r="Q1481" i="2"/>
  <c r="O1481" i="2"/>
  <c r="E1481" i="2"/>
  <c r="D1481" i="2"/>
  <c r="C1481" i="2"/>
  <c r="B1481" i="2"/>
  <c r="S1480" i="2"/>
  <c r="R1480" i="2"/>
  <c r="Q1480" i="2"/>
  <c r="O1480" i="2"/>
  <c r="E1480" i="2"/>
  <c r="D1480" i="2"/>
  <c r="C1480" i="2"/>
  <c r="B1480" i="2"/>
  <c r="S1479" i="2"/>
  <c r="R1479" i="2"/>
  <c r="Q1479" i="2"/>
  <c r="O1479" i="2"/>
  <c r="E1479" i="2"/>
  <c r="D1479" i="2"/>
  <c r="C1479" i="2"/>
  <c r="B1479" i="2"/>
  <c r="S1478" i="2"/>
  <c r="R1478" i="2"/>
  <c r="Q1478" i="2"/>
  <c r="O1478" i="2"/>
  <c r="E1478" i="2"/>
  <c r="D1478" i="2"/>
  <c r="C1478" i="2"/>
  <c r="B1478" i="2"/>
  <c r="S1477" i="2"/>
  <c r="R1477" i="2"/>
  <c r="Q1477" i="2"/>
  <c r="O1477" i="2"/>
  <c r="E1477" i="2"/>
  <c r="D1477" i="2"/>
  <c r="C1477" i="2"/>
  <c r="B1477" i="2"/>
  <c r="S1476" i="2"/>
  <c r="R1476" i="2"/>
  <c r="Q1476" i="2"/>
  <c r="O1476" i="2"/>
  <c r="E1476" i="2"/>
  <c r="D1476" i="2"/>
  <c r="C1476" i="2"/>
  <c r="B1476" i="2"/>
  <c r="S1475" i="2"/>
  <c r="R1475" i="2"/>
  <c r="Q1475" i="2"/>
  <c r="O1475" i="2"/>
  <c r="E1475" i="2"/>
  <c r="D1475" i="2"/>
  <c r="C1475" i="2"/>
  <c r="B1475" i="2"/>
  <c r="S1474" i="2"/>
  <c r="R1474" i="2"/>
  <c r="Q1474" i="2"/>
  <c r="O1474" i="2"/>
  <c r="E1474" i="2"/>
  <c r="D1474" i="2"/>
  <c r="C1474" i="2"/>
  <c r="B1474" i="2"/>
  <c r="S1473" i="2"/>
  <c r="R1473" i="2"/>
  <c r="Q1473" i="2"/>
  <c r="O1473" i="2"/>
  <c r="E1473" i="2"/>
  <c r="D1473" i="2"/>
  <c r="C1473" i="2"/>
  <c r="B1473" i="2"/>
  <c r="S1472" i="2"/>
  <c r="R1472" i="2"/>
  <c r="Q1472" i="2"/>
  <c r="O1472" i="2"/>
  <c r="E1472" i="2"/>
  <c r="D1472" i="2"/>
  <c r="C1472" i="2"/>
  <c r="B1472" i="2"/>
  <c r="S1471" i="2"/>
  <c r="R1471" i="2"/>
  <c r="Q1471" i="2"/>
  <c r="O1471" i="2"/>
  <c r="E1471" i="2"/>
  <c r="D1471" i="2"/>
  <c r="C1471" i="2"/>
  <c r="B1471" i="2"/>
  <c r="S1470" i="2"/>
  <c r="R1470" i="2"/>
  <c r="Q1470" i="2"/>
  <c r="O1470" i="2"/>
  <c r="E1470" i="2"/>
  <c r="D1470" i="2"/>
  <c r="C1470" i="2"/>
  <c r="B1470" i="2"/>
  <c r="S1469" i="2"/>
  <c r="R1469" i="2"/>
  <c r="Q1469" i="2"/>
  <c r="O1469" i="2"/>
  <c r="E1469" i="2"/>
  <c r="D1469" i="2"/>
  <c r="C1469" i="2"/>
  <c r="B1469" i="2"/>
  <c r="S1468" i="2"/>
  <c r="R1468" i="2"/>
  <c r="Q1468" i="2"/>
  <c r="O1468" i="2"/>
  <c r="E1468" i="2"/>
  <c r="D1468" i="2"/>
  <c r="C1468" i="2"/>
  <c r="B1468" i="2"/>
  <c r="S1467" i="2"/>
  <c r="R1467" i="2"/>
  <c r="Q1467" i="2"/>
  <c r="O1467" i="2"/>
  <c r="E1467" i="2"/>
  <c r="D1467" i="2"/>
  <c r="C1467" i="2"/>
  <c r="B1467" i="2"/>
  <c r="S1466" i="2"/>
  <c r="R1466" i="2"/>
  <c r="Q1466" i="2"/>
  <c r="O1466" i="2"/>
  <c r="E1466" i="2"/>
  <c r="D1466" i="2"/>
  <c r="C1466" i="2"/>
  <c r="B1466" i="2"/>
  <c r="S1465" i="2"/>
  <c r="R1465" i="2"/>
  <c r="Q1465" i="2"/>
  <c r="O1465" i="2"/>
  <c r="E1465" i="2"/>
  <c r="D1465" i="2"/>
  <c r="C1465" i="2"/>
  <c r="B1465" i="2"/>
  <c r="S1464" i="2"/>
  <c r="R1464" i="2"/>
  <c r="Q1464" i="2"/>
  <c r="O1464" i="2"/>
  <c r="E1464" i="2"/>
  <c r="D1464" i="2"/>
  <c r="C1464" i="2"/>
  <c r="B1464" i="2"/>
  <c r="S1463" i="2"/>
  <c r="R1463" i="2"/>
  <c r="Q1463" i="2"/>
  <c r="O1463" i="2"/>
  <c r="E1463" i="2"/>
  <c r="D1463" i="2"/>
  <c r="C1463" i="2"/>
  <c r="B1463" i="2"/>
  <c r="S1462" i="2"/>
  <c r="R1462" i="2"/>
  <c r="Q1462" i="2"/>
  <c r="O1462" i="2"/>
  <c r="E1462" i="2"/>
  <c r="D1462" i="2"/>
  <c r="C1462" i="2"/>
  <c r="B1462" i="2"/>
  <c r="S1461" i="2"/>
  <c r="R1461" i="2"/>
  <c r="Q1461" i="2"/>
  <c r="O1461" i="2"/>
  <c r="E1461" i="2"/>
  <c r="D1461" i="2"/>
  <c r="C1461" i="2"/>
  <c r="B1461" i="2"/>
  <c r="S1460" i="2"/>
  <c r="R1460" i="2"/>
  <c r="Q1460" i="2"/>
  <c r="O1460" i="2"/>
  <c r="E1460" i="2"/>
  <c r="D1460" i="2"/>
  <c r="C1460" i="2"/>
  <c r="B1460" i="2"/>
  <c r="S1459" i="2"/>
  <c r="R1459" i="2"/>
  <c r="Q1459" i="2"/>
  <c r="O1459" i="2"/>
  <c r="E1459" i="2"/>
  <c r="D1459" i="2"/>
  <c r="C1459" i="2"/>
  <c r="B1459" i="2"/>
  <c r="S1458" i="2"/>
  <c r="R1458" i="2"/>
  <c r="Q1458" i="2"/>
  <c r="O1458" i="2"/>
  <c r="E1458" i="2"/>
  <c r="D1458" i="2"/>
  <c r="C1458" i="2"/>
  <c r="B1458" i="2"/>
  <c r="S1457" i="2"/>
  <c r="R1457" i="2"/>
  <c r="Q1457" i="2"/>
  <c r="O1457" i="2"/>
  <c r="E1457" i="2"/>
  <c r="D1457" i="2"/>
  <c r="C1457" i="2"/>
  <c r="B1457" i="2"/>
  <c r="S1456" i="2"/>
  <c r="R1456" i="2"/>
  <c r="Q1456" i="2"/>
  <c r="O1456" i="2"/>
  <c r="E1456" i="2"/>
  <c r="D1456" i="2"/>
  <c r="C1456" i="2"/>
  <c r="B1456" i="2"/>
  <c r="S1455" i="2"/>
  <c r="R1455" i="2"/>
  <c r="Q1455" i="2"/>
  <c r="O1455" i="2"/>
  <c r="E1455" i="2"/>
  <c r="D1455" i="2"/>
  <c r="C1455" i="2"/>
  <c r="B1455" i="2"/>
  <c r="S1454" i="2"/>
  <c r="R1454" i="2"/>
  <c r="Q1454" i="2"/>
  <c r="O1454" i="2"/>
  <c r="E1454" i="2"/>
  <c r="D1454" i="2"/>
  <c r="C1454" i="2"/>
  <c r="B1454" i="2"/>
  <c r="S1453" i="2"/>
  <c r="R1453" i="2"/>
  <c r="Q1453" i="2"/>
  <c r="O1453" i="2"/>
  <c r="E1453" i="2"/>
  <c r="D1453" i="2"/>
  <c r="C1453" i="2"/>
  <c r="B1453" i="2"/>
  <c r="S1452" i="2"/>
  <c r="R1452" i="2"/>
  <c r="Q1452" i="2"/>
  <c r="O1452" i="2"/>
  <c r="E1452" i="2"/>
  <c r="D1452" i="2"/>
  <c r="C1452" i="2"/>
  <c r="B1452" i="2"/>
  <c r="S1451" i="2"/>
  <c r="R1451" i="2"/>
  <c r="Q1451" i="2"/>
  <c r="O1451" i="2"/>
  <c r="E1451" i="2"/>
  <c r="D1451" i="2"/>
  <c r="C1451" i="2"/>
  <c r="B1451" i="2"/>
  <c r="S1450" i="2"/>
  <c r="R1450" i="2"/>
  <c r="Q1450" i="2"/>
  <c r="O1450" i="2"/>
  <c r="E1450" i="2"/>
  <c r="D1450" i="2"/>
  <c r="C1450" i="2"/>
  <c r="B1450" i="2"/>
  <c r="S1449" i="2"/>
  <c r="R1449" i="2"/>
  <c r="Q1449" i="2"/>
  <c r="O1449" i="2"/>
  <c r="E1449" i="2"/>
  <c r="D1449" i="2"/>
  <c r="C1449" i="2"/>
  <c r="B1449" i="2"/>
  <c r="S1448" i="2"/>
  <c r="R1448" i="2"/>
  <c r="Q1448" i="2"/>
  <c r="O1448" i="2"/>
  <c r="E1448" i="2"/>
  <c r="D1448" i="2"/>
  <c r="C1448" i="2"/>
  <c r="B1448" i="2"/>
  <c r="S1447" i="2"/>
  <c r="R1447" i="2"/>
  <c r="Q1447" i="2"/>
  <c r="O1447" i="2"/>
  <c r="E1447" i="2"/>
  <c r="D1447" i="2"/>
  <c r="C1447" i="2"/>
  <c r="B1447" i="2"/>
  <c r="S1446" i="2"/>
  <c r="R1446" i="2"/>
  <c r="Q1446" i="2"/>
  <c r="O1446" i="2"/>
  <c r="E1446" i="2"/>
  <c r="D1446" i="2"/>
  <c r="C1446" i="2"/>
  <c r="B1446" i="2"/>
  <c r="S1445" i="2"/>
  <c r="R1445" i="2"/>
  <c r="Q1445" i="2"/>
  <c r="O1445" i="2"/>
  <c r="E1445" i="2"/>
  <c r="D1445" i="2"/>
  <c r="C1445" i="2"/>
  <c r="B1445" i="2"/>
  <c r="S1444" i="2"/>
  <c r="R1444" i="2"/>
  <c r="Q1444" i="2"/>
  <c r="O1444" i="2"/>
  <c r="E1444" i="2"/>
  <c r="D1444" i="2"/>
  <c r="C1444" i="2"/>
  <c r="B1444" i="2"/>
  <c r="S1443" i="2"/>
  <c r="R1443" i="2"/>
  <c r="Q1443" i="2"/>
  <c r="O1443" i="2"/>
  <c r="E1443" i="2"/>
  <c r="D1443" i="2"/>
  <c r="C1443" i="2"/>
  <c r="B1443" i="2"/>
  <c r="S1442" i="2"/>
  <c r="R1442" i="2"/>
  <c r="Q1442" i="2"/>
  <c r="O1442" i="2"/>
  <c r="E1442" i="2"/>
  <c r="D1442" i="2"/>
  <c r="C1442" i="2"/>
  <c r="B1442" i="2"/>
  <c r="S1441" i="2"/>
  <c r="R1441" i="2"/>
  <c r="Q1441" i="2"/>
  <c r="O1441" i="2"/>
  <c r="E1441" i="2"/>
  <c r="D1441" i="2"/>
  <c r="C1441" i="2"/>
  <c r="B1441" i="2"/>
  <c r="S1440" i="2"/>
  <c r="R1440" i="2"/>
  <c r="Q1440" i="2"/>
  <c r="O1440" i="2"/>
  <c r="E1440" i="2"/>
  <c r="D1440" i="2"/>
  <c r="C1440" i="2"/>
  <c r="B1440" i="2"/>
  <c r="S1439" i="2"/>
  <c r="R1439" i="2"/>
  <c r="Q1439" i="2"/>
  <c r="O1439" i="2"/>
  <c r="E1439" i="2"/>
  <c r="D1439" i="2"/>
  <c r="C1439" i="2"/>
  <c r="B1439" i="2"/>
  <c r="S1438" i="2"/>
  <c r="R1438" i="2"/>
  <c r="Q1438" i="2"/>
  <c r="O1438" i="2"/>
  <c r="E1438" i="2"/>
  <c r="D1438" i="2"/>
  <c r="C1438" i="2"/>
  <c r="B1438" i="2"/>
  <c r="S1437" i="2"/>
  <c r="R1437" i="2"/>
  <c r="Q1437" i="2"/>
  <c r="O1437" i="2"/>
  <c r="E1437" i="2"/>
  <c r="D1437" i="2"/>
  <c r="C1437" i="2"/>
  <c r="B1437" i="2"/>
  <c r="S1436" i="2"/>
  <c r="R1436" i="2"/>
  <c r="Q1436" i="2"/>
  <c r="O1436" i="2"/>
  <c r="E1436" i="2"/>
  <c r="D1436" i="2"/>
  <c r="C1436" i="2"/>
  <c r="B1436" i="2"/>
  <c r="S1435" i="2"/>
  <c r="R1435" i="2"/>
  <c r="Q1435" i="2"/>
  <c r="O1435" i="2"/>
  <c r="E1435" i="2"/>
  <c r="D1435" i="2"/>
  <c r="C1435" i="2"/>
  <c r="B1435" i="2"/>
  <c r="S1434" i="2"/>
  <c r="R1434" i="2"/>
  <c r="Q1434" i="2"/>
  <c r="O1434" i="2"/>
  <c r="E1434" i="2"/>
  <c r="D1434" i="2"/>
  <c r="C1434" i="2"/>
  <c r="B1434" i="2"/>
  <c r="S1433" i="2"/>
  <c r="R1433" i="2"/>
  <c r="Q1433" i="2"/>
  <c r="O1433" i="2"/>
  <c r="E1433" i="2"/>
  <c r="D1433" i="2"/>
  <c r="C1433" i="2"/>
  <c r="B1433" i="2"/>
  <c r="S1432" i="2"/>
  <c r="R1432" i="2"/>
  <c r="Q1432" i="2"/>
  <c r="O1432" i="2"/>
  <c r="E1432" i="2"/>
  <c r="D1432" i="2"/>
  <c r="C1432" i="2"/>
  <c r="B1432" i="2"/>
  <c r="S1431" i="2"/>
  <c r="R1431" i="2"/>
  <c r="Q1431" i="2"/>
  <c r="O1431" i="2"/>
  <c r="E1431" i="2"/>
  <c r="D1431" i="2"/>
  <c r="C1431" i="2"/>
  <c r="B1431" i="2"/>
  <c r="S1430" i="2"/>
  <c r="R1430" i="2"/>
  <c r="Q1430" i="2"/>
  <c r="O1430" i="2"/>
  <c r="E1430" i="2"/>
  <c r="D1430" i="2"/>
  <c r="C1430" i="2"/>
  <c r="B1430" i="2"/>
  <c r="S1429" i="2"/>
  <c r="R1429" i="2"/>
  <c r="Q1429" i="2"/>
  <c r="O1429" i="2"/>
  <c r="E1429" i="2"/>
  <c r="D1429" i="2"/>
  <c r="C1429" i="2"/>
  <c r="B1429" i="2"/>
  <c r="S1428" i="2"/>
  <c r="R1428" i="2"/>
  <c r="Q1428" i="2"/>
  <c r="O1428" i="2"/>
  <c r="E1428" i="2"/>
  <c r="D1428" i="2"/>
  <c r="C1428" i="2"/>
  <c r="B1428" i="2"/>
  <c r="S1427" i="2"/>
  <c r="R1427" i="2"/>
  <c r="Q1427" i="2"/>
  <c r="O1427" i="2"/>
  <c r="E1427" i="2"/>
  <c r="D1427" i="2"/>
  <c r="C1427" i="2"/>
  <c r="B1427" i="2"/>
  <c r="S1426" i="2"/>
  <c r="R1426" i="2"/>
  <c r="Q1426" i="2"/>
  <c r="O1426" i="2"/>
  <c r="E1426" i="2"/>
  <c r="D1426" i="2"/>
  <c r="C1426" i="2"/>
  <c r="B1426" i="2"/>
  <c r="S1425" i="2"/>
  <c r="R1425" i="2"/>
  <c r="Q1425" i="2"/>
  <c r="O1425" i="2"/>
  <c r="E1425" i="2"/>
  <c r="D1425" i="2"/>
  <c r="C1425" i="2"/>
  <c r="B1425" i="2"/>
  <c r="S1424" i="2"/>
  <c r="R1424" i="2"/>
  <c r="Q1424" i="2"/>
  <c r="O1424" i="2"/>
  <c r="E1424" i="2"/>
  <c r="D1424" i="2"/>
  <c r="C1424" i="2"/>
  <c r="B1424" i="2"/>
  <c r="S1423" i="2"/>
  <c r="R1423" i="2"/>
  <c r="Q1423" i="2"/>
  <c r="O1423" i="2"/>
  <c r="E1423" i="2"/>
  <c r="D1423" i="2"/>
  <c r="C1423" i="2"/>
  <c r="B1423" i="2"/>
  <c r="S1422" i="2"/>
  <c r="R1422" i="2"/>
  <c r="Q1422" i="2"/>
  <c r="O1422" i="2"/>
  <c r="E1422" i="2"/>
  <c r="D1422" i="2"/>
  <c r="C1422" i="2"/>
  <c r="B1422" i="2"/>
  <c r="S1421" i="2"/>
  <c r="R1421" i="2"/>
  <c r="Q1421" i="2"/>
  <c r="O1421" i="2"/>
  <c r="E1421" i="2"/>
  <c r="D1421" i="2"/>
  <c r="C1421" i="2"/>
  <c r="B1421" i="2"/>
  <c r="S1420" i="2"/>
  <c r="R1420" i="2"/>
  <c r="Q1420" i="2"/>
  <c r="O1420" i="2"/>
  <c r="E1420" i="2"/>
  <c r="D1420" i="2"/>
  <c r="C1420" i="2"/>
  <c r="B1420" i="2"/>
  <c r="S1419" i="2"/>
  <c r="R1419" i="2"/>
  <c r="Q1419" i="2"/>
  <c r="O1419" i="2"/>
  <c r="E1419" i="2"/>
  <c r="D1419" i="2"/>
  <c r="C1419" i="2"/>
  <c r="B1419" i="2"/>
  <c r="S1418" i="2"/>
  <c r="R1418" i="2"/>
  <c r="Q1418" i="2"/>
  <c r="O1418" i="2"/>
  <c r="E1418" i="2"/>
  <c r="D1418" i="2"/>
  <c r="C1418" i="2"/>
  <c r="B1418" i="2"/>
  <c r="S1417" i="2"/>
  <c r="R1417" i="2"/>
  <c r="Q1417" i="2"/>
  <c r="O1417" i="2"/>
  <c r="E1417" i="2"/>
  <c r="D1417" i="2"/>
  <c r="C1417" i="2"/>
  <c r="B1417" i="2"/>
  <c r="S1416" i="2"/>
  <c r="R1416" i="2"/>
  <c r="Q1416" i="2"/>
  <c r="O1416" i="2"/>
  <c r="E1416" i="2"/>
  <c r="D1416" i="2"/>
  <c r="C1416" i="2"/>
  <c r="B1416" i="2"/>
  <c r="S1415" i="2"/>
  <c r="R1415" i="2"/>
  <c r="Q1415" i="2"/>
  <c r="O1415" i="2"/>
  <c r="E1415" i="2"/>
  <c r="D1415" i="2"/>
  <c r="C1415" i="2"/>
  <c r="B1415" i="2"/>
  <c r="S1414" i="2"/>
  <c r="R1414" i="2"/>
  <c r="Q1414" i="2"/>
  <c r="O1414" i="2"/>
  <c r="E1414" i="2"/>
  <c r="D1414" i="2"/>
  <c r="C1414" i="2"/>
  <c r="B1414" i="2"/>
  <c r="S1413" i="2"/>
  <c r="R1413" i="2"/>
  <c r="Q1413" i="2"/>
  <c r="O1413" i="2"/>
  <c r="E1413" i="2"/>
  <c r="D1413" i="2"/>
  <c r="C1413" i="2"/>
  <c r="B1413" i="2"/>
  <c r="S1412" i="2"/>
  <c r="R1412" i="2"/>
  <c r="Q1412" i="2"/>
  <c r="O1412" i="2"/>
  <c r="E1412" i="2"/>
  <c r="D1412" i="2"/>
  <c r="C1412" i="2"/>
  <c r="B1412" i="2"/>
  <c r="S1411" i="2"/>
  <c r="R1411" i="2"/>
  <c r="Q1411" i="2"/>
  <c r="O1411" i="2"/>
  <c r="E1411" i="2"/>
  <c r="D1411" i="2"/>
  <c r="C1411" i="2"/>
  <c r="B1411" i="2"/>
  <c r="S1410" i="2"/>
  <c r="R1410" i="2"/>
  <c r="Q1410" i="2"/>
  <c r="O1410" i="2"/>
  <c r="E1410" i="2"/>
  <c r="D1410" i="2"/>
  <c r="C1410" i="2"/>
  <c r="B1410" i="2"/>
  <c r="S1409" i="2"/>
  <c r="R1409" i="2"/>
  <c r="Q1409" i="2"/>
  <c r="O1409" i="2"/>
  <c r="E1409" i="2"/>
  <c r="D1409" i="2"/>
  <c r="C1409" i="2"/>
  <c r="B1409" i="2"/>
  <c r="S1408" i="2"/>
  <c r="R1408" i="2"/>
  <c r="Q1408" i="2"/>
  <c r="O1408" i="2"/>
  <c r="E1408" i="2"/>
  <c r="D1408" i="2"/>
  <c r="C1408" i="2"/>
  <c r="B1408" i="2"/>
  <c r="S1407" i="2"/>
  <c r="R1407" i="2"/>
  <c r="Q1407" i="2"/>
  <c r="O1407" i="2"/>
  <c r="E1407" i="2"/>
  <c r="D1407" i="2"/>
  <c r="C1407" i="2"/>
  <c r="B1407" i="2"/>
  <c r="S1406" i="2"/>
  <c r="R1406" i="2"/>
  <c r="Q1406" i="2"/>
  <c r="O1406" i="2"/>
  <c r="E1406" i="2"/>
  <c r="D1406" i="2"/>
  <c r="C1406" i="2"/>
  <c r="B1406" i="2"/>
  <c r="S1405" i="2"/>
  <c r="R1405" i="2"/>
  <c r="Q1405" i="2"/>
  <c r="O1405" i="2"/>
  <c r="E1405" i="2"/>
  <c r="D1405" i="2"/>
  <c r="C1405" i="2"/>
  <c r="B1405" i="2"/>
  <c r="S1404" i="2"/>
  <c r="R1404" i="2"/>
  <c r="Q1404" i="2"/>
  <c r="O1404" i="2"/>
  <c r="E1404" i="2"/>
  <c r="D1404" i="2"/>
  <c r="C1404" i="2"/>
  <c r="B1404" i="2"/>
  <c r="S1403" i="2"/>
  <c r="R1403" i="2"/>
  <c r="Q1403" i="2"/>
  <c r="O1403" i="2"/>
  <c r="E1403" i="2"/>
  <c r="D1403" i="2"/>
  <c r="C1403" i="2"/>
  <c r="B1403" i="2"/>
  <c r="S1402" i="2"/>
  <c r="R1402" i="2"/>
  <c r="Q1402" i="2"/>
  <c r="O1402" i="2"/>
  <c r="E1402" i="2"/>
  <c r="D1402" i="2"/>
  <c r="C1402" i="2"/>
  <c r="B1402" i="2"/>
  <c r="S1401" i="2"/>
  <c r="R1401" i="2"/>
  <c r="Q1401" i="2"/>
  <c r="O1401" i="2"/>
  <c r="E1401" i="2"/>
  <c r="D1401" i="2"/>
  <c r="C1401" i="2"/>
  <c r="B1401" i="2"/>
  <c r="S1400" i="2"/>
  <c r="R1400" i="2"/>
  <c r="Q1400" i="2"/>
  <c r="O1400" i="2"/>
  <c r="E1400" i="2"/>
  <c r="D1400" i="2"/>
  <c r="C1400" i="2"/>
  <c r="B1400" i="2"/>
  <c r="S1399" i="2"/>
  <c r="R1399" i="2"/>
  <c r="Q1399" i="2"/>
  <c r="O1399" i="2"/>
  <c r="E1399" i="2"/>
  <c r="D1399" i="2"/>
  <c r="C1399" i="2"/>
  <c r="B1399" i="2"/>
  <c r="S1398" i="2"/>
  <c r="R1398" i="2"/>
  <c r="Q1398" i="2"/>
  <c r="O1398" i="2"/>
  <c r="E1398" i="2"/>
  <c r="D1398" i="2"/>
  <c r="C1398" i="2"/>
  <c r="B1398" i="2"/>
  <c r="S1397" i="2"/>
  <c r="R1397" i="2"/>
  <c r="Q1397" i="2"/>
  <c r="O1397" i="2"/>
  <c r="E1397" i="2"/>
  <c r="D1397" i="2"/>
  <c r="C1397" i="2"/>
  <c r="B1397" i="2"/>
  <c r="S1396" i="2"/>
  <c r="R1396" i="2"/>
  <c r="Q1396" i="2"/>
  <c r="O1396" i="2"/>
  <c r="E1396" i="2"/>
  <c r="D1396" i="2"/>
  <c r="C1396" i="2"/>
  <c r="B1396" i="2"/>
  <c r="S1395" i="2"/>
  <c r="R1395" i="2"/>
  <c r="Q1395" i="2"/>
  <c r="O1395" i="2"/>
  <c r="E1395" i="2"/>
  <c r="D1395" i="2"/>
  <c r="C1395" i="2"/>
  <c r="B1395" i="2"/>
  <c r="S1394" i="2"/>
  <c r="R1394" i="2"/>
  <c r="Q1394" i="2"/>
  <c r="O1394" i="2"/>
  <c r="E1394" i="2"/>
  <c r="D1394" i="2"/>
  <c r="C1394" i="2"/>
  <c r="B1394" i="2"/>
  <c r="S1393" i="2"/>
  <c r="R1393" i="2"/>
  <c r="Q1393" i="2"/>
  <c r="O1393" i="2"/>
  <c r="E1393" i="2"/>
  <c r="D1393" i="2"/>
  <c r="C1393" i="2"/>
  <c r="B1393" i="2"/>
  <c r="S1392" i="2"/>
  <c r="R1392" i="2"/>
  <c r="Q1392" i="2"/>
  <c r="O1392" i="2"/>
  <c r="E1392" i="2"/>
  <c r="D1392" i="2"/>
  <c r="C1392" i="2"/>
  <c r="B1392" i="2"/>
  <c r="S1391" i="2"/>
  <c r="R1391" i="2"/>
  <c r="Q1391" i="2"/>
  <c r="O1391" i="2"/>
  <c r="E1391" i="2"/>
  <c r="D1391" i="2"/>
  <c r="C1391" i="2"/>
  <c r="B1391" i="2"/>
  <c r="S1390" i="2"/>
  <c r="R1390" i="2"/>
  <c r="Q1390" i="2"/>
  <c r="O1390" i="2"/>
  <c r="E1390" i="2"/>
  <c r="D1390" i="2"/>
  <c r="C1390" i="2"/>
  <c r="B1390" i="2"/>
  <c r="S1389" i="2"/>
  <c r="R1389" i="2"/>
  <c r="Q1389" i="2"/>
  <c r="O1389" i="2"/>
  <c r="E1389" i="2"/>
  <c r="D1389" i="2"/>
  <c r="C1389" i="2"/>
  <c r="B1389" i="2"/>
  <c r="S1388" i="2"/>
  <c r="R1388" i="2"/>
  <c r="Q1388" i="2"/>
  <c r="O1388" i="2"/>
  <c r="E1388" i="2"/>
  <c r="D1388" i="2"/>
  <c r="C1388" i="2"/>
  <c r="B1388" i="2"/>
  <c r="S1387" i="2"/>
  <c r="R1387" i="2"/>
  <c r="Q1387" i="2"/>
  <c r="O1387" i="2"/>
  <c r="E1387" i="2"/>
  <c r="D1387" i="2"/>
  <c r="C1387" i="2"/>
  <c r="B1387" i="2"/>
  <c r="S1386" i="2"/>
  <c r="R1386" i="2"/>
  <c r="Q1386" i="2"/>
  <c r="O1386" i="2"/>
  <c r="E1386" i="2"/>
  <c r="D1386" i="2"/>
  <c r="C1386" i="2"/>
  <c r="B1386" i="2"/>
  <c r="S1385" i="2"/>
  <c r="R1385" i="2"/>
  <c r="Q1385" i="2"/>
  <c r="O1385" i="2"/>
  <c r="E1385" i="2"/>
  <c r="D1385" i="2"/>
  <c r="C1385" i="2"/>
  <c r="B1385" i="2"/>
  <c r="S1384" i="2"/>
  <c r="R1384" i="2"/>
  <c r="Q1384" i="2"/>
  <c r="O1384" i="2"/>
  <c r="E1384" i="2"/>
  <c r="D1384" i="2"/>
  <c r="C1384" i="2"/>
  <c r="B1384" i="2"/>
  <c r="S1383" i="2"/>
  <c r="R1383" i="2"/>
  <c r="Q1383" i="2"/>
  <c r="O1383" i="2"/>
  <c r="E1383" i="2"/>
  <c r="D1383" i="2"/>
  <c r="C1383" i="2"/>
  <c r="B1383" i="2"/>
  <c r="S1382" i="2"/>
  <c r="R1382" i="2"/>
  <c r="Q1382" i="2"/>
  <c r="O1382" i="2"/>
  <c r="E1382" i="2"/>
  <c r="D1382" i="2"/>
  <c r="C1382" i="2"/>
  <c r="B1382" i="2"/>
  <c r="S1381" i="2"/>
  <c r="R1381" i="2"/>
  <c r="Q1381" i="2"/>
  <c r="O1381" i="2"/>
  <c r="E1381" i="2"/>
  <c r="D1381" i="2"/>
  <c r="C1381" i="2"/>
  <c r="B1381" i="2"/>
  <c r="S1380" i="2"/>
  <c r="R1380" i="2"/>
  <c r="Q1380" i="2"/>
  <c r="O1380" i="2"/>
  <c r="E1380" i="2"/>
  <c r="D1380" i="2"/>
  <c r="C1380" i="2"/>
  <c r="B1380" i="2"/>
  <c r="S1379" i="2"/>
  <c r="R1379" i="2"/>
  <c r="Q1379" i="2"/>
  <c r="O1379" i="2"/>
  <c r="E1379" i="2"/>
  <c r="D1379" i="2"/>
  <c r="C1379" i="2"/>
  <c r="B1379" i="2"/>
  <c r="S1378" i="2"/>
  <c r="R1378" i="2"/>
  <c r="Q1378" i="2"/>
  <c r="O1378" i="2"/>
  <c r="E1378" i="2"/>
  <c r="D1378" i="2"/>
  <c r="C1378" i="2"/>
  <c r="B1378" i="2"/>
  <c r="S1377" i="2"/>
  <c r="R1377" i="2"/>
  <c r="Q1377" i="2"/>
  <c r="O1377" i="2"/>
  <c r="E1377" i="2"/>
  <c r="D1377" i="2"/>
  <c r="C1377" i="2"/>
  <c r="B1377" i="2"/>
  <c r="S1376" i="2"/>
  <c r="R1376" i="2"/>
  <c r="Q1376" i="2"/>
  <c r="O1376" i="2"/>
  <c r="E1376" i="2"/>
  <c r="D1376" i="2"/>
  <c r="C1376" i="2"/>
  <c r="B1376" i="2"/>
  <c r="S1375" i="2"/>
  <c r="R1375" i="2"/>
  <c r="Q1375" i="2"/>
  <c r="O1375" i="2"/>
  <c r="E1375" i="2"/>
  <c r="D1375" i="2"/>
  <c r="C1375" i="2"/>
  <c r="B1375" i="2"/>
  <c r="S1374" i="2"/>
  <c r="R1374" i="2"/>
  <c r="Q1374" i="2"/>
  <c r="O1374" i="2"/>
  <c r="E1374" i="2"/>
  <c r="D1374" i="2"/>
  <c r="C1374" i="2"/>
  <c r="B1374" i="2"/>
  <c r="S1373" i="2"/>
  <c r="R1373" i="2"/>
  <c r="Q1373" i="2"/>
  <c r="O1373" i="2"/>
  <c r="E1373" i="2"/>
  <c r="D1373" i="2"/>
  <c r="C1373" i="2"/>
  <c r="B1373" i="2"/>
  <c r="S1372" i="2"/>
  <c r="R1372" i="2"/>
  <c r="Q1372" i="2"/>
  <c r="O1372" i="2"/>
  <c r="E1372" i="2"/>
  <c r="D1372" i="2"/>
  <c r="C1372" i="2"/>
  <c r="B1372" i="2"/>
  <c r="S1371" i="2"/>
  <c r="R1371" i="2"/>
  <c r="Q1371" i="2"/>
  <c r="O1371" i="2"/>
  <c r="E1371" i="2"/>
  <c r="D1371" i="2"/>
  <c r="C1371" i="2"/>
  <c r="B1371" i="2"/>
  <c r="S1370" i="2"/>
  <c r="R1370" i="2"/>
  <c r="Q1370" i="2"/>
  <c r="O1370" i="2"/>
  <c r="E1370" i="2"/>
  <c r="D1370" i="2"/>
  <c r="C1370" i="2"/>
  <c r="B1370" i="2"/>
  <c r="S1369" i="2"/>
  <c r="R1369" i="2"/>
  <c r="Q1369" i="2"/>
  <c r="O1369" i="2"/>
  <c r="E1369" i="2"/>
  <c r="D1369" i="2"/>
  <c r="C1369" i="2"/>
  <c r="B1369" i="2"/>
  <c r="S1368" i="2"/>
  <c r="R1368" i="2"/>
  <c r="Q1368" i="2"/>
  <c r="O1368" i="2"/>
  <c r="E1368" i="2"/>
  <c r="D1368" i="2"/>
  <c r="C1368" i="2"/>
  <c r="B1368" i="2"/>
  <c r="S1367" i="2"/>
  <c r="R1367" i="2"/>
  <c r="Q1367" i="2"/>
  <c r="O1367" i="2"/>
  <c r="E1367" i="2"/>
  <c r="D1367" i="2"/>
  <c r="C1367" i="2"/>
  <c r="B1367" i="2"/>
  <c r="S1366" i="2"/>
  <c r="R1366" i="2"/>
  <c r="Q1366" i="2"/>
  <c r="O1366" i="2"/>
  <c r="E1366" i="2"/>
  <c r="D1366" i="2"/>
  <c r="C1366" i="2"/>
  <c r="B1366" i="2"/>
  <c r="S1365" i="2"/>
  <c r="R1365" i="2"/>
  <c r="Q1365" i="2"/>
  <c r="O1365" i="2"/>
  <c r="E1365" i="2"/>
  <c r="D1365" i="2"/>
  <c r="C1365" i="2"/>
  <c r="B1365" i="2"/>
  <c r="S1364" i="2"/>
  <c r="R1364" i="2"/>
  <c r="Q1364" i="2"/>
  <c r="O1364" i="2"/>
  <c r="E1364" i="2"/>
  <c r="D1364" i="2"/>
  <c r="C1364" i="2"/>
  <c r="B1364" i="2"/>
  <c r="S1363" i="2"/>
  <c r="R1363" i="2"/>
  <c r="Q1363" i="2"/>
  <c r="O1363" i="2"/>
  <c r="E1363" i="2"/>
  <c r="D1363" i="2"/>
  <c r="C1363" i="2"/>
  <c r="B1363" i="2"/>
  <c r="S1362" i="2"/>
  <c r="R1362" i="2"/>
  <c r="Q1362" i="2"/>
  <c r="O1362" i="2"/>
  <c r="E1362" i="2"/>
  <c r="D1362" i="2"/>
  <c r="C1362" i="2"/>
  <c r="B1362" i="2"/>
  <c r="S1361" i="2"/>
  <c r="R1361" i="2"/>
  <c r="Q1361" i="2"/>
  <c r="O1361" i="2"/>
  <c r="E1361" i="2"/>
  <c r="D1361" i="2"/>
  <c r="C1361" i="2"/>
  <c r="B1361" i="2"/>
  <c r="S1360" i="2"/>
  <c r="R1360" i="2"/>
  <c r="Q1360" i="2"/>
  <c r="O1360" i="2"/>
  <c r="E1360" i="2"/>
  <c r="D1360" i="2"/>
  <c r="C1360" i="2"/>
  <c r="B1360" i="2"/>
  <c r="S1359" i="2"/>
  <c r="R1359" i="2"/>
  <c r="Q1359" i="2"/>
  <c r="O1359" i="2"/>
  <c r="E1359" i="2"/>
  <c r="D1359" i="2"/>
  <c r="C1359" i="2"/>
  <c r="B1359" i="2"/>
  <c r="S1358" i="2"/>
  <c r="R1358" i="2"/>
  <c r="Q1358" i="2"/>
  <c r="O1358" i="2"/>
  <c r="E1358" i="2"/>
  <c r="D1358" i="2"/>
  <c r="C1358" i="2"/>
  <c r="B1358" i="2"/>
  <c r="S1357" i="2"/>
  <c r="R1357" i="2"/>
  <c r="Q1357" i="2"/>
  <c r="O1357" i="2"/>
  <c r="E1357" i="2"/>
  <c r="D1357" i="2"/>
  <c r="C1357" i="2"/>
  <c r="B1357" i="2"/>
  <c r="S1356" i="2"/>
  <c r="R1356" i="2"/>
  <c r="Q1356" i="2"/>
  <c r="O1356" i="2"/>
  <c r="E1356" i="2"/>
  <c r="D1356" i="2"/>
  <c r="C1356" i="2"/>
  <c r="B1356" i="2"/>
  <c r="S1355" i="2"/>
  <c r="R1355" i="2"/>
  <c r="Q1355" i="2"/>
  <c r="O1355" i="2"/>
  <c r="E1355" i="2"/>
  <c r="D1355" i="2"/>
  <c r="C1355" i="2"/>
  <c r="B1355" i="2"/>
  <c r="S1354" i="2"/>
  <c r="R1354" i="2"/>
  <c r="Q1354" i="2"/>
  <c r="O1354" i="2"/>
  <c r="E1354" i="2"/>
  <c r="D1354" i="2"/>
  <c r="C1354" i="2"/>
  <c r="B1354" i="2"/>
  <c r="S1353" i="2"/>
  <c r="R1353" i="2"/>
  <c r="Q1353" i="2"/>
  <c r="O1353" i="2"/>
  <c r="E1353" i="2"/>
  <c r="D1353" i="2"/>
  <c r="C1353" i="2"/>
  <c r="B1353" i="2"/>
  <c r="S1352" i="2"/>
  <c r="R1352" i="2"/>
  <c r="Q1352" i="2"/>
  <c r="O1352" i="2"/>
  <c r="E1352" i="2"/>
  <c r="D1352" i="2"/>
  <c r="C1352" i="2"/>
  <c r="B1352" i="2"/>
  <c r="S1351" i="2"/>
  <c r="R1351" i="2"/>
  <c r="Q1351" i="2"/>
  <c r="O1351" i="2"/>
  <c r="E1351" i="2"/>
  <c r="D1351" i="2"/>
  <c r="C1351" i="2"/>
  <c r="B1351" i="2"/>
  <c r="S1350" i="2"/>
  <c r="R1350" i="2"/>
  <c r="Q1350" i="2"/>
  <c r="O1350" i="2"/>
  <c r="E1350" i="2"/>
  <c r="D1350" i="2"/>
  <c r="C1350" i="2"/>
  <c r="B1350" i="2"/>
  <c r="S1349" i="2"/>
  <c r="R1349" i="2"/>
  <c r="Q1349" i="2"/>
  <c r="O1349" i="2"/>
  <c r="E1349" i="2"/>
  <c r="D1349" i="2"/>
  <c r="C1349" i="2"/>
  <c r="B1349" i="2"/>
  <c r="S1348" i="2"/>
  <c r="R1348" i="2"/>
  <c r="Q1348" i="2"/>
  <c r="O1348" i="2"/>
  <c r="E1348" i="2"/>
  <c r="D1348" i="2"/>
  <c r="C1348" i="2"/>
  <c r="B1348" i="2"/>
  <c r="S1347" i="2"/>
  <c r="R1347" i="2"/>
  <c r="Q1347" i="2"/>
  <c r="O1347" i="2"/>
  <c r="E1347" i="2"/>
  <c r="D1347" i="2"/>
  <c r="C1347" i="2"/>
  <c r="B1347" i="2"/>
  <c r="S1346" i="2"/>
  <c r="R1346" i="2"/>
  <c r="Q1346" i="2"/>
  <c r="O1346" i="2"/>
  <c r="E1346" i="2"/>
  <c r="D1346" i="2"/>
  <c r="C1346" i="2"/>
  <c r="B1346" i="2"/>
  <c r="S1345" i="2"/>
  <c r="R1345" i="2"/>
  <c r="Q1345" i="2"/>
  <c r="O1345" i="2"/>
  <c r="E1345" i="2"/>
  <c r="D1345" i="2"/>
  <c r="C1345" i="2"/>
  <c r="B1345" i="2"/>
  <c r="S1344" i="2"/>
  <c r="R1344" i="2"/>
  <c r="Q1344" i="2"/>
  <c r="O1344" i="2"/>
  <c r="E1344" i="2"/>
  <c r="D1344" i="2"/>
  <c r="C1344" i="2"/>
  <c r="B1344" i="2"/>
  <c r="S1343" i="2"/>
  <c r="R1343" i="2"/>
  <c r="Q1343" i="2"/>
  <c r="O1343" i="2"/>
  <c r="E1343" i="2"/>
  <c r="D1343" i="2"/>
  <c r="C1343" i="2"/>
  <c r="B1343" i="2"/>
  <c r="S1342" i="2"/>
  <c r="R1342" i="2"/>
  <c r="Q1342" i="2"/>
  <c r="O1342" i="2"/>
  <c r="E1342" i="2"/>
  <c r="D1342" i="2"/>
  <c r="C1342" i="2"/>
  <c r="B1342" i="2"/>
  <c r="S1341" i="2"/>
  <c r="R1341" i="2"/>
  <c r="Q1341" i="2"/>
  <c r="O1341" i="2"/>
  <c r="E1341" i="2"/>
  <c r="D1341" i="2"/>
  <c r="C1341" i="2"/>
  <c r="B1341" i="2"/>
  <c r="S1340" i="2"/>
  <c r="R1340" i="2"/>
  <c r="Q1340" i="2"/>
  <c r="O1340" i="2"/>
  <c r="E1340" i="2"/>
  <c r="D1340" i="2"/>
  <c r="C1340" i="2"/>
  <c r="B1340" i="2"/>
  <c r="S1339" i="2"/>
  <c r="R1339" i="2"/>
  <c r="Q1339" i="2"/>
  <c r="O1339" i="2"/>
  <c r="E1339" i="2"/>
  <c r="D1339" i="2"/>
  <c r="C1339" i="2"/>
  <c r="B1339" i="2"/>
  <c r="S1338" i="2"/>
  <c r="R1338" i="2"/>
  <c r="Q1338" i="2"/>
  <c r="O1338" i="2"/>
  <c r="E1338" i="2"/>
  <c r="D1338" i="2"/>
  <c r="C1338" i="2"/>
  <c r="B1338" i="2"/>
  <c r="S1337" i="2"/>
  <c r="R1337" i="2"/>
  <c r="Q1337" i="2"/>
  <c r="O1337" i="2"/>
  <c r="E1337" i="2"/>
  <c r="D1337" i="2"/>
  <c r="C1337" i="2"/>
  <c r="B1337" i="2"/>
  <c r="S1336" i="2"/>
  <c r="R1336" i="2"/>
  <c r="Q1336" i="2"/>
  <c r="O1336" i="2"/>
  <c r="E1336" i="2"/>
  <c r="D1336" i="2"/>
  <c r="C1336" i="2"/>
  <c r="B1336" i="2"/>
  <c r="S1335" i="2"/>
  <c r="R1335" i="2"/>
  <c r="Q1335" i="2"/>
  <c r="O1335" i="2"/>
  <c r="E1335" i="2"/>
  <c r="D1335" i="2"/>
  <c r="C1335" i="2"/>
  <c r="B1335" i="2"/>
  <c r="S1334" i="2"/>
  <c r="R1334" i="2"/>
  <c r="Q1334" i="2"/>
  <c r="O1334" i="2"/>
  <c r="E1334" i="2"/>
  <c r="D1334" i="2"/>
  <c r="C1334" i="2"/>
  <c r="B1334" i="2"/>
  <c r="S1333" i="2"/>
  <c r="R1333" i="2"/>
  <c r="Q1333" i="2"/>
  <c r="O1333" i="2"/>
  <c r="E1333" i="2"/>
  <c r="D1333" i="2"/>
  <c r="C1333" i="2"/>
  <c r="B1333" i="2"/>
  <c r="S1332" i="2"/>
  <c r="R1332" i="2"/>
  <c r="Q1332" i="2"/>
  <c r="O1332" i="2"/>
  <c r="E1332" i="2"/>
  <c r="D1332" i="2"/>
  <c r="C1332" i="2"/>
  <c r="B1332" i="2"/>
  <c r="S1331" i="2"/>
  <c r="R1331" i="2"/>
  <c r="Q1331" i="2"/>
  <c r="O1331" i="2"/>
  <c r="E1331" i="2"/>
  <c r="D1331" i="2"/>
  <c r="C1331" i="2"/>
  <c r="B1331" i="2"/>
  <c r="S1330" i="2"/>
  <c r="R1330" i="2"/>
  <c r="Q1330" i="2"/>
  <c r="O1330" i="2"/>
  <c r="E1330" i="2"/>
  <c r="D1330" i="2"/>
  <c r="C1330" i="2"/>
  <c r="B1330" i="2"/>
  <c r="S1329" i="2"/>
  <c r="R1329" i="2"/>
  <c r="Q1329" i="2"/>
  <c r="O1329" i="2"/>
  <c r="E1329" i="2"/>
  <c r="D1329" i="2"/>
  <c r="C1329" i="2"/>
  <c r="B1329" i="2"/>
  <c r="S1328" i="2"/>
  <c r="R1328" i="2"/>
  <c r="Q1328" i="2"/>
  <c r="O1328" i="2"/>
  <c r="E1328" i="2"/>
  <c r="D1328" i="2"/>
  <c r="C1328" i="2"/>
  <c r="B1328" i="2"/>
  <c r="S1327" i="2"/>
  <c r="R1327" i="2"/>
  <c r="Q1327" i="2"/>
  <c r="O1327" i="2"/>
  <c r="E1327" i="2"/>
  <c r="D1327" i="2"/>
  <c r="C1327" i="2"/>
  <c r="B1327" i="2"/>
  <c r="S1326" i="2"/>
  <c r="R1326" i="2"/>
  <c r="Q1326" i="2"/>
  <c r="O1326" i="2"/>
  <c r="E1326" i="2"/>
  <c r="D1326" i="2"/>
  <c r="C1326" i="2"/>
  <c r="B1326" i="2"/>
  <c r="S1325" i="2"/>
  <c r="R1325" i="2"/>
  <c r="Q1325" i="2"/>
  <c r="O1325" i="2"/>
  <c r="E1325" i="2"/>
  <c r="D1325" i="2"/>
  <c r="C1325" i="2"/>
  <c r="B1325" i="2"/>
  <c r="S1324" i="2"/>
  <c r="R1324" i="2"/>
  <c r="Q1324" i="2"/>
  <c r="O1324" i="2"/>
  <c r="E1324" i="2"/>
  <c r="D1324" i="2"/>
  <c r="C1324" i="2"/>
  <c r="B1324" i="2"/>
  <c r="S1323" i="2"/>
  <c r="R1323" i="2"/>
  <c r="Q1323" i="2"/>
  <c r="O1323" i="2"/>
  <c r="E1323" i="2"/>
  <c r="D1323" i="2"/>
  <c r="C1323" i="2"/>
  <c r="B1323" i="2"/>
  <c r="S1322" i="2"/>
  <c r="R1322" i="2"/>
  <c r="Q1322" i="2"/>
  <c r="O1322" i="2"/>
  <c r="E1322" i="2"/>
  <c r="D1322" i="2"/>
  <c r="C1322" i="2"/>
  <c r="B1322" i="2"/>
  <c r="S1321" i="2"/>
  <c r="R1321" i="2"/>
  <c r="Q1321" i="2"/>
  <c r="O1321" i="2"/>
  <c r="E1321" i="2"/>
  <c r="D1321" i="2"/>
  <c r="C1321" i="2"/>
  <c r="B1321" i="2"/>
  <c r="S1320" i="2"/>
  <c r="R1320" i="2"/>
  <c r="Q1320" i="2"/>
  <c r="O1320" i="2"/>
  <c r="E1320" i="2"/>
  <c r="D1320" i="2"/>
  <c r="C1320" i="2"/>
  <c r="B1320" i="2"/>
  <c r="S1319" i="2"/>
  <c r="R1319" i="2"/>
  <c r="Q1319" i="2"/>
  <c r="O1319" i="2"/>
  <c r="E1319" i="2"/>
  <c r="D1319" i="2"/>
  <c r="C1319" i="2"/>
  <c r="B1319" i="2"/>
  <c r="S1318" i="2"/>
  <c r="R1318" i="2"/>
  <c r="Q1318" i="2"/>
  <c r="O1318" i="2"/>
  <c r="E1318" i="2"/>
  <c r="D1318" i="2"/>
  <c r="C1318" i="2"/>
  <c r="B1318" i="2"/>
  <c r="S1317" i="2"/>
  <c r="R1317" i="2"/>
  <c r="Q1317" i="2"/>
  <c r="O1317" i="2"/>
  <c r="E1317" i="2"/>
  <c r="D1317" i="2"/>
  <c r="C1317" i="2"/>
  <c r="B1317" i="2"/>
  <c r="S1316" i="2"/>
  <c r="R1316" i="2"/>
  <c r="Q1316" i="2"/>
  <c r="O1316" i="2"/>
  <c r="E1316" i="2"/>
  <c r="D1316" i="2"/>
  <c r="C1316" i="2"/>
  <c r="B1316" i="2"/>
  <c r="S1315" i="2"/>
  <c r="R1315" i="2"/>
  <c r="Q1315" i="2"/>
  <c r="O1315" i="2"/>
  <c r="E1315" i="2"/>
  <c r="D1315" i="2"/>
  <c r="C1315" i="2"/>
  <c r="B1315" i="2"/>
  <c r="S1314" i="2"/>
  <c r="R1314" i="2"/>
  <c r="Q1314" i="2"/>
  <c r="O1314" i="2"/>
  <c r="E1314" i="2"/>
  <c r="D1314" i="2"/>
  <c r="C1314" i="2"/>
  <c r="B1314" i="2"/>
  <c r="S1313" i="2"/>
  <c r="R1313" i="2"/>
  <c r="Q1313" i="2"/>
  <c r="O1313" i="2"/>
  <c r="E1313" i="2"/>
  <c r="D1313" i="2"/>
  <c r="C1313" i="2"/>
  <c r="B1313" i="2"/>
  <c r="S1312" i="2"/>
  <c r="R1312" i="2"/>
  <c r="Q1312" i="2"/>
  <c r="O1312" i="2"/>
  <c r="E1312" i="2"/>
  <c r="D1312" i="2"/>
  <c r="C1312" i="2"/>
  <c r="B1312" i="2"/>
  <c r="S1311" i="2"/>
  <c r="R1311" i="2"/>
  <c r="Q1311" i="2"/>
  <c r="O1311" i="2"/>
  <c r="E1311" i="2"/>
  <c r="D1311" i="2"/>
  <c r="C1311" i="2"/>
  <c r="B1311" i="2"/>
  <c r="S1310" i="2"/>
  <c r="R1310" i="2"/>
  <c r="Q1310" i="2"/>
  <c r="O1310" i="2"/>
  <c r="E1310" i="2"/>
  <c r="D1310" i="2"/>
  <c r="C1310" i="2"/>
  <c r="B1310" i="2"/>
  <c r="S1309" i="2"/>
  <c r="R1309" i="2"/>
  <c r="Q1309" i="2"/>
  <c r="O1309" i="2"/>
  <c r="E1309" i="2"/>
  <c r="D1309" i="2"/>
  <c r="C1309" i="2"/>
  <c r="B1309" i="2"/>
  <c r="S1308" i="2"/>
  <c r="R1308" i="2"/>
  <c r="Q1308" i="2"/>
  <c r="O1308" i="2"/>
  <c r="E1308" i="2"/>
  <c r="D1308" i="2"/>
  <c r="C1308" i="2"/>
  <c r="B1308" i="2"/>
  <c r="S1307" i="2"/>
  <c r="R1307" i="2"/>
  <c r="Q1307" i="2"/>
  <c r="O1307" i="2"/>
  <c r="E1307" i="2"/>
  <c r="D1307" i="2"/>
  <c r="C1307" i="2"/>
  <c r="B1307" i="2"/>
  <c r="S1306" i="2"/>
  <c r="R1306" i="2"/>
  <c r="Q1306" i="2"/>
  <c r="O1306" i="2"/>
  <c r="E1306" i="2"/>
  <c r="D1306" i="2"/>
  <c r="C1306" i="2"/>
  <c r="B1306" i="2"/>
  <c r="S1305" i="2"/>
  <c r="R1305" i="2"/>
  <c r="Q1305" i="2"/>
  <c r="O1305" i="2"/>
  <c r="E1305" i="2"/>
  <c r="D1305" i="2"/>
  <c r="C1305" i="2"/>
  <c r="B1305" i="2"/>
  <c r="S1304" i="2"/>
  <c r="R1304" i="2"/>
  <c r="Q1304" i="2"/>
  <c r="O1304" i="2"/>
  <c r="E1304" i="2"/>
  <c r="D1304" i="2"/>
  <c r="C1304" i="2"/>
  <c r="B1304" i="2"/>
  <c r="S1303" i="2"/>
  <c r="R1303" i="2"/>
  <c r="Q1303" i="2"/>
  <c r="O1303" i="2"/>
  <c r="E1303" i="2"/>
  <c r="D1303" i="2"/>
  <c r="C1303" i="2"/>
  <c r="B1303" i="2"/>
  <c r="S1302" i="2"/>
  <c r="R1302" i="2"/>
  <c r="Q1302" i="2"/>
  <c r="O1302" i="2"/>
  <c r="E1302" i="2"/>
  <c r="D1302" i="2"/>
  <c r="C1302" i="2"/>
  <c r="B1302" i="2"/>
  <c r="S1301" i="2"/>
  <c r="R1301" i="2"/>
  <c r="Q1301" i="2"/>
  <c r="O1301" i="2"/>
  <c r="E1301" i="2"/>
  <c r="D1301" i="2"/>
  <c r="C1301" i="2"/>
  <c r="B1301" i="2"/>
  <c r="S1300" i="2"/>
  <c r="R1300" i="2"/>
  <c r="Q1300" i="2"/>
  <c r="O1300" i="2"/>
  <c r="E1300" i="2"/>
  <c r="D1300" i="2"/>
  <c r="C1300" i="2"/>
  <c r="B1300" i="2"/>
  <c r="S1299" i="2"/>
  <c r="R1299" i="2"/>
  <c r="Q1299" i="2"/>
  <c r="O1299" i="2"/>
  <c r="E1299" i="2"/>
  <c r="D1299" i="2"/>
  <c r="C1299" i="2"/>
  <c r="B1299" i="2"/>
  <c r="S1298" i="2"/>
  <c r="R1298" i="2"/>
  <c r="Q1298" i="2"/>
  <c r="O1298" i="2"/>
  <c r="E1298" i="2"/>
  <c r="D1298" i="2"/>
  <c r="C1298" i="2"/>
  <c r="B1298" i="2"/>
  <c r="S1297" i="2"/>
  <c r="R1297" i="2"/>
  <c r="Q1297" i="2"/>
  <c r="O1297" i="2"/>
  <c r="E1297" i="2"/>
  <c r="D1297" i="2"/>
  <c r="C1297" i="2"/>
  <c r="B1297" i="2"/>
  <c r="S1296" i="2"/>
  <c r="R1296" i="2"/>
  <c r="Q1296" i="2"/>
  <c r="O1296" i="2"/>
  <c r="E1296" i="2"/>
  <c r="D1296" i="2"/>
  <c r="C1296" i="2"/>
  <c r="B1296" i="2"/>
  <c r="S1295" i="2"/>
  <c r="R1295" i="2"/>
  <c r="Q1295" i="2"/>
  <c r="O1295" i="2"/>
  <c r="E1295" i="2"/>
  <c r="D1295" i="2"/>
  <c r="C1295" i="2"/>
  <c r="B1295" i="2"/>
  <c r="S1294" i="2"/>
  <c r="R1294" i="2"/>
  <c r="Q1294" i="2"/>
  <c r="O1294" i="2"/>
  <c r="E1294" i="2"/>
  <c r="D1294" i="2"/>
  <c r="C1294" i="2"/>
  <c r="B1294" i="2"/>
  <c r="S1293" i="2"/>
  <c r="R1293" i="2"/>
  <c r="Q1293" i="2"/>
  <c r="O1293" i="2"/>
  <c r="E1293" i="2"/>
  <c r="D1293" i="2"/>
  <c r="C1293" i="2"/>
  <c r="B1293" i="2"/>
  <c r="S1292" i="2"/>
  <c r="R1292" i="2"/>
  <c r="Q1292" i="2"/>
  <c r="O1292" i="2"/>
  <c r="E1292" i="2"/>
  <c r="D1292" i="2"/>
  <c r="C1292" i="2"/>
  <c r="B1292" i="2"/>
  <c r="S1291" i="2"/>
  <c r="R1291" i="2"/>
  <c r="Q1291" i="2"/>
  <c r="O1291" i="2"/>
  <c r="E1291" i="2"/>
  <c r="D1291" i="2"/>
  <c r="C1291" i="2"/>
  <c r="B1291" i="2"/>
  <c r="S1290" i="2"/>
  <c r="R1290" i="2"/>
  <c r="Q1290" i="2"/>
  <c r="O1290" i="2"/>
  <c r="E1290" i="2"/>
  <c r="D1290" i="2"/>
  <c r="C1290" i="2"/>
  <c r="B1290" i="2"/>
  <c r="S1289" i="2"/>
  <c r="R1289" i="2"/>
  <c r="Q1289" i="2"/>
  <c r="O1289" i="2"/>
  <c r="E1289" i="2"/>
  <c r="D1289" i="2"/>
  <c r="C1289" i="2"/>
  <c r="B1289" i="2"/>
  <c r="S1288" i="2"/>
  <c r="R1288" i="2"/>
  <c r="Q1288" i="2"/>
  <c r="O1288" i="2"/>
  <c r="E1288" i="2"/>
  <c r="D1288" i="2"/>
  <c r="C1288" i="2"/>
  <c r="B1288" i="2"/>
  <c r="S1287" i="2"/>
  <c r="R1287" i="2"/>
  <c r="Q1287" i="2"/>
  <c r="O1287" i="2"/>
  <c r="E1287" i="2"/>
  <c r="D1287" i="2"/>
  <c r="C1287" i="2"/>
  <c r="B1287" i="2"/>
  <c r="S1286" i="2"/>
  <c r="R1286" i="2"/>
  <c r="Q1286" i="2"/>
  <c r="O1286" i="2"/>
  <c r="E1286" i="2"/>
  <c r="D1286" i="2"/>
  <c r="C1286" i="2"/>
  <c r="B1286" i="2"/>
  <c r="S1285" i="2"/>
  <c r="R1285" i="2"/>
  <c r="Q1285" i="2"/>
  <c r="O1285" i="2"/>
  <c r="E1285" i="2"/>
  <c r="D1285" i="2"/>
  <c r="C1285" i="2"/>
  <c r="B1285" i="2"/>
  <c r="S1284" i="2"/>
  <c r="R1284" i="2"/>
  <c r="Q1284" i="2"/>
  <c r="O1284" i="2"/>
  <c r="E1284" i="2"/>
  <c r="D1284" i="2"/>
  <c r="C1284" i="2"/>
  <c r="B1284" i="2"/>
  <c r="S1283" i="2"/>
  <c r="R1283" i="2"/>
  <c r="Q1283" i="2"/>
  <c r="O1283" i="2"/>
  <c r="E1283" i="2"/>
  <c r="D1283" i="2"/>
  <c r="C1283" i="2"/>
  <c r="B1283" i="2"/>
  <c r="S1282" i="2"/>
  <c r="R1282" i="2"/>
  <c r="Q1282" i="2"/>
  <c r="O1282" i="2"/>
  <c r="E1282" i="2"/>
  <c r="D1282" i="2"/>
  <c r="C1282" i="2"/>
  <c r="B1282" i="2"/>
  <c r="S1281" i="2"/>
  <c r="R1281" i="2"/>
  <c r="Q1281" i="2"/>
  <c r="O1281" i="2"/>
  <c r="E1281" i="2"/>
  <c r="D1281" i="2"/>
  <c r="C1281" i="2"/>
  <c r="B1281" i="2"/>
  <c r="S1280" i="2"/>
  <c r="R1280" i="2"/>
  <c r="Q1280" i="2"/>
  <c r="O1280" i="2"/>
  <c r="E1280" i="2"/>
  <c r="D1280" i="2"/>
  <c r="C1280" i="2"/>
  <c r="B1280" i="2"/>
  <c r="S1279" i="2"/>
  <c r="R1279" i="2"/>
  <c r="Q1279" i="2"/>
  <c r="O1279" i="2"/>
  <c r="E1279" i="2"/>
  <c r="D1279" i="2"/>
  <c r="C1279" i="2"/>
  <c r="B1279" i="2"/>
  <c r="S1278" i="2"/>
  <c r="R1278" i="2"/>
  <c r="Q1278" i="2"/>
  <c r="O1278" i="2"/>
  <c r="E1278" i="2"/>
  <c r="D1278" i="2"/>
  <c r="C1278" i="2"/>
  <c r="B1278" i="2"/>
  <c r="S1277" i="2"/>
  <c r="R1277" i="2"/>
  <c r="Q1277" i="2"/>
  <c r="O1277" i="2"/>
  <c r="E1277" i="2"/>
  <c r="D1277" i="2"/>
  <c r="C1277" i="2"/>
  <c r="B1277" i="2"/>
  <c r="S1276" i="2"/>
  <c r="R1276" i="2"/>
  <c r="Q1276" i="2"/>
  <c r="O1276" i="2"/>
  <c r="E1276" i="2"/>
  <c r="D1276" i="2"/>
  <c r="C1276" i="2"/>
  <c r="B1276" i="2"/>
  <c r="S1275" i="2"/>
  <c r="R1275" i="2"/>
  <c r="Q1275" i="2"/>
  <c r="O1275" i="2"/>
  <c r="E1275" i="2"/>
  <c r="D1275" i="2"/>
  <c r="C1275" i="2"/>
  <c r="B1275" i="2"/>
  <c r="S1274" i="2"/>
  <c r="R1274" i="2"/>
  <c r="Q1274" i="2"/>
  <c r="O1274" i="2"/>
  <c r="E1274" i="2"/>
  <c r="D1274" i="2"/>
  <c r="C1274" i="2"/>
  <c r="B1274" i="2"/>
  <c r="S1273" i="2"/>
  <c r="R1273" i="2"/>
  <c r="Q1273" i="2"/>
  <c r="O1273" i="2"/>
  <c r="E1273" i="2"/>
  <c r="D1273" i="2"/>
  <c r="C1273" i="2"/>
  <c r="B1273" i="2"/>
  <c r="S1272" i="2"/>
  <c r="R1272" i="2"/>
  <c r="Q1272" i="2"/>
  <c r="O1272" i="2"/>
  <c r="E1272" i="2"/>
  <c r="D1272" i="2"/>
  <c r="C1272" i="2"/>
  <c r="B1272" i="2"/>
  <c r="S1271" i="2"/>
  <c r="R1271" i="2"/>
  <c r="Q1271" i="2"/>
  <c r="O1271" i="2"/>
  <c r="E1271" i="2"/>
  <c r="D1271" i="2"/>
  <c r="C1271" i="2"/>
  <c r="B1271" i="2"/>
  <c r="S1270" i="2"/>
  <c r="R1270" i="2"/>
  <c r="Q1270" i="2"/>
  <c r="O1270" i="2"/>
  <c r="E1270" i="2"/>
  <c r="D1270" i="2"/>
  <c r="C1270" i="2"/>
  <c r="B1270" i="2"/>
  <c r="S1269" i="2"/>
  <c r="R1269" i="2"/>
  <c r="Q1269" i="2"/>
  <c r="O1269" i="2"/>
  <c r="E1269" i="2"/>
  <c r="D1269" i="2"/>
  <c r="C1269" i="2"/>
  <c r="B1269" i="2"/>
  <c r="S1268" i="2"/>
  <c r="R1268" i="2"/>
  <c r="Q1268" i="2"/>
  <c r="O1268" i="2"/>
  <c r="E1268" i="2"/>
  <c r="D1268" i="2"/>
  <c r="C1268" i="2"/>
  <c r="B1268" i="2"/>
  <c r="S1267" i="2"/>
  <c r="R1267" i="2"/>
  <c r="Q1267" i="2"/>
  <c r="O1267" i="2"/>
  <c r="E1267" i="2"/>
  <c r="D1267" i="2"/>
  <c r="C1267" i="2"/>
  <c r="B1267" i="2"/>
  <c r="S1266" i="2"/>
  <c r="R1266" i="2"/>
  <c r="Q1266" i="2"/>
  <c r="O1266" i="2"/>
  <c r="E1266" i="2"/>
  <c r="D1266" i="2"/>
  <c r="C1266" i="2"/>
  <c r="B1266" i="2"/>
  <c r="S1265" i="2"/>
  <c r="R1265" i="2"/>
  <c r="Q1265" i="2"/>
  <c r="O1265" i="2"/>
  <c r="E1265" i="2"/>
  <c r="D1265" i="2"/>
  <c r="C1265" i="2"/>
  <c r="B1265" i="2"/>
  <c r="S1264" i="2"/>
  <c r="R1264" i="2"/>
  <c r="Q1264" i="2"/>
  <c r="O1264" i="2"/>
  <c r="E1264" i="2"/>
  <c r="D1264" i="2"/>
  <c r="C1264" i="2"/>
  <c r="B1264" i="2"/>
  <c r="S1263" i="2"/>
  <c r="R1263" i="2"/>
  <c r="Q1263" i="2"/>
  <c r="O1263" i="2"/>
  <c r="E1263" i="2"/>
  <c r="D1263" i="2"/>
  <c r="C1263" i="2"/>
  <c r="B1263" i="2"/>
  <c r="S1262" i="2"/>
  <c r="R1262" i="2"/>
  <c r="Q1262" i="2"/>
  <c r="O1262" i="2"/>
  <c r="E1262" i="2"/>
  <c r="D1262" i="2"/>
  <c r="C1262" i="2"/>
  <c r="B1262" i="2"/>
  <c r="S1261" i="2"/>
  <c r="R1261" i="2"/>
  <c r="Q1261" i="2"/>
  <c r="O1261" i="2"/>
  <c r="E1261" i="2"/>
  <c r="D1261" i="2"/>
  <c r="C1261" i="2"/>
  <c r="B1261" i="2"/>
  <c r="S1260" i="2"/>
  <c r="R1260" i="2"/>
  <c r="Q1260" i="2"/>
  <c r="O1260" i="2"/>
  <c r="E1260" i="2"/>
  <c r="D1260" i="2"/>
  <c r="C1260" i="2"/>
  <c r="B1260" i="2"/>
  <c r="S1259" i="2"/>
  <c r="R1259" i="2"/>
  <c r="Q1259" i="2"/>
  <c r="O1259" i="2"/>
  <c r="E1259" i="2"/>
  <c r="D1259" i="2"/>
  <c r="C1259" i="2"/>
  <c r="B1259" i="2"/>
  <c r="S1258" i="2"/>
  <c r="R1258" i="2"/>
  <c r="Q1258" i="2"/>
  <c r="O1258" i="2"/>
  <c r="E1258" i="2"/>
  <c r="D1258" i="2"/>
  <c r="C1258" i="2"/>
  <c r="B1258" i="2"/>
  <c r="S1257" i="2"/>
  <c r="R1257" i="2"/>
  <c r="Q1257" i="2"/>
  <c r="O1257" i="2"/>
  <c r="E1257" i="2"/>
  <c r="D1257" i="2"/>
  <c r="C1257" i="2"/>
  <c r="B1257" i="2"/>
  <c r="S1256" i="2"/>
  <c r="R1256" i="2"/>
  <c r="Q1256" i="2"/>
  <c r="O1256" i="2"/>
  <c r="E1256" i="2"/>
  <c r="D1256" i="2"/>
  <c r="C1256" i="2"/>
  <c r="B1256" i="2"/>
  <c r="S1255" i="2"/>
  <c r="R1255" i="2"/>
  <c r="Q1255" i="2"/>
  <c r="O1255" i="2"/>
  <c r="E1255" i="2"/>
  <c r="D1255" i="2"/>
  <c r="C1255" i="2"/>
  <c r="B1255" i="2"/>
  <c r="S1254" i="2"/>
  <c r="R1254" i="2"/>
  <c r="Q1254" i="2"/>
  <c r="O1254" i="2"/>
  <c r="E1254" i="2"/>
  <c r="D1254" i="2"/>
  <c r="C1254" i="2"/>
  <c r="B1254" i="2"/>
  <c r="S1253" i="2"/>
  <c r="R1253" i="2"/>
  <c r="Q1253" i="2"/>
  <c r="O1253" i="2"/>
  <c r="E1253" i="2"/>
  <c r="D1253" i="2"/>
  <c r="C1253" i="2"/>
  <c r="B1253" i="2"/>
  <c r="S1252" i="2"/>
  <c r="R1252" i="2"/>
  <c r="Q1252" i="2"/>
  <c r="O1252" i="2"/>
  <c r="E1252" i="2"/>
  <c r="D1252" i="2"/>
  <c r="C1252" i="2"/>
  <c r="B1252" i="2"/>
  <c r="S1251" i="2"/>
  <c r="R1251" i="2"/>
  <c r="Q1251" i="2"/>
  <c r="O1251" i="2"/>
  <c r="E1251" i="2"/>
  <c r="D1251" i="2"/>
  <c r="C1251" i="2"/>
  <c r="B1251" i="2"/>
  <c r="S1250" i="2"/>
  <c r="R1250" i="2"/>
  <c r="Q1250" i="2"/>
  <c r="O1250" i="2"/>
  <c r="E1250" i="2"/>
  <c r="D1250" i="2"/>
  <c r="C1250" i="2"/>
  <c r="B1250" i="2"/>
  <c r="S1249" i="2"/>
  <c r="R1249" i="2"/>
  <c r="Q1249" i="2"/>
  <c r="O1249" i="2"/>
  <c r="E1249" i="2"/>
  <c r="D1249" i="2"/>
  <c r="C1249" i="2"/>
  <c r="B1249" i="2"/>
  <c r="S1248" i="2"/>
  <c r="R1248" i="2"/>
  <c r="Q1248" i="2"/>
  <c r="O1248" i="2"/>
  <c r="E1248" i="2"/>
  <c r="D1248" i="2"/>
  <c r="C1248" i="2"/>
  <c r="B1248" i="2"/>
  <c r="S1247" i="2"/>
  <c r="R1247" i="2"/>
  <c r="Q1247" i="2"/>
  <c r="O1247" i="2"/>
  <c r="E1247" i="2"/>
  <c r="D1247" i="2"/>
  <c r="C1247" i="2"/>
  <c r="B1247" i="2"/>
  <c r="S1246" i="2"/>
  <c r="R1246" i="2"/>
  <c r="Q1246" i="2"/>
  <c r="O1246" i="2"/>
  <c r="E1246" i="2"/>
  <c r="D1246" i="2"/>
  <c r="C1246" i="2"/>
  <c r="B1246" i="2"/>
  <c r="S1245" i="2"/>
  <c r="R1245" i="2"/>
  <c r="Q1245" i="2"/>
  <c r="O1245" i="2"/>
  <c r="E1245" i="2"/>
  <c r="D1245" i="2"/>
  <c r="C1245" i="2"/>
  <c r="B1245" i="2"/>
  <c r="S1244" i="2"/>
  <c r="R1244" i="2"/>
  <c r="Q1244" i="2"/>
  <c r="O1244" i="2"/>
  <c r="E1244" i="2"/>
  <c r="D1244" i="2"/>
  <c r="C1244" i="2"/>
  <c r="B1244" i="2"/>
  <c r="S1243" i="2"/>
  <c r="R1243" i="2"/>
  <c r="Q1243" i="2"/>
  <c r="O1243" i="2"/>
  <c r="E1243" i="2"/>
  <c r="D1243" i="2"/>
  <c r="C1243" i="2"/>
  <c r="B1243" i="2"/>
  <c r="S1242" i="2"/>
  <c r="R1242" i="2"/>
  <c r="Q1242" i="2"/>
  <c r="O1242" i="2"/>
  <c r="E1242" i="2"/>
  <c r="D1242" i="2"/>
  <c r="C1242" i="2"/>
  <c r="B1242" i="2"/>
  <c r="S1241" i="2"/>
  <c r="R1241" i="2"/>
  <c r="Q1241" i="2"/>
  <c r="O1241" i="2"/>
  <c r="E1241" i="2"/>
  <c r="D1241" i="2"/>
  <c r="C1241" i="2"/>
  <c r="B1241" i="2"/>
  <c r="S1240" i="2"/>
  <c r="R1240" i="2"/>
  <c r="Q1240" i="2"/>
  <c r="O1240" i="2"/>
  <c r="E1240" i="2"/>
  <c r="D1240" i="2"/>
  <c r="C1240" i="2"/>
  <c r="B1240" i="2"/>
  <c r="S1239" i="2"/>
  <c r="R1239" i="2"/>
  <c r="Q1239" i="2"/>
  <c r="O1239" i="2"/>
  <c r="E1239" i="2"/>
  <c r="D1239" i="2"/>
  <c r="C1239" i="2"/>
  <c r="B1239" i="2"/>
  <c r="S1238" i="2"/>
  <c r="R1238" i="2"/>
  <c r="Q1238" i="2"/>
  <c r="O1238" i="2"/>
  <c r="E1238" i="2"/>
  <c r="D1238" i="2"/>
  <c r="C1238" i="2"/>
  <c r="B1238" i="2"/>
  <c r="S1237" i="2"/>
  <c r="R1237" i="2"/>
  <c r="Q1237" i="2"/>
  <c r="O1237" i="2"/>
  <c r="E1237" i="2"/>
  <c r="D1237" i="2"/>
  <c r="C1237" i="2"/>
  <c r="B1237" i="2"/>
  <c r="S1236" i="2"/>
  <c r="R1236" i="2"/>
  <c r="Q1236" i="2"/>
  <c r="O1236" i="2"/>
  <c r="E1236" i="2"/>
  <c r="D1236" i="2"/>
  <c r="C1236" i="2"/>
  <c r="B1236" i="2"/>
  <c r="S1235" i="2"/>
  <c r="R1235" i="2"/>
  <c r="Q1235" i="2"/>
  <c r="O1235" i="2"/>
  <c r="E1235" i="2"/>
  <c r="D1235" i="2"/>
  <c r="C1235" i="2"/>
  <c r="B1235" i="2"/>
  <c r="S1234" i="2"/>
  <c r="R1234" i="2"/>
  <c r="Q1234" i="2"/>
  <c r="O1234" i="2"/>
  <c r="E1234" i="2"/>
  <c r="D1234" i="2"/>
  <c r="C1234" i="2"/>
  <c r="B1234" i="2"/>
  <c r="S1233" i="2"/>
  <c r="R1233" i="2"/>
  <c r="Q1233" i="2"/>
  <c r="O1233" i="2"/>
  <c r="E1233" i="2"/>
  <c r="D1233" i="2"/>
  <c r="C1233" i="2"/>
  <c r="B1233" i="2"/>
  <c r="S1232" i="2"/>
  <c r="R1232" i="2"/>
  <c r="Q1232" i="2"/>
  <c r="O1232" i="2"/>
  <c r="E1232" i="2"/>
  <c r="D1232" i="2"/>
  <c r="C1232" i="2"/>
  <c r="B1232" i="2"/>
  <c r="S1231" i="2"/>
  <c r="R1231" i="2"/>
  <c r="Q1231" i="2"/>
  <c r="O1231" i="2"/>
  <c r="E1231" i="2"/>
  <c r="D1231" i="2"/>
  <c r="C1231" i="2"/>
  <c r="B1231" i="2"/>
  <c r="S1230" i="2"/>
  <c r="R1230" i="2"/>
  <c r="Q1230" i="2"/>
  <c r="O1230" i="2"/>
  <c r="E1230" i="2"/>
  <c r="D1230" i="2"/>
  <c r="C1230" i="2"/>
  <c r="B1230" i="2"/>
  <c r="S1229" i="2"/>
  <c r="R1229" i="2"/>
  <c r="Q1229" i="2"/>
  <c r="O1229" i="2"/>
  <c r="E1229" i="2"/>
  <c r="D1229" i="2"/>
  <c r="C1229" i="2"/>
  <c r="B1229" i="2"/>
  <c r="S1228" i="2"/>
  <c r="R1228" i="2"/>
  <c r="Q1228" i="2"/>
  <c r="O1228" i="2"/>
  <c r="E1228" i="2"/>
  <c r="D1228" i="2"/>
  <c r="C1228" i="2"/>
  <c r="B1228" i="2"/>
  <c r="S1227" i="2"/>
  <c r="R1227" i="2"/>
  <c r="Q1227" i="2"/>
  <c r="O1227" i="2"/>
  <c r="E1227" i="2"/>
  <c r="D1227" i="2"/>
  <c r="C1227" i="2"/>
  <c r="B1227" i="2"/>
  <c r="S1226" i="2"/>
  <c r="R1226" i="2"/>
  <c r="Q1226" i="2"/>
  <c r="O1226" i="2"/>
  <c r="E1226" i="2"/>
  <c r="D1226" i="2"/>
  <c r="C1226" i="2"/>
  <c r="B1226" i="2"/>
  <c r="S1225" i="2"/>
  <c r="R1225" i="2"/>
  <c r="Q1225" i="2"/>
  <c r="O1225" i="2"/>
  <c r="E1225" i="2"/>
  <c r="D1225" i="2"/>
  <c r="C1225" i="2"/>
  <c r="B1225" i="2"/>
  <c r="S1224" i="2"/>
  <c r="R1224" i="2"/>
  <c r="Q1224" i="2"/>
  <c r="O1224" i="2"/>
  <c r="E1224" i="2"/>
  <c r="D1224" i="2"/>
  <c r="C1224" i="2"/>
  <c r="B1224" i="2"/>
  <c r="S1223" i="2"/>
  <c r="R1223" i="2"/>
  <c r="Q1223" i="2"/>
  <c r="O1223" i="2"/>
  <c r="E1223" i="2"/>
  <c r="D1223" i="2"/>
  <c r="C1223" i="2"/>
  <c r="B1223" i="2"/>
  <c r="S1222" i="2"/>
  <c r="R1222" i="2"/>
  <c r="Q1222" i="2"/>
  <c r="O1222" i="2"/>
  <c r="E1222" i="2"/>
  <c r="D1222" i="2"/>
  <c r="C1222" i="2"/>
  <c r="B1222" i="2"/>
  <c r="S1221" i="2"/>
  <c r="R1221" i="2"/>
  <c r="Q1221" i="2"/>
  <c r="O1221" i="2"/>
  <c r="E1221" i="2"/>
  <c r="D1221" i="2"/>
  <c r="C1221" i="2"/>
  <c r="B1221" i="2"/>
  <c r="S1220" i="2"/>
  <c r="R1220" i="2"/>
  <c r="Q1220" i="2"/>
  <c r="O1220" i="2"/>
  <c r="E1220" i="2"/>
  <c r="D1220" i="2"/>
  <c r="C1220" i="2"/>
  <c r="B1220" i="2"/>
  <c r="S1219" i="2"/>
  <c r="R1219" i="2"/>
  <c r="Q1219" i="2"/>
  <c r="O1219" i="2"/>
  <c r="E1219" i="2"/>
  <c r="D1219" i="2"/>
  <c r="C1219" i="2"/>
  <c r="B1219" i="2"/>
  <c r="S1218" i="2"/>
  <c r="R1218" i="2"/>
  <c r="Q1218" i="2"/>
  <c r="O1218" i="2"/>
  <c r="E1218" i="2"/>
  <c r="D1218" i="2"/>
  <c r="C1218" i="2"/>
  <c r="B1218" i="2"/>
  <c r="S1217" i="2"/>
  <c r="R1217" i="2"/>
  <c r="Q1217" i="2"/>
  <c r="O1217" i="2"/>
  <c r="E1217" i="2"/>
  <c r="D1217" i="2"/>
  <c r="C1217" i="2"/>
  <c r="B1217" i="2"/>
  <c r="S1216" i="2"/>
  <c r="R1216" i="2"/>
  <c r="Q1216" i="2"/>
  <c r="O1216" i="2"/>
  <c r="E1216" i="2"/>
  <c r="D1216" i="2"/>
  <c r="C1216" i="2"/>
  <c r="B1216" i="2"/>
  <c r="S1215" i="2"/>
  <c r="R1215" i="2"/>
  <c r="Q1215" i="2"/>
  <c r="O1215" i="2"/>
  <c r="E1215" i="2"/>
  <c r="D1215" i="2"/>
  <c r="C1215" i="2"/>
  <c r="B1215" i="2"/>
  <c r="S1214" i="2"/>
  <c r="R1214" i="2"/>
  <c r="Q1214" i="2"/>
  <c r="O1214" i="2"/>
  <c r="E1214" i="2"/>
  <c r="D1214" i="2"/>
  <c r="C1214" i="2"/>
  <c r="B1214" i="2"/>
  <c r="S1213" i="2"/>
  <c r="R1213" i="2"/>
  <c r="Q1213" i="2"/>
  <c r="O1213" i="2"/>
  <c r="E1213" i="2"/>
  <c r="D1213" i="2"/>
  <c r="C1213" i="2"/>
  <c r="B1213" i="2"/>
  <c r="S1212" i="2"/>
  <c r="R1212" i="2"/>
  <c r="Q1212" i="2"/>
  <c r="O1212" i="2"/>
  <c r="E1212" i="2"/>
  <c r="D1212" i="2"/>
  <c r="C1212" i="2"/>
  <c r="B1212" i="2"/>
  <c r="S1211" i="2"/>
  <c r="R1211" i="2"/>
  <c r="Q1211" i="2"/>
  <c r="O1211" i="2"/>
  <c r="E1211" i="2"/>
  <c r="D1211" i="2"/>
  <c r="C1211" i="2"/>
  <c r="B1211" i="2"/>
  <c r="S1210" i="2"/>
  <c r="R1210" i="2"/>
  <c r="Q1210" i="2"/>
  <c r="O1210" i="2"/>
  <c r="E1210" i="2"/>
  <c r="D1210" i="2"/>
  <c r="C1210" i="2"/>
  <c r="B1210" i="2"/>
  <c r="S1209" i="2"/>
  <c r="R1209" i="2"/>
  <c r="Q1209" i="2"/>
  <c r="O1209" i="2"/>
  <c r="E1209" i="2"/>
  <c r="D1209" i="2"/>
  <c r="C1209" i="2"/>
  <c r="B1209" i="2"/>
  <c r="S1208" i="2"/>
  <c r="R1208" i="2"/>
  <c r="Q1208" i="2"/>
  <c r="O1208" i="2"/>
  <c r="E1208" i="2"/>
  <c r="D1208" i="2"/>
  <c r="C1208" i="2"/>
  <c r="B1208" i="2"/>
  <c r="S1207" i="2"/>
  <c r="R1207" i="2"/>
  <c r="Q1207" i="2"/>
  <c r="O1207" i="2"/>
  <c r="E1207" i="2"/>
  <c r="D1207" i="2"/>
  <c r="C1207" i="2"/>
  <c r="B1207" i="2"/>
  <c r="S1206" i="2"/>
  <c r="R1206" i="2"/>
  <c r="Q1206" i="2"/>
  <c r="O1206" i="2"/>
  <c r="E1206" i="2"/>
  <c r="D1206" i="2"/>
  <c r="C1206" i="2"/>
  <c r="B1206" i="2"/>
  <c r="S1205" i="2"/>
  <c r="R1205" i="2"/>
  <c r="Q1205" i="2"/>
  <c r="O1205" i="2"/>
  <c r="E1205" i="2"/>
  <c r="D1205" i="2"/>
  <c r="C1205" i="2"/>
  <c r="B1205" i="2"/>
  <c r="S1204" i="2"/>
  <c r="R1204" i="2"/>
  <c r="Q1204" i="2"/>
  <c r="O1204" i="2"/>
  <c r="E1204" i="2"/>
  <c r="D1204" i="2"/>
  <c r="C1204" i="2"/>
  <c r="B1204" i="2"/>
  <c r="S1203" i="2"/>
  <c r="R1203" i="2"/>
  <c r="Q1203" i="2"/>
  <c r="O1203" i="2"/>
  <c r="E1203" i="2"/>
  <c r="D1203" i="2"/>
  <c r="C1203" i="2"/>
  <c r="B1203" i="2"/>
  <c r="S1202" i="2"/>
  <c r="R1202" i="2"/>
  <c r="Q1202" i="2"/>
  <c r="O1202" i="2"/>
  <c r="E1202" i="2"/>
  <c r="D1202" i="2"/>
  <c r="C1202" i="2"/>
  <c r="B1202" i="2"/>
  <c r="S1201" i="2"/>
  <c r="R1201" i="2"/>
  <c r="Q1201" i="2"/>
  <c r="O1201" i="2"/>
  <c r="E1201" i="2"/>
  <c r="D1201" i="2"/>
  <c r="C1201" i="2"/>
  <c r="B1201" i="2"/>
  <c r="S1200" i="2"/>
  <c r="R1200" i="2"/>
  <c r="Q1200" i="2"/>
  <c r="O1200" i="2"/>
  <c r="E1200" i="2"/>
  <c r="D1200" i="2"/>
  <c r="C1200" i="2"/>
  <c r="B1200" i="2"/>
  <c r="S1199" i="2"/>
  <c r="R1199" i="2"/>
  <c r="Q1199" i="2"/>
  <c r="O1199" i="2"/>
  <c r="E1199" i="2"/>
  <c r="D1199" i="2"/>
  <c r="C1199" i="2"/>
  <c r="B1199" i="2"/>
  <c r="S1198" i="2"/>
  <c r="R1198" i="2"/>
  <c r="Q1198" i="2"/>
  <c r="O1198" i="2"/>
  <c r="E1198" i="2"/>
  <c r="D1198" i="2"/>
  <c r="C1198" i="2"/>
  <c r="B1198" i="2"/>
  <c r="S1197" i="2"/>
  <c r="R1197" i="2"/>
  <c r="Q1197" i="2"/>
  <c r="O1197" i="2"/>
  <c r="E1197" i="2"/>
  <c r="D1197" i="2"/>
  <c r="C1197" i="2"/>
  <c r="B1197" i="2"/>
  <c r="S1196" i="2"/>
  <c r="R1196" i="2"/>
  <c r="Q1196" i="2"/>
  <c r="O1196" i="2"/>
  <c r="E1196" i="2"/>
  <c r="D1196" i="2"/>
  <c r="C1196" i="2"/>
  <c r="B1196" i="2"/>
  <c r="S1195" i="2"/>
  <c r="R1195" i="2"/>
  <c r="Q1195" i="2"/>
  <c r="O1195" i="2"/>
  <c r="E1195" i="2"/>
  <c r="D1195" i="2"/>
  <c r="C1195" i="2"/>
  <c r="B1195" i="2"/>
  <c r="S1194" i="2"/>
  <c r="R1194" i="2"/>
  <c r="Q1194" i="2"/>
  <c r="O1194" i="2"/>
  <c r="E1194" i="2"/>
  <c r="D1194" i="2"/>
  <c r="C1194" i="2"/>
  <c r="B1194" i="2"/>
  <c r="S1193" i="2"/>
  <c r="R1193" i="2"/>
  <c r="Q1193" i="2"/>
  <c r="O1193" i="2"/>
  <c r="E1193" i="2"/>
  <c r="D1193" i="2"/>
  <c r="C1193" i="2"/>
  <c r="B1193" i="2"/>
  <c r="S1192" i="2"/>
  <c r="R1192" i="2"/>
  <c r="Q1192" i="2"/>
  <c r="O1192" i="2"/>
  <c r="E1192" i="2"/>
  <c r="D1192" i="2"/>
  <c r="C1192" i="2"/>
  <c r="B1192" i="2"/>
  <c r="S1191" i="2"/>
  <c r="R1191" i="2"/>
  <c r="Q1191" i="2"/>
  <c r="O1191" i="2"/>
  <c r="E1191" i="2"/>
  <c r="D1191" i="2"/>
  <c r="C1191" i="2"/>
  <c r="B1191" i="2"/>
  <c r="S1190" i="2"/>
  <c r="R1190" i="2"/>
  <c r="Q1190" i="2"/>
  <c r="O1190" i="2"/>
  <c r="E1190" i="2"/>
  <c r="D1190" i="2"/>
  <c r="C1190" i="2"/>
  <c r="B1190" i="2"/>
  <c r="S1189" i="2"/>
  <c r="R1189" i="2"/>
  <c r="Q1189" i="2"/>
  <c r="O1189" i="2"/>
  <c r="E1189" i="2"/>
  <c r="D1189" i="2"/>
  <c r="C1189" i="2"/>
  <c r="B1189" i="2"/>
  <c r="S1188" i="2"/>
  <c r="R1188" i="2"/>
  <c r="Q1188" i="2"/>
  <c r="O1188" i="2"/>
  <c r="E1188" i="2"/>
  <c r="D1188" i="2"/>
  <c r="C1188" i="2"/>
  <c r="B1188" i="2"/>
  <c r="S1187" i="2"/>
  <c r="R1187" i="2"/>
  <c r="Q1187" i="2"/>
  <c r="O1187" i="2"/>
  <c r="E1187" i="2"/>
  <c r="D1187" i="2"/>
  <c r="C1187" i="2"/>
  <c r="B1187" i="2"/>
  <c r="S1186" i="2"/>
  <c r="R1186" i="2"/>
  <c r="Q1186" i="2"/>
  <c r="O1186" i="2"/>
  <c r="E1186" i="2"/>
  <c r="D1186" i="2"/>
  <c r="C1186" i="2"/>
  <c r="B1186" i="2"/>
  <c r="S1185" i="2"/>
  <c r="R1185" i="2"/>
  <c r="Q1185" i="2"/>
  <c r="O1185" i="2"/>
  <c r="E1185" i="2"/>
  <c r="D1185" i="2"/>
  <c r="C1185" i="2"/>
  <c r="B1185" i="2"/>
  <c r="S1184" i="2"/>
  <c r="R1184" i="2"/>
  <c r="Q1184" i="2"/>
  <c r="O1184" i="2"/>
  <c r="E1184" i="2"/>
  <c r="D1184" i="2"/>
  <c r="C1184" i="2"/>
  <c r="B1184" i="2"/>
  <c r="S1183" i="2"/>
  <c r="R1183" i="2"/>
  <c r="Q1183" i="2"/>
  <c r="O1183" i="2"/>
  <c r="E1183" i="2"/>
  <c r="D1183" i="2"/>
  <c r="C1183" i="2"/>
  <c r="B1183" i="2"/>
  <c r="S1182" i="2"/>
  <c r="R1182" i="2"/>
  <c r="Q1182" i="2"/>
  <c r="O1182" i="2"/>
  <c r="E1182" i="2"/>
  <c r="D1182" i="2"/>
  <c r="C1182" i="2"/>
  <c r="B1182" i="2"/>
  <c r="S1181" i="2"/>
  <c r="R1181" i="2"/>
  <c r="Q1181" i="2"/>
  <c r="O1181" i="2"/>
  <c r="E1181" i="2"/>
  <c r="D1181" i="2"/>
  <c r="C1181" i="2"/>
  <c r="B1181" i="2"/>
  <c r="S1180" i="2"/>
  <c r="R1180" i="2"/>
  <c r="Q1180" i="2"/>
  <c r="O1180" i="2"/>
  <c r="E1180" i="2"/>
  <c r="D1180" i="2"/>
  <c r="C1180" i="2"/>
  <c r="B1180" i="2"/>
  <c r="S1179" i="2"/>
  <c r="R1179" i="2"/>
  <c r="Q1179" i="2"/>
  <c r="O1179" i="2"/>
  <c r="E1179" i="2"/>
  <c r="D1179" i="2"/>
  <c r="C1179" i="2"/>
  <c r="B1179" i="2"/>
  <c r="S1178" i="2"/>
  <c r="R1178" i="2"/>
  <c r="Q1178" i="2"/>
  <c r="O1178" i="2"/>
  <c r="E1178" i="2"/>
  <c r="D1178" i="2"/>
  <c r="C1178" i="2"/>
  <c r="B1178" i="2"/>
  <c r="S1177" i="2"/>
  <c r="R1177" i="2"/>
  <c r="Q1177" i="2"/>
  <c r="O1177" i="2"/>
  <c r="E1177" i="2"/>
  <c r="D1177" i="2"/>
  <c r="C1177" i="2"/>
  <c r="B1177" i="2"/>
  <c r="S1176" i="2"/>
  <c r="R1176" i="2"/>
  <c r="Q1176" i="2"/>
  <c r="O1176" i="2"/>
  <c r="E1176" i="2"/>
  <c r="D1176" i="2"/>
  <c r="C1176" i="2"/>
  <c r="B1176" i="2"/>
  <c r="S1175" i="2"/>
  <c r="R1175" i="2"/>
  <c r="Q1175" i="2"/>
  <c r="O1175" i="2"/>
  <c r="E1175" i="2"/>
  <c r="D1175" i="2"/>
  <c r="C1175" i="2"/>
  <c r="B1175" i="2"/>
  <c r="S1174" i="2"/>
  <c r="R1174" i="2"/>
  <c r="Q1174" i="2"/>
  <c r="O1174" i="2"/>
  <c r="E1174" i="2"/>
  <c r="D1174" i="2"/>
  <c r="C1174" i="2"/>
  <c r="B1174" i="2"/>
  <c r="S1173" i="2"/>
  <c r="R1173" i="2"/>
  <c r="Q1173" i="2"/>
  <c r="O1173" i="2"/>
  <c r="E1173" i="2"/>
  <c r="D1173" i="2"/>
  <c r="C1173" i="2"/>
  <c r="B1173" i="2"/>
  <c r="S1172" i="2"/>
  <c r="R1172" i="2"/>
  <c r="Q1172" i="2"/>
  <c r="O1172" i="2"/>
  <c r="E1172" i="2"/>
  <c r="D1172" i="2"/>
  <c r="C1172" i="2"/>
  <c r="B1172" i="2"/>
  <c r="S1171" i="2"/>
  <c r="R1171" i="2"/>
  <c r="Q1171" i="2"/>
  <c r="O1171" i="2"/>
  <c r="E1171" i="2"/>
  <c r="D1171" i="2"/>
  <c r="C1171" i="2"/>
  <c r="B1171" i="2"/>
  <c r="S1170" i="2"/>
  <c r="R1170" i="2"/>
  <c r="Q1170" i="2"/>
  <c r="O1170" i="2"/>
  <c r="E1170" i="2"/>
  <c r="D1170" i="2"/>
  <c r="C1170" i="2"/>
  <c r="B1170" i="2"/>
  <c r="S1169" i="2"/>
  <c r="R1169" i="2"/>
  <c r="Q1169" i="2"/>
  <c r="O1169" i="2"/>
  <c r="E1169" i="2"/>
  <c r="D1169" i="2"/>
  <c r="C1169" i="2"/>
  <c r="B1169" i="2"/>
  <c r="S1168" i="2"/>
  <c r="R1168" i="2"/>
  <c r="Q1168" i="2"/>
  <c r="O1168" i="2"/>
  <c r="E1168" i="2"/>
  <c r="D1168" i="2"/>
  <c r="C1168" i="2"/>
  <c r="B1168" i="2"/>
  <c r="S1167" i="2"/>
  <c r="R1167" i="2"/>
  <c r="Q1167" i="2"/>
  <c r="O1167" i="2"/>
  <c r="E1167" i="2"/>
  <c r="D1167" i="2"/>
  <c r="C1167" i="2"/>
  <c r="B1167" i="2"/>
  <c r="S1166" i="2"/>
  <c r="R1166" i="2"/>
  <c r="Q1166" i="2"/>
  <c r="O1166" i="2"/>
  <c r="E1166" i="2"/>
  <c r="D1166" i="2"/>
  <c r="C1166" i="2"/>
  <c r="B1166" i="2"/>
  <c r="S1165" i="2"/>
  <c r="R1165" i="2"/>
  <c r="Q1165" i="2"/>
  <c r="O1165" i="2"/>
  <c r="E1165" i="2"/>
  <c r="D1165" i="2"/>
  <c r="C1165" i="2"/>
  <c r="B1165" i="2"/>
  <c r="S1164" i="2"/>
  <c r="R1164" i="2"/>
  <c r="Q1164" i="2"/>
  <c r="O1164" i="2"/>
  <c r="E1164" i="2"/>
  <c r="D1164" i="2"/>
  <c r="C1164" i="2"/>
  <c r="B1164" i="2"/>
  <c r="S1163" i="2"/>
  <c r="R1163" i="2"/>
  <c r="Q1163" i="2"/>
  <c r="O1163" i="2"/>
  <c r="E1163" i="2"/>
  <c r="D1163" i="2"/>
  <c r="C1163" i="2"/>
  <c r="B1163" i="2"/>
  <c r="S1162" i="2"/>
  <c r="R1162" i="2"/>
  <c r="Q1162" i="2"/>
  <c r="O1162" i="2"/>
  <c r="E1162" i="2"/>
  <c r="D1162" i="2"/>
  <c r="C1162" i="2"/>
  <c r="B1162" i="2"/>
  <c r="S1161" i="2"/>
  <c r="R1161" i="2"/>
  <c r="Q1161" i="2"/>
  <c r="O1161" i="2"/>
  <c r="E1161" i="2"/>
  <c r="D1161" i="2"/>
  <c r="C1161" i="2"/>
  <c r="B1161" i="2"/>
  <c r="S1160" i="2"/>
  <c r="R1160" i="2"/>
  <c r="Q1160" i="2"/>
  <c r="O1160" i="2"/>
  <c r="E1160" i="2"/>
  <c r="D1160" i="2"/>
  <c r="C1160" i="2"/>
  <c r="B1160" i="2"/>
  <c r="S1159" i="2"/>
  <c r="R1159" i="2"/>
  <c r="Q1159" i="2"/>
  <c r="O1159" i="2"/>
  <c r="E1159" i="2"/>
  <c r="D1159" i="2"/>
  <c r="C1159" i="2"/>
  <c r="B1159" i="2"/>
  <c r="S1158" i="2"/>
  <c r="R1158" i="2"/>
  <c r="Q1158" i="2"/>
  <c r="O1158" i="2"/>
  <c r="E1158" i="2"/>
  <c r="D1158" i="2"/>
  <c r="C1158" i="2"/>
  <c r="B1158" i="2"/>
  <c r="S1157" i="2"/>
  <c r="R1157" i="2"/>
  <c r="Q1157" i="2"/>
  <c r="O1157" i="2"/>
  <c r="E1157" i="2"/>
  <c r="D1157" i="2"/>
  <c r="C1157" i="2"/>
  <c r="B1157" i="2"/>
  <c r="S1156" i="2"/>
  <c r="R1156" i="2"/>
  <c r="Q1156" i="2"/>
  <c r="O1156" i="2"/>
  <c r="E1156" i="2"/>
  <c r="D1156" i="2"/>
  <c r="C1156" i="2"/>
  <c r="B1156" i="2"/>
  <c r="S1155" i="2"/>
  <c r="R1155" i="2"/>
  <c r="Q1155" i="2"/>
  <c r="O1155" i="2"/>
  <c r="E1155" i="2"/>
  <c r="D1155" i="2"/>
  <c r="C1155" i="2"/>
  <c r="B1155" i="2"/>
  <c r="S1154" i="2"/>
  <c r="R1154" i="2"/>
  <c r="Q1154" i="2"/>
  <c r="O1154" i="2"/>
  <c r="E1154" i="2"/>
  <c r="D1154" i="2"/>
  <c r="C1154" i="2"/>
  <c r="B1154" i="2"/>
  <c r="S1153" i="2"/>
  <c r="R1153" i="2"/>
  <c r="Q1153" i="2"/>
  <c r="O1153" i="2"/>
  <c r="E1153" i="2"/>
  <c r="D1153" i="2"/>
  <c r="C1153" i="2"/>
  <c r="B1153" i="2"/>
  <c r="S1152" i="2"/>
  <c r="R1152" i="2"/>
  <c r="Q1152" i="2"/>
  <c r="O1152" i="2"/>
  <c r="E1152" i="2"/>
  <c r="D1152" i="2"/>
  <c r="C1152" i="2"/>
  <c r="B1152" i="2"/>
  <c r="S1151" i="2"/>
  <c r="R1151" i="2"/>
  <c r="Q1151" i="2"/>
  <c r="O1151" i="2"/>
  <c r="E1151" i="2"/>
  <c r="D1151" i="2"/>
  <c r="C1151" i="2"/>
  <c r="B1151" i="2"/>
  <c r="S1150" i="2"/>
  <c r="R1150" i="2"/>
  <c r="Q1150" i="2"/>
  <c r="O1150" i="2"/>
  <c r="E1150" i="2"/>
  <c r="D1150" i="2"/>
  <c r="C1150" i="2"/>
  <c r="B1150" i="2"/>
  <c r="S1149" i="2"/>
  <c r="R1149" i="2"/>
  <c r="Q1149" i="2"/>
  <c r="O1149" i="2"/>
  <c r="E1149" i="2"/>
  <c r="D1149" i="2"/>
  <c r="C1149" i="2"/>
  <c r="B1149" i="2"/>
  <c r="S1148" i="2"/>
  <c r="R1148" i="2"/>
  <c r="Q1148" i="2"/>
  <c r="O1148" i="2"/>
  <c r="E1148" i="2"/>
  <c r="D1148" i="2"/>
  <c r="C1148" i="2"/>
  <c r="B1148" i="2"/>
  <c r="S1147" i="2"/>
  <c r="R1147" i="2"/>
  <c r="Q1147" i="2"/>
  <c r="O1147" i="2"/>
  <c r="E1147" i="2"/>
  <c r="D1147" i="2"/>
  <c r="C1147" i="2"/>
  <c r="B1147" i="2"/>
  <c r="S1146" i="2"/>
  <c r="R1146" i="2"/>
  <c r="Q1146" i="2"/>
  <c r="O1146" i="2"/>
  <c r="E1146" i="2"/>
  <c r="D1146" i="2"/>
  <c r="C1146" i="2"/>
  <c r="B1146" i="2"/>
  <c r="S1145" i="2"/>
  <c r="R1145" i="2"/>
  <c r="Q1145" i="2"/>
  <c r="O1145" i="2"/>
  <c r="E1145" i="2"/>
  <c r="D1145" i="2"/>
  <c r="C1145" i="2"/>
  <c r="B1145" i="2"/>
  <c r="S1144" i="2"/>
  <c r="R1144" i="2"/>
  <c r="Q1144" i="2"/>
  <c r="O1144" i="2"/>
  <c r="E1144" i="2"/>
  <c r="D1144" i="2"/>
  <c r="C1144" i="2"/>
  <c r="B1144" i="2"/>
  <c r="S1143" i="2"/>
  <c r="R1143" i="2"/>
  <c r="Q1143" i="2"/>
  <c r="O1143" i="2"/>
  <c r="E1143" i="2"/>
  <c r="D1143" i="2"/>
  <c r="C1143" i="2"/>
  <c r="B1143" i="2"/>
  <c r="S1142" i="2"/>
  <c r="R1142" i="2"/>
  <c r="Q1142" i="2"/>
  <c r="O1142" i="2"/>
  <c r="E1142" i="2"/>
  <c r="D1142" i="2"/>
  <c r="C1142" i="2"/>
  <c r="B1142" i="2"/>
  <c r="S1141" i="2"/>
  <c r="R1141" i="2"/>
  <c r="Q1141" i="2"/>
  <c r="O1141" i="2"/>
  <c r="E1141" i="2"/>
  <c r="D1141" i="2"/>
  <c r="C1141" i="2"/>
  <c r="B1141" i="2"/>
  <c r="S1140" i="2"/>
  <c r="R1140" i="2"/>
  <c r="Q1140" i="2"/>
  <c r="O1140" i="2"/>
  <c r="E1140" i="2"/>
  <c r="D1140" i="2"/>
  <c r="C1140" i="2"/>
  <c r="B1140" i="2"/>
  <c r="S1139" i="2"/>
  <c r="R1139" i="2"/>
  <c r="Q1139" i="2"/>
  <c r="O1139" i="2"/>
  <c r="E1139" i="2"/>
  <c r="D1139" i="2"/>
  <c r="C1139" i="2"/>
  <c r="B1139" i="2"/>
  <c r="S1138" i="2"/>
  <c r="R1138" i="2"/>
  <c r="Q1138" i="2"/>
  <c r="O1138" i="2"/>
  <c r="E1138" i="2"/>
  <c r="D1138" i="2"/>
  <c r="C1138" i="2"/>
  <c r="B1138" i="2"/>
  <c r="S1137" i="2"/>
  <c r="R1137" i="2"/>
  <c r="Q1137" i="2"/>
  <c r="O1137" i="2"/>
  <c r="E1137" i="2"/>
  <c r="D1137" i="2"/>
  <c r="C1137" i="2"/>
  <c r="B1137" i="2"/>
  <c r="S1136" i="2"/>
  <c r="R1136" i="2"/>
  <c r="Q1136" i="2"/>
  <c r="O1136" i="2"/>
  <c r="E1136" i="2"/>
  <c r="D1136" i="2"/>
  <c r="C1136" i="2"/>
  <c r="B1136" i="2"/>
  <c r="S1135" i="2"/>
  <c r="R1135" i="2"/>
  <c r="Q1135" i="2"/>
  <c r="O1135" i="2"/>
  <c r="E1135" i="2"/>
  <c r="D1135" i="2"/>
  <c r="C1135" i="2"/>
  <c r="B1135" i="2"/>
  <c r="S1134" i="2"/>
  <c r="R1134" i="2"/>
  <c r="Q1134" i="2"/>
  <c r="O1134" i="2"/>
  <c r="E1134" i="2"/>
  <c r="D1134" i="2"/>
  <c r="C1134" i="2"/>
  <c r="B1134" i="2"/>
  <c r="S1133" i="2"/>
  <c r="R1133" i="2"/>
  <c r="Q1133" i="2"/>
  <c r="O1133" i="2"/>
  <c r="E1133" i="2"/>
  <c r="D1133" i="2"/>
  <c r="C1133" i="2"/>
  <c r="B1133" i="2"/>
  <c r="S1132" i="2"/>
  <c r="R1132" i="2"/>
  <c r="Q1132" i="2"/>
  <c r="O1132" i="2"/>
  <c r="E1132" i="2"/>
  <c r="D1132" i="2"/>
  <c r="C1132" i="2"/>
  <c r="B1132" i="2"/>
  <c r="S1131" i="2"/>
  <c r="R1131" i="2"/>
  <c r="Q1131" i="2"/>
  <c r="O1131" i="2"/>
  <c r="E1131" i="2"/>
  <c r="D1131" i="2"/>
  <c r="C1131" i="2"/>
  <c r="B1131" i="2"/>
  <c r="S1130" i="2"/>
  <c r="R1130" i="2"/>
  <c r="Q1130" i="2"/>
  <c r="O1130" i="2"/>
  <c r="E1130" i="2"/>
  <c r="D1130" i="2"/>
  <c r="C1130" i="2"/>
  <c r="B1130" i="2"/>
  <c r="S1129" i="2"/>
  <c r="R1129" i="2"/>
  <c r="Q1129" i="2"/>
  <c r="O1129" i="2"/>
  <c r="E1129" i="2"/>
  <c r="D1129" i="2"/>
  <c r="C1129" i="2"/>
  <c r="B1129" i="2"/>
  <c r="S1128" i="2"/>
  <c r="R1128" i="2"/>
  <c r="Q1128" i="2"/>
  <c r="O1128" i="2"/>
  <c r="E1128" i="2"/>
  <c r="D1128" i="2"/>
  <c r="C1128" i="2"/>
  <c r="B1128" i="2"/>
  <c r="S1127" i="2"/>
  <c r="R1127" i="2"/>
  <c r="Q1127" i="2"/>
  <c r="O1127" i="2"/>
  <c r="E1127" i="2"/>
  <c r="D1127" i="2"/>
  <c r="C1127" i="2"/>
  <c r="B1127" i="2"/>
  <c r="S1126" i="2"/>
  <c r="R1126" i="2"/>
  <c r="Q1126" i="2"/>
  <c r="O1126" i="2"/>
  <c r="E1126" i="2"/>
  <c r="D1126" i="2"/>
  <c r="C1126" i="2"/>
  <c r="B1126" i="2"/>
  <c r="S1125" i="2"/>
  <c r="R1125" i="2"/>
  <c r="Q1125" i="2"/>
  <c r="O1125" i="2"/>
  <c r="E1125" i="2"/>
  <c r="D1125" i="2"/>
  <c r="C1125" i="2"/>
  <c r="B1125" i="2"/>
  <c r="S1124" i="2"/>
  <c r="R1124" i="2"/>
  <c r="Q1124" i="2"/>
  <c r="O1124" i="2"/>
  <c r="E1124" i="2"/>
  <c r="D1124" i="2"/>
  <c r="C1124" i="2"/>
  <c r="B1124" i="2"/>
  <c r="S1123" i="2"/>
  <c r="R1123" i="2"/>
  <c r="Q1123" i="2"/>
  <c r="O1123" i="2"/>
  <c r="E1123" i="2"/>
  <c r="D1123" i="2"/>
  <c r="C1123" i="2"/>
  <c r="B1123" i="2"/>
  <c r="S1122" i="2"/>
  <c r="R1122" i="2"/>
  <c r="Q1122" i="2"/>
  <c r="O1122" i="2"/>
  <c r="E1122" i="2"/>
  <c r="D1122" i="2"/>
  <c r="C1122" i="2"/>
  <c r="B1122" i="2"/>
  <c r="S1121" i="2"/>
  <c r="R1121" i="2"/>
  <c r="Q1121" i="2"/>
  <c r="O1121" i="2"/>
  <c r="E1121" i="2"/>
  <c r="D1121" i="2"/>
  <c r="C1121" i="2"/>
  <c r="B1121" i="2"/>
  <c r="S1120" i="2"/>
  <c r="R1120" i="2"/>
  <c r="Q1120" i="2"/>
  <c r="O1120" i="2"/>
  <c r="E1120" i="2"/>
  <c r="D1120" i="2"/>
  <c r="C1120" i="2"/>
  <c r="B1120" i="2"/>
  <c r="S1119" i="2"/>
  <c r="R1119" i="2"/>
  <c r="Q1119" i="2"/>
  <c r="O1119" i="2"/>
  <c r="E1119" i="2"/>
  <c r="D1119" i="2"/>
  <c r="C1119" i="2"/>
  <c r="B1119" i="2"/>
  <c r="S1118" i="2"/>
  <c r="R1118" i="2"/>
  <c r="Q1118" i="2"/>
  <c r="O1118" i="2"/>
  <c r="E1118" i="2"/>
  <c r="D1118" i="2"/>
  <c r="C1118" i="2"/>
  <c r="B1118" i="2"/>
  <c r="S1117" i="2"/>
  <c r="R1117" i="2"/>
  <c r="Q1117" i="2"/>
  <c r="O1117" i="2"/>
  <c r="E1117" i="2"/>
  <c r="D1117" i="2"/>
  <c r="C1117" i="2"/>
  <c r="B1117" i="2"/>
  <c r="S1116" i="2"/>
  <c r="R1116" i="2"/>
  <c r="Q1116" i="2"/>
  <c r="O1116" i="2"/>
  <c r="E1116" i="2"/>
  <c r="D1116" i="2"/>
  <c r="C1116" i="2"/>
  <c r="B1116" i="2"/>
  <c r="S1115" i="2"/>
  <c r="R1115" i="2"/>
  <c r="Q1115" i="2"/>
  <c r="O1115" i="2"/>
  <c r="E1115" i="2"/>
  <c r="D1115" i="2"/>
  <c r="C1115" i="2"/>
  <c r="B1115" i="2"/>
  <c r="S1114" i="2"/>
  <c r="R1114" i="2"/>
  <c r="Q1114" i="2"/>
  <c r="O1114" i="2"/>
  <c r="E1114" i="2"/>
  <c r="D1114" i="2"/>
  <c r="C1114" i="2"/>
  <c r="B1114" i="2"/>
  <c r="S1113" i="2"/>
  <c r="R1113" i="2"/>
  <c r="Q1113" i="2"/>
  <c r="O1113" i="2"/>
  <c r="E1113" i="2"/>
  <c r="D1113" i="2"/>
  <c r="C1113" i="2"/>
  <c r="B1113" i="2"/>
  <c r="S1112" i="2"/>
  <c r="R1112" i="2"/>
  <c r="Q1112" i="2"/>
  <c r="O1112" i="2"/>
  <c r="E1112" i="2"/>
  <c r="D1112" i="2"/>
  <c r="C1112" i="2"/>
  <c r="B1112" i="2"/>
  <c r="S1111" i="2"/>
  <c r="R1111" i="2"/>
  <c r="Q1111" i="2"/>
  <c r="O1111" i="2"/>
  <c r="E1111" i="2"/>
  <c r="D1111" i="2"/>
  <c r="C1111" i="2"/>
  <c r="B1111" i="2"/>
  <c r="S1110" i="2"/>
  <c r="R1110" i="2"/>
  <c r="Q1110" i="2"/>
  <c r="O1110" i="2"/>
  <c r="E1110" i="2"/>
  <c r="D1110" i="2"/>
  <c r="C1110" i="2"/>
  <c r="B1110" i="2"/>
  <c r="S1109" i="2"/>
  <c r="R1109" i="2"/>
  <c r="Q1109" i="2"/>
  <c r="O1109" i="2"/>
  <c r="E1109" i="2"/>
  <c r="D1109" i="2"/>
  <c r="C1109" i="2"/>
  <c r="B1109" i="2"/>
  <c r="S1108" i="2"/>
  <c r="R1108" i="2"/>
  <c r="Q1108" i="2"/>
  <c r="O1108" i="2"/>
  <c r="E1108" i="2"/>
  <c r="D1108" i="2"/>
  <c r="C1108" i="2"/>
  <c r="B1108" i="2"/>
  <c r="S1107" i="2"/>
  <c r="R1107" i="2"/>
  <c r="Q1107" i="2"/>
  <c r="O1107" i="2"/>
  <c r="E1107" i="2"/>
  <c r="D1107" i="2"/>
  <c r="C1107" i="2"/>
  <c r="B1107" i="2"/>
  <c r="S1106" i="2"/>
  <c r="R1106" i="2"/>
  <c r="Q1106" i="2"/>
  <c r="O1106" i="2"/>
  <c r="E1106" i="2"/>
  <c r="D1106" i="2"/>
  <c r="C1106" i="2"/>
  <c r="B1106" i="2"/>
  <c r="S1105" i="2"/>
  <c r="R1105" i="2"/>
  <c r="Q1105" i="2"/>
  <c r="O1105" i="2"/>
  <c r="E1105" i="2"/>
  <c r="D1105" i="2"/>
  <c r="C1105" i="2"/>
  <c r="B1105" i="2"/>
  <c r="S1104" i="2"/>
  <c r="R1104" i="2"/>
  <c r="Q1104" i="2"/>
  <c r="O1104" i="2"/>
  <c r="E1104" i="2"/>
  <c r="D1104" i="2"/>
  <c r="C1104" i="2"/>
  <c r="B1104" i="2"/>
  <c r="S1103" i="2"/>
  <c r="R1103" i="2"/>
  <c r="Q1103" i="2"/>
  <c r="O1103" i="2"/>
  <c r="E1103" i="2"/>
  <c r="D1103" i="2"/>
  <c r="C1103" i="2"/>
  <c r="B1103" i="2"/>
  <c r="S1102" i="2"/>
  <c r="R1102" i="2"/>
  <c r="Q1102" i="2"/>
  <c r="O1102" i="2"/>
  <c r="E1102" i="2"/>
  <c r="D1102" i="2"/>
  <c r="C1102" i="2"/>
  <c r="B1102" i="2"/>
  <c r="S1101" i="2"/>
  <c r="R1101" i="2"/>
  <c r="Q1101" i="2"/>
  <c r="O1101" i="2"/>
  <c r="E1101" i="2"/>
  <c r="D1101" i="2"/>
  <c r="C1101" i="2"/>
  <c r="B1101" i="2"/>
  <c r="S1100" i="2"/>
  <c r="R1100" i="2"/>
  <c r="Q1100" i="2"/>
  <c r="O1100" i="2"/>
  <c r="E1100" i="2"/>
  <c r="D1100" i="2"/>
  <c r="C1100" i="2"/>
  <c r="B1100" i="2"/>
  <c r="S1099" i="2"/>
  <c r="R1099" i="2"/>
  <c r="Q1099" i="2"/>
  <c r="O1099" i="2"/>
  <c r="E1099" i="2"/>
  <c r="D1099" i="2"/>
  <c r="C1099" i="2"/>
  <c r="B1099" i="2"/>
  <c r="S1098" i="2"/>
  <c r="R1098" i="2"/>
  <c r="Q1098" i="2"/>
  <c r="O1098" i="2"/>
  <c r="E1098" i="2"/>
  <c r="D1098" i="2"/>
  <c r="C1098" i="2"/>
  <c r="B1098" i="2"/>
  <c r="S1097" i="2"/>
  <c r="R1097" i="2"/>
  <c r="Q1097" i="2"/>
  <c r="O1097" i="2"/>
  <c r="E1097" i="2"/>
  <c r="D1097" i="2"/>
  <c r="C1097" i="2"/>
  <c r="B1097" i="2"/>
  <c r="S1096" i="2"/>
  <c r="R1096" i="2"/>
  <c r="Q1096" i="2"/>
  <c r="O1096" i="2"/>
  <c r="E1096" i="2"/>
  <c r="D1096" i="2"/>
  <c r="C1096" i="2"/>
  <c r="B1096" i="2"/>
  <c r="S1095" i="2"/>
  <c r="R1095" i="2"/>
  <c r="Q1095" i="2"/>
  <c r="O1095" i="2"/>
  <c r="E1095" i="2"/>
  <c r="D1095" i="2"/>
  <c r="C1095" i="2"/>
  <c r="B1095" i="2"/>
  <c r="S1094" i="2"/>
  <c r="R1094" i="2"/>
  <c r="Q1094" i="2"/>
  <c r="O1094" i="2"/>
  <c r="E1094" i="2"/>
  <c r="D1094" i="2"/>
  <c r="C1094" i="2"/>
  <c r="B1094" i="2"/>
  <c r="S1093" i="2"/>
  <c r="R1093" i="2"/>
  <c r="Q1093" i="2"/>
  <c r="O1093" i="2"/>
  <c r="E1093" i="2"/>
  <c r="D1093" i="2"/>
  <c r="C1093" i="2"/>
  <c r="B1093" i="2"/>
  <c r="S1092" i="2"/>
  <c r="R1092" i="2"/>
  <c r="Q1092" i="2"/>
  <c r="O1092" i="2"/>
  <c r="E1092" i="2"/>
  <c r="D1092" i="2"/>
  <c r="C1092" i="2"/>
  <c r="B1092" i="2"/>
  <c r="S1091" i="2"/>
  <c r="R1091" i="2"/>
  <c r="Q1091" i="2"/>
  <c r="O1091" i="2"/>
  <c r="E1091" i="2"/>
  <c r="D1091" i="2"/>
  <c r="C1091" i="2"/>
  <c r="B1091" i="2"/>
  <c r="S1090" i="2"/>
  <c r="R1090" i="2"/>
  <c r="Q1090" i="2"/>
  <c r="O1090" i="2"/>
  <c r="E1090" i="2"/>
  <c r="D1090" i="2"/>
  <c r="C1090" i="2"/>
  <c r="B1090" i="2"/>
  <c r="S1089" i="2"/>
  <c r="R1089" i="2"/>
  <c r="Q1089" i="2"/>
  <c r="O1089" i="2"/>
  <c r="E1089" i="2"/>
  <c r="D1089" i="2"/>
  <c r="C1089" i="2"/>
  <c r="B1089" i="2"/>
  <c r="S1088" i="2"/>
  <c r="R1088" i="2"/>
  <c r="Q1088" i="2"/>
  <c r="O1088" i="2"/>
  <c r="E1088" i="2"/>
  <c r="D1088" i="2"/>
  <c r="C1088" i="2"/>
  <c r="B1088" i="2"/>
  <c r="S1087" i="2"/>
  <c r="R1087" i="2"/>
  <c r="Q1087" i="2"/>
  <c r="O1087" i="2"/>
  <c r="E1087" i="2"/>
  <c r="D1087" i="2"/>
  <c r="C1087" i="2"/>
  <c r="B1087" i="2"/>
  <c r="S1086" i="2"/>
  <c r="R1086" i="2"/>
  <c r="Q1086" i="2"/>
  <c r="O1086" i="2"/>
  <c r="E1086" i="2"/>
  <c r="D1086" i="2"/>
  <c r="C1086" i="2"/>
  <c r="B1086" i="2"/>
  <c r="S1085" i="2"/>
  <c r="R1085" i="2"/>
  <c r="Q1085" i="2"/>
  <c r="O1085" i="2"/>
  <c r="E1085" i="2"/>
  <c r="D1085" i="2"/>
  <c r="C1085" i="2"/>
  <c r="B1085" i="2"/>
  <c r="S1084" i="2"/>
  <c r="R1084" i="2"/>
  <c r="Q1084" i="2"/>
  <c r="O1084" i="2"/>
  <c r="E1084" i="2"/>
  <c r="D1084" i="2"/>
  <c r="C1084" i="2"/>
  <c r="B1084" i="2"/>
  <c r="S1083" i="2"/>
  <c r="R1083" i="2"/>
  <c r="Q1083" i="2"/>
  <c r="O1083" i="2"/>
  <c r="E1083" i="2"/>
  <c r="D1083" i="2"/>
  <c r="C1083" i="2"/>
  <c r="B1083" i="2"/>
  <c r="S1082" i="2"/>
  <c r="R1082" i="2"/>
  <c r="Q1082" i="2"/>
  <c r="O1082" i="2"/>
  <c r="E1082" i="2"/>
  <c r="D1082" i="2"/>
  <c r="C1082" i="2"/>
  <c r="B1082" i="2"/>
  <c r="S1081" i="2"/>
  <c r="R1081" i="2"/>
  <c r="Q1081" i="2"/>
  <c r="O1081" i="2"/>
  <c r="E1081" i="2"/>
  <c r="D1081" i="2"/>
  <c r="C1081" i="2"/>
  <c r="B1081" i="2"/>
  <c r="S1080" i="2"/>
  <c r="R1080" i="2"/>
  <c r="Q1080" i="2"/>
  <c r="O1080" i="2"/>
  <c r="E1080" i="2"/>
  <c r="D1080" i="2"/>
  <c r="C1080" i="2"/>
  <c r="B1080" i="2"/>
  <c r="S1079" i="2"/>
  <c r="R1079" i="2"/>
  <c r="Q1079" i="2"/>
  <c r="O1079" i="2"/>
  <c r="E1079" i="2"/>
  <c r="D1079" i="2"/>
  <c r="C1079" i="2"/>
  <c r="B1079" i="2"/>
  <c r="S1078" i="2"/>
  <c r="R1078" i="2"/>
  <c r="Q1078" i="2"/>
  <c r="O1078" i="2"/>
  <c r="E1078" i="2"/>
  <c r="D1078" i="2"/>
  <c r="C1078" i="2"/>
  <c r="B1078" i="2"/>
  <c r="S1077" i="2"/>
  <c r="R1077" i="2"/>
  <c r="Q1077" i="2"/>
  <c r="O1077" i="2"/>
  <c r="E1077" i="2"/>
  <c r="D1077" i="2"/>
  <c r="C1077" i="2"/>
  <c r="B1077" i="2"/>
  <c r="S1076" i="2"/>
  <c r="R1076" i="2"/>
  <c r="Q1076" i="2"/>
  <c r="O1076" i="2"/>
  <c r="E1076" i="2"/>
  <c r="D1076" i="2"/>
  <c r="C1076" i="2"/>
  <c r="B1076" i="2"/>
  <c r="S1075" i="2"/>
  <c r="R1075" i="2"/>
  <c r="Q1075" i="2"/>
  <c r="O1075" i="2"/>
  <c r="E1075" i="2"/>
  <c r="D1075" i="2"/>
  <c r="C1075" i="2"/>
  <c r="B1075" i="2"/>
  <c r="S1074" i="2"/>
  <c r="R1074" i="2"/>
  <c r="Q1074" i="2"/>
  <c r="O1074" i="2"/>
  <c r="E1074" i="2"/>
  <c r="D1074" i="2"/>
  <c r="C1074" i="2"/>
  <c r="B1074" i="2"/>
  <c r="S1073" i="2"/>
  <c r="R1073" i="2"/>
  <c r="Q1073" i="2"/>
  <c r="O1073" i="2"/>
  <c r="E1073" i="2"/>
  <c r="D1073" i="2"/>
  <c r="C1073" i="2"/>
  <c r="B1073" i="2"/>
  <c r="S1072" i="2"/>
  <c r="R1072" i="2"/>
  <c r="Q1072" i="2"/>
  <c r="O1072" i="2"/>
  <c r="E1072" i="2"/>
  <c r="D1072" i="2"/>
  <c r="C1072" i="2"/>
  <c r="B1072" i="2"/>
  <c r="S1071" i="2"/>
  <c r="R1071" i="2"/>
  <c r="Q1071" i="2"/>
  <c r="O1071" i="2"/>
  <c r="E1071" i="2"/>
  <c r="D1071" i="2"/>
  <c r="C1071" i="2"/>
  <c r="B1071" i="2"/>
  <c r="S1070" i="2"/>
  <c r="R1070" i="2"/>
  <c r="Q1070" i="2"/>
  <c r="O1070" i="2"/>
  <c r="E1070" i="2"/>
  <c r="D1070" i="2"/>
  <c r="C1070" i="2"/>
  <c r="B1070" i="2"/>
  <c r="S1069" i="2"/>
  <c r="R1069" i="2"/>
  <c r="Q1069" i="2"/>
  <c r="O1069" i="2"/>
  <c r="E1069" i="2"/>
  <c r="D1069" i="2"/>
  <c r="C1069" i="2"/>
  <c r="B1069" i="2"/>
  <c r="S1068" i="2"/>
  <c r="R1068" i="2"/>
  <c r="Q1068" i="2"/>
  <c r="O1068" i="2"/>
  <c r="E1068" i="2"/>
  <c r="D1068" i="2"/>
  <c r="C1068" i="2"/>
  <c r="B1068" i="2"/>
  <c r="S1067" i="2"/>
  <c r="R1067" i="2"/>
  <c r="Q1067" i="2"/>
  <c r="O1067" i="2"/>
  <c r="E1067" i="2"/>
  <c r="D1067" i="2"/>
  <c r="C1067" i="2"/>
  <c r="B1067" i="2"/>
  <c r="S1066" i="2"/>
  <c r="R1066" i="2"/>
  <c r="Q1066" i="2"/>
  <c r="O1066" i="2"/>
  <c r="E1066" i="2"/>
  <c r="D1066" i="2"/>
  <c r="C1066" i="2"/>
  <c r="B1066" i="2"/>
  <c r="S1065" i="2"/>
  <c r="R1065" i="2"/>
  <c r="Q1065" i="2"/>
  <c r="O1065" i="2"/>
  <c r="E1065" i="2"/>
  <c r="D1065" i="2"/>
  <c r="C1065" i="2"/>
  <c r="B1065" i="2"/>
  <c r="S1064" i="2"/>
  <c r="R1064" i="2"/>
  <c r="Q1064" i="2"/>
  <c r="O1064" i="2"/>
  <c r="E1064" i="2"/>
  <c r="D1064" i="2"/>
  <c r="C1064" i="2"/>
  <c r="B1064" i="2"/>
  <c r="S1063" i="2"/>
  <c r="R1063" i="2"/>
  <c r="Q1063" i="2"/>
  <c r="O1063" i="2"/>
  <c r="E1063" i="2"/>
  <c r="D1063" i="2"/>
  <c r="C1063" i="2"/>
  <c r="B1063" i="2"/>
  <c r="S1062" i="2"/>
  <c r="R1062" i="2"/>
  <c r="Q1062" i="2"/>
  <c r="O1062" i="2"/>
  <c r="E1062" i="2"/>
  <c r="D1062" i="2"/>
  <c r="C1062" i="2"/>
  <c r="B1062" i="2"/>
  <c r="S1061" i="2"/>
  <c r="R1061" i="2"/>
  <c r="Q1061" i="2"/>
  <c r="O1061" i="2"/>
  <c r="E1061" i="2"/>
  <c r="D1061" i="2"/>
  <c r="C1061" i="2"/>
  <c r="B1061" i="2"/>
  <c r="S1060" i="2"/>
  <c r="R1060" i="2"/>
  <c r="Q1060" i="2"/>
  <c r="O1060" i="2"/>
  <c r="E1060" i="2"/>
  <c r="D1060" i="2"/>
  <c r="C1060" i="2"/>
  <c r="B1060" i="2"/>
  <c r="S1059" i="2"/>
  <c r="R1059" i="2"/>
  <c r="Q1059" i="2"/>
  <c r="O1059" i="2"/>
  <c r="E1059" i="2"/>
  <c r="D1059" i="2"/>
  <c r="C1059" i="2"/>
  <c r="B1059" i="2"/>
  <c r="S1058" i="2"/>
  <c r="R1058" i="2"/>
  <c r="Q1058" i="2"/>
  <c r="O1058" i="2"/>
  <c r="E1058" i="2"/>
  <c r="D1058" i="2"/>
  <c r="C1058" i="2"/>
  <c r="B1058" i="2"/>
  <c r="S1057" i="2"/>
  <c r="R1057" i="2"/>
  <c r="Q1057" i="2"/>
  <c r="O1057" i="2"/>
  <c r="E1057" i="2"/>
  <c r="D1057" i="2"/>
  <c r="C1057" i="2"/>
  <c r="B1057" i="2"/>
  <c r="S1056" i="2"/>
  <c r="R1056" i="2"/>
  <c r="Q1056" i="2"/>
  <c r="O1056" i="2"/>
  <c r="E1056" i="2"/>
  <c r="D1056" i="2"/>
  <c r="C1056" i="2"/>
  <c r="B1056" i="2"/>
  <c r="S1055" i="2"/>
  <c r="R1055" i="2"/>
  <c r="Q1055" i="2"/>
  <c r="O1055" i="2"/>
  <c r="E1055" i="2"/>
  <c r="D1055" i="2"/>
  <c r="C1055" i="2"/>
  <c r="B1055" i="2"/>
  <c r="S1054" i="2"/>
  <c r="R1054" i="2"/>
  <c r="Q1054" i="2"/>
  <c r="O1054" i="2"/>
  <c r="E1054" i="2"/>
  <c r="D1054" i="2"/>
  <c r="C1054" i="2"/>
  <c r="B1054" i="2"/>
  <c r="S1053" i="2"/>
  <c r="R1053" i="2"/>
  <c r="Q1053" i="2"/>
  <c r="O1053" i="2"/>
  <c r="E1053" i="2"/>
  <c r="D1053" i="2"/>
  <c r="C1053" i="2"/>
  <c r="B1053" i="2"/>
  <c r="S1052" i="2"/>
  <c r="R1052" i="2"/>
  <c r="Q1052" i="2"/>
  <c r="O1052" i="2"/>
  <c r="E1052" i="2"/>
  <c r="D1052" i="2"/>
  <c r="C1052" i="2"/>
  <c r="B1052" i="2"/>
  <c r="S1051" i="2"/>
  <c r="R1051" i="2"/>
  <c r="Q1051" i="2"/>
  <c r="O1051" i="2"/>
  <c r="E1051" i="2"/>
  <c r="D1051" i="2"/>
  <c r="C1051" i="2"/>
  <c r="B1051" i="2"/>
  <c r="S1050" i="2"/>
  <c r="R1050" i="2"/>
  <c r="Q1050" i="2"/>
  <c r="O1050" i="2"/>
  <c r="E1050" i="2"/>
  <c r="D1050" i="2"/>
  <c r="C1050" i="2"/>
  <c r="B1050" i="2"/>
  <c r="S1049" i="2"/>
  <c r="R1049" i="2"/>
  <c r="Q1049" i="2"/>
  <c r="O1049" i="2"/>
  <c r="E1049" i="2"/>
  <c r="D1049" i="2"/>
  <c r="C1049" i="2"/>
  <c r="B1049" i="2"/>
  <c r="S1048" i="2"/>
  <c r="R1048" i="2"/>
  <c r="Q1048" i="2"/>
  <c r="O1048" i="2"/>
  <c r="E1048" i="2"/>
  <c r="D1048" i="2"/>
  <c r="C1048" i="2"/>
  <c r="B1048" i="2"/>
  <c r="S1047" i="2"/>
  <c r="R1047" i="2"/>
  <c r="Q1047" i="2"/>
  <c r="O1047" i="2"/>
  <c r="E1047" i="2"/>
  <c r="D1047" i="2"/>
  <c r="C1047" i="2"/>
  <c r="B1047" i="2"/>
  <c r="S1046" i="2"/>
  <c r="R1046" i="2"/>
  <c r="Q1046" i="2"/>
  <c r="O1046" i="2"/>
  <c r="E1046" i="2"/>
  <c r="D1046" i="2"/>
  <c r="C1046" i="2"/>
  <c r="B1046" i="2"/>
  <c r="S1045" i="2"/>
  <c r="R1045" i="2"/>
  <c r="Q1045" i="2"/>
  <c r="O1045" i="2"/>
  <c r="E1045" i="2"/>
  <c r="D1045" i="2"/>
  <c r="C1045" i="2"/>
  <c r="B1045" i="2"/>
  <c r="S1044" i="2"/>
  <c r="R1044" i="2"/>
  <c r="Q1044" i="2"/>
  <c r="O1044" i="2"/>
  <c r="E1044" i="2"/>
  <c r="D1044" i="2"/>
  <c r="C1044" i="2"/>
  <c r="B1044" i="2"/>
  <c r="S1043" i="2"/>
  <c r="R1043" i="2"/>
  <c r="Q1043" i="2"/>
  <c r="O1043" i="2"/>
  <c r="E1043" i="2"/>
  <c r="D1043" i="2"/>
  <c r="C1043" i="2"/>
  <c r="B1043" i="2"/>
  <c r="S1042" i="2"/>
  <c r="R1042" i="2"/>
  <c r="Q1042" i="2"/>
  <c r="O1042" i="2"/>
  <c r="E1042" i="2"/>
  <c r="D1042" i="2"/>
  <c r="C1042" i="2"/>
  <c r="B1042" i="2"/>
  <c r="S1041" i="2"/>
  <c r="R1041" i="2"/>
  <c r="Q1041" i="2"/>
  <c r="O1041" i="2"/>
  <c r="E1041" i="2"/>
  <c r="D1041" i="2"/>
  <c r="C1041" i="2"/>
  <c r="B1041" i="2"/>
  <c r="S1040" i="2"/>
  <c r="R1040" i="2"/>
  <c r="Q1040" i="2"/>
  <c r="O1040" i="2"/>
  <c r="E1040" i="2"/>
  <c r="D1040" i="2"/>
  <c r="C1040" i="2"/>
  <c r="B1040" i="2"/>
  <c r="S1039" i="2"/>
  <c r="R1039" i="2"/>
  <c r="Q1039" i="2"/>
  <c r="O1039" i="2"/>
  <c r="E1039" i="2"/>
  <c r="D1039" i="2"/>
  <c r="C1039" i="2"/>
  <c r="B1039" i="2"/>
  <c r="S1038" i="2"/>
  <c r="R1038" i="2"/>
  <c r="Q1038" i="2"/>
  <c r="O1038" i="2"/>
  <c r="E1038" i="2"/>
  <c r="D1038" i="2"/>
  <c r="C1038" i="2"/>
  <c r="B1038" i="2"/>
  <c r="S1037" i="2"/>
  <c r="R1037" i="2"/>
  <c r="Q1037" i="2"/>
  <c r="O1037" i="2"/>
  <c r="E1037" i="2"/>
  <c r="D1037" i="2"/>
  <c r="C1037" i="2"/>
  <c r="B1037" i="2"/>
  <c r="S1036" i="2"/>
  <c r="R1036" i="2"/>
  <c r="Q1036" i="2"/>
  <c r="O1036" i="2"/>
  <c r="E1036" i="2"/>
  <c r="D1036" i="2"/>
  <c r="C1036" i="2"/>
  <c r="B1036" i="2"/>
  <c r="S1035" i="2"/>
  <c r="R1035" i="2"/>
  <c r="Q1035" i="2"/>
  <c r="O1035" i="2"/>
  <c r="E1035" i="2"/>
  <c r="D1035" i="2"/>
  <c r="C1035" i="2"/>
  <c r="B1035" i="2"/>
  <c r="S1034" i="2"/>
  <c r="R1034" i="2"/>
  <c r="Q1034" i="2"/>
  <c r="O1034" i="2"/>
  <c r="E1034" i="2"/>
  <c r="D1034" i="2"/>
  <c r="C1034" i="2"/>
  <c r="B1034" i="2"/>
  <c r="S1033" i="2"/>
  <c r="R1033" i="2"/>
  <c r="Q1033" i="2"/>
  <c r="O1033" i="2"/>
  <c r="E1033" i="2"/>
  <c r="D1033" i="2"/>
  <c r="C1033" i="2"/>
  <c r="B1033" i="2"/>
  <c r="S1032" i="2"/>
  <c r="R1032" i="2"/>
  <c r="Q1032" i="2"/>
  <c r="O1032" i="2"/>
  <c r="E1032" i="2"/>
  <c r="D1032" i="2"/>
  <c r="C1032" i="2"/>
  <c r="B1032" i="2"/>
  <c r="S1031" i="2"/>
  <c r="R1031" i="2"/>
  <c r="Q1031" i="2"/>
  <c r="O1031" i="2"/>
  <c r="E1031" i="2"/>
  <c r="D1031" i="2"/>
  <c r="C1031" i="2"/>
  <c r="B1031" i="2"/>
  <c r="S1030" i="2"/>
  <c r="R1030" i="2"/>
  <c r="Q1030" i="2"/>
  <c r="O1030" i="2"/>
  <c r="E1030" i="2"/>
  <c r="D1030" i="2"/>
  <c r="C1030" i="2"/>
  <c r="B1030" i="2"/>
  <c r="S1029" i="2"/>
  <c r="R1029" i="2"/>
  <c r="Q1029" i="2"/>
  <c r="O1029" i="2"/>
  <c r="E1029" i="2"/>
  <c r="D1029" i="2"/>
  <c r="C1029" i="2"/>
  <c r="B1029" i="2"/>
  <c r="S1028" i="2"/>
  <c r="R1028" i="2"/>
  <c r="Q1028" i="2"/>
  <c r="O1028" i="2"/>
  <c r="E1028" i="2"/>
  <c r="D1028" i="2"/>
  <c r="C1028" i="2"/>
  <c r="B1028" i="2"/>
  <c r="S1027" i="2"/>
  <c r="R1027" i="2"/>
  <c r="Q1027" i="2"/>
  <c r="O1027" i="2"/>
  <c r="E1027" i="2"/>
  <c r="D1027" i="2"/>
  <c r="C1027" i="2"/>
  <c r="B1027" i="2"/>
  <c r="S1026" i="2"/>
  <c r="R1026" i="2"/>
  <c r="Q1026" i="2"/>
  <c r="O1026" i="2"/>
  <c r="E1026" i="2"/>
  <c r="D1026" i="2"/>
  <c r="C1026" i="2"/>
  <c r="B1026" i="2"/>
  <c r="S1025" i="2"/>
  <c r="R1025" i="2"/>
  <c r="Q1025" i="2"/>
  <c r="O1025" i="2"/>
  <c r="E1025" i="2"/>
  <c r="D1025" i="2"/>
  <c r="C1025" i="2"/>
  <c r="B1025" i="2"/>
  <c r="S1024" i="2"/>
  <c r="R1024" i="2"/>
  <c r="Q1024" i="2"/>
  <c r="O1024" i="2"/>
  <c r="E1024" i="2"/>
  <c r="D1024" i="2"/>
  <c r="C1024" i="2"/>
  <c r="B1024" i="2"/>
  <c r="S1023" i="2"/>
  <c r="R1023" i="2"/>
  <c r="Q1023" i="2"/>
  <c r="O1023" i="2"/>
  <c r="E1023" i="2"/>
  <c r="D1023" i="2"/>
  <c r="C1023" i="2"/>
  <c r="B1023" i="2"/>
  <c r="S1022" i="2"/>
  <c r="R1022" i="2"/>
  <c r="Q1022" i="2"/>
  <c r="O1022" i="2"/>
  <c r="E1022" i="2"/>
  <c r="D1022" i="2"/>
  <c r="C1022" i="2"/>
  <c r="B1022" i="2"/>
  <c r="S1021" i="2"/>
  <c r="R1021" i="2"/>
  <c r="Q1021" i="2"/>
  <c r="O1021" i="2"/>
  <c r="E1021" i="2"/>
  <c r="D1021" i="2"/>
  <c r="C1021" i="2"/>
  <c r="B1021" i="2"/>
  <c r="S1020" i="2"/>
  <c r="R1020" i="2"/>
  <c r="Q1020" i="2"/>
  <c r="O1020" i="2"/>
  <c r="E1020" i="2"/>
  <c r="D1020" i="2"/>
  <c r="C1020" i="2"/>
  <c r="B1020" i="2"/>
  <c r="S1019" i="2"/>
  <c r="R1019" i="2"/>
  <c r="Q1019" i="2"/>
  <c r="O1019" i="2"/>
  <c r="E1019" i="2"/>
  <c r="D1019" i="2"/>
  <c r="C1019" i="2"/>
  <c r="B1019" i="2"/>
  <c r="S1018" i="2"/>
  <c r="R1018" i="2"/>
  <c r="Q1018" i="2"/>
  <c r="O1018" i="2"/>
  <c r="E1018" i="2"/>
  <c r="D1018" i="2"/>
  <c r="C1018" i="2"/>
  <c r="B1018" i="2"/>
  <c r="S1017" i="2"/>
  <c r="R1017" i="2"/>
  <c r="Q1017" i="2"/>
  <c r="O1017" i="2"/>
  <c r="E1017" i="2"/>
  <c r="D1017" i="2"/>
  <c r="C1017" i="2"/>
  <c r="B1017" i="2"/>
  <c r="S1016" i="2"/>
  <c r="R1016" i="2"/>
  <c r="Q1016" i="2"/>
  <c r="O1016" i="2"/>
  <c r="E1016" i="2"/>
  <c r="D1016" i="2"/>
  <c r="C1016" i="2"/>
  <c r="B1016" i="2"/>
  <c r="S1015" i="2"/>
  <c r="R1015" i="2"/>
  <c r="Q1015" i="2"/>
  <c r="O1015" i="2"/>
  <c r="E1015" i="2"/>
  <c r="D1015" i="2"/>
  <c r="C1015" i="2"/>
  <c r="B1015" i="2"/>
  <c r="S1014" i="2"/>
  <c r="R1014" i="2"/>
  <c r="Q1014" i="2"/>
  <c r="O1014" i="2"/>
  <c r="E1014" i="2"/>
  <c r="D1014" i="2"/>
  <c r="C1014" i="2"/>
  <c r="B1014" i="2"/>
  <c r="S1013" i="2"/>
  <c r="R1013" i="2"/>
  <c r="Q1013" i="2"/>
  <c r="O1013" i="2"/>
  <c r="E1013" i="2"/>
  <c r="D1013" i="2"/>
  <c r="C1013" i="2"/>
  <c r="B1013" i="2"/>
  <c r="S1012" i="2"/>
  <c r="R1012" i="2"/>
  <c r="Q1012" i="2"/>
  <c r="O1012" i="2"/>
  <c r="E1012" i="2"/>
  <c r="D1012" i="2"/>
  <c r="C1012" i="2"/>
  <c r="B1012" i="2"/>
  <c r="S1011" i="2"/>
  <c r="R1011" i="2"/>
  <c r="Q1011" i="2"/>
  <c r="O1011" i="2"/>
  <c r="E1011" i="2"/>
  <c r="D1011" i="2"/>
  <c r="C1011" i="2"/>
  <c r="B1011" i="2"/>
  <c r="S1010" i="2"/>
  <c r="R1010" i="2"/>
  <c r="Q1010" i="2"/>
  <c r="O1010" i="2"/>
  <c r="E1010" i="2"/>
  <c r="D1010" i="2"/>
  <c r="C1010" i="2"/>
  <c r="B1010" i="2"/>
  <c r="S1009" i="2"/>
  <c r="R1009" i="2"/>
  <c r="Q1009" i="2"/>
  <c r="O1009" i="2"/>
  <c r="E1009" i="2"/>
  <c r="D1009" i="2"/>
  <c r="C1009" i="2"/>
  <c r="B1009" i="2"/>
  <c r="S1008" i="2"/>
  <c r="R1008" i="2"/>
  <c r="Q1008" i="2"/>
  <c r="O1008" i="2"/>
  <c r="E1008" i="2"/>
  <c r="D1008" i="2"/>
  <c r="C1008" i="2"/>
  <c r="B1008" i="2"/>
  <c r="S1007" i="2"/>
  <c r="R1007" i="2"/>
  <c r="Q1007" i="2"/>
  <c r="O1007" i="2"/>
  <c r="E1007" i="2"/>
  <c r="D1007" i="2"/>
  <c r="C1007" i="2"/>
  <c r="B1007" i="2"/>
  <c r="S1006" i="2"/>
  <c r="R1006" i="2"/>
  <c r="Q1006" i="2"/>
  <c r="O1006" i="2"/>
  <c r="E1006" i="2"/>
  <c r="D1006" i="2"/>
  <c r="C1006" i="2"/>
  <c r="B1006" i="2"/>
  <c r="S1005" i="2"/>
  <c r="R1005" i="2"/>
  <c r="Q1005" i="2"/>
  <c r="O1005" i="2"/>
  <c r="E1005" i="2"/>
  <c r="D1005" i="2"/>
  <c r="C1005" i="2"/>
  <c r="B1005" i="2"/>
  <c r="S1004" i="2"/>
  <c r="R1004" i="2"/>
  <c r="Q1004" i="2"/>
  <c r="O1004" i="2"/>
  <c r="E1004" i="2"/>
  <c r="D1004" i="2"/>
  <c r="C1004" i="2"/>
  <c r="B1004" i="2"/>
  <c r="S1003" i="2"/>
  <c r="R1003" i="2"/>
  <c r="Q1003" i="2"/>
  <c r="O1003" i="2"/>
  <c r="E1003" i="2"/>
  <c r="D1003" i="2"/>
  <c r="C1003" i="2"/>
  <c r="B1003" i="2"/>
  <c r="S1002" i="2"/>
  <c r="R1002" i="2"/>
  <c r="Q1002" i="2"/>
  <c r="O1002" i="2"/>
  <c r="E1002" i="2"/>
  <c r="D1002" i="2"/>
  <c r="C1002" i="2"/>
  <c r="B1002" i="2"/>
  <c r="S1001" i="2"/>
  <c r="R1001" i="2"/>
  <c r="Q1001" i="2"/>
  <c r="O1001" i="2"/>
  <c r="E1001" i="2"/>
  <c r="D1001" i="2"/>
  <c r="C1001" i="2"/>
  <c r="B1001" i="2"/>
  <c r="S1000" i="2"/>
  <c r="R1000" i="2"/>
  <c r="Q1000" i="2"/>
  <c r="O1000" i="2"/>
  <c r="E1000" i="2"/>
  <c r="D1000" i="2"/>
  <c r="C1000" i="2"/>
  <c r="B1000" i="2"/>
  <c r="S999" i="2"/>
  <c r="R999" i="2"/>
  <c r="Q999" i="2"/>
  <c r="O999" i="2"/>
  <c r="E999" i="2"/>
  <c r="D999" i="2"/>
  <c r="C999" i="2"/>
  <c r="B999" i="2"/>
  <c r="S998" i="2"/>
  <c r="R998" i="2"/>
  <c r="Q998" i="2"/>
  <c r="O998" i="2"/>
  <c r="E998" i="2"/>
  <c r="D998" i="2"/>
  <c r="C998" i="2"/>
  <c r="B998" i="2"/>
  <c r="S997" i="2"/>
  <c r="R997" i="2"/>
  <c r="Q997" i="2"/>
  <c r="O997" i="2"/>
  <c r="E997" i="2"/>
  <c r="D997" i="2"/>
  <c r="C997" i="2"/>
  <c r="B997" i="2"/>
  <c r="S996" i="2"/>
  <c r="R996" i="2"/>
  <c r="Q996" i="2"/>
  <c r="O996" i="2"/>
  <c r="E996" i="2"/>
  <c r="D996" i="2"/>
  <c r="C996" i="2"/>
  <c r="B996" i="2"/>
  <c r="S995" i="2"/>
  <c r="R995" i="2"/>
  <c r="Q995" i="2"/>
  <c r="O995" i="2"/>
  <c r="E995" i="2"/>
  <c r="D995" i="2"/>
  <c r="C995" i="2"/>
  <c r="B995" i="2"/>
  <c r="S994" i="2"/>
  <c r="R994" i="2"/>
  <c r="Q994" i="2"/>
  <c r="O994" i="2"/>
  <c r="E994" i="2"/>
  <c r="D994" i="2"/>
  <c r="C994" i="2"/>
  <c r="B994" i="2"/>
  <c r="S993" i="2"/>
  <c r="R993" i="2"/>
  <c r="Q993" i="2"/>
  <c r="O993" i="2"/>
  <c r="E993" i="2"/>
  <c r="D993" i="2"/>
  <c r="C993" i="2"/>
  <c r="B993" i="2"/>
  <c r="S992" i="2"/>
  <c r="R992" i="2"/>
  <c r="Q992" i="2"/>
  <c r="O992" i="2"/>
  <c r="E992" i="2"/>
  <c r="D992" i="2"/>
  <c r="C992" i="2"/>
  <c r="B992" i="2"/>
  <c r="S991" i="2"/>
  <c r="R991" i="2"/>
  <c r="Q991" i="2"/>
  <c r="O991" i="2"/>
  <c r="E991" i="2"/>
  <c r="D991" i="2"/>
  <c r="C991" i="2"/>
  <c r="B991" i="2"/>
  <c r="S990" i="2"/>
  <c r="R990" i="2"/>
  <c r="Q990" i="2"/>
  <c r="O990" i="2"/>
  <c r="E990" i="2"/>
  <c r="D990" i="2"/>
  <c r="C990" i="2"/>
  <c r="B990" i="2"/>
  <c r="S989" i="2"/>
  <c r="R989" i="2"/>
  <c r="Q989" i="2"/>
  <c r="O989" i="2"/>
  <c r="E989" i="2"/>
  <c r="D989" i="2"/>
  <c r="C989" i="2"/>
  <c r="B989" i="2"/>
  <c r="S988" i="2"/>
  <c r="R988" i="2"/>
  <c r="Q988" i="2"/>
  <c r="O988" i="2"/>
  <c r="E988" i="2"/>
  <c r="D988" i="2"/>
  <c r="C988" i="2"/>
  <c r="B988" i="2"/>
  <c r="S987" i="2"/>
  <c r="R987" i="2"/>
  <c r="Q987" i="2"/>
  <c r="O987" i="2"/>
  <c r="E987" i="2"/>
  <c r="D987" i="2"/>
  <c r="C987" i="2"/>
  <c r="B987" i="2"/>
  <c r="S986" i="2"/>
  <c r="R986" i="2"/>
  <c r="Q986" i="2"/>
  <c r="O986" i="2"/>
  <c r="E986" i="2"/>
  <c r="D986" i="2"/>
  <c r="C986" i="2"/>
  <c r="B986" i="2"/>
  <c r="S985" i="2"/>
  <c r="R985" i="2"/>
  <c r="Q985" i="2"/>
  <c r="O985" i="2"/>
  <c r="E985" i="2"/>
  <c r="D985" i="2"/>
  <c r="C985" i="2"/>
  <c r="B985" i="2"/>
  <c r="S984" i="2"/>
  <c r="R984" i="2"/>
  <c r="Q984" i="2"/>
  <c r="O984" i="2"/>
  <c r="E984" i="2"/>
  <c r="D984" i="2"/>
  <c r="C984" i="2"/>
  <c r="B984" i="2"/>
  <c r="S983" i="2"/>
  <c r="R983" i="2"/>
  <c r="Q983" i="2"/>
  <c r="O983" i="2"/>
  <c r="E983" i="2"/>
  <c r="D983" i="2"/>
  <c r="C983" i="2"/>
  <c r="B983" i="2"/>
  <c r="S982" i="2"/>
  <c r="R982" i="2"/>
  <c r="Q982" i="2"/>
  <c r="O982" i="2"/>
  <c r="E982" i="2"/>
  <c r="D982" i="2"/>
  <c r="C982" i="2"/>
  <c r="B982" i="2"/>
  <c r="S981" i="2"/>
  <c r="R981" i="2"/>
  <c r="Q981" i="2"/>
  <c r="O981" i="2"/>
  <c r="E981" i="2"/>
  <c r="D981" i="2"/>
  <c r="C981" i="2"/>
  <c r="B981" i="2"/>
  <c r="S980" i="2"/>
  <c r="R980" i="2"/>
  <c r="Q980" i="2"/>
  <c r="O980" i="2"/>
  <c r="E980" i="2"/>
  <c r="D980" i="2"/>
  <c r="C980" i="2"/>
  <c r="B980" i="2"/>
  <c r="S979" i="2"/>
  <c r="R979" i="2"/>
  <c r="Q979" i="2"/>
  <c r="O979" i="2"/>
  <c r="E979" i="2"/>
  <c r="D979" i="2"/>
  <c r="C979" i="2"/>
  <c r="B979" i="2"/>
  <c r="S978" i="2"/>
  <c r="R978" i="2"/>
  <c r="Q978" i="2"/>
  <c r="O978" i="2"/>
  <c r="E978" i="2"/>
  <c r="D978" i="2"/>
  <c r="C978" i="2"/>
  <c r="B978" i="2"/>
  <c r="S977" i="2"/>
  <c r="R977" i="2"/>
  <c r="Q977" i="2"/>
  <c r="O977" i="2"/>
  <c r="E977" i="2"/>
  <c r="D977" i="2"/>
  <c r="C977" i="2"/>
  <c r="B977" i="2"/>
  <c r="S976" i="2"/>
  <c r="R976" i="2"/>
  <c r="Q976" i="2"/>
  <c r="O976" i="2"/>
  <c r="E976" i="2"/>
  <c r="D976" i="2"/>
  <c r="C976" i="2"/>
  <c r="B976" i="2"/>
  <c r="S975" i="2"/>
  <c r="R975" i="2"/>
  <c r="Q975" i="2"/>
  <c r="O975" i="2"/>
  <c r="E975" i="2"/>
  <c r="D975" i="2"/>
  <c r="C975" i="2"/>
  <c r="B975" i="2"/>
  <c r="S974" i="2"/>
  <c r="R974" i="2"/>
  <c r="Q974" i="2"/>
  <c r="O974" i="2"/>
  <c r="E974" i="2"/>
  <c r="D974" i="2"/>
  <c r="C974" i="2"/>
  <c r="B974" i="2"/>
  <c r="S973" i="2"/>
  <c r="R973" i="2"/>
  <c r="Q973" i="2"/>
  <c r="O973" i="2"/>
  <c r="E973" i="2"/>
  <c r="D973" i="2"/>
  <c r="C973" i="2"/>
  <c r="B973" i="2"/>
  <c r="S972" i="2"/>
  <c r="R972" i="2"/>
  <c r="Q972" i="2"/>
  <c r="O972" i="2"/>
  <c r="E972" i="2"/>
  <c r="D972" i="2"/>
  <c r="C972" i="2"/>
  <c r="B972" i="2"/>
  <c r="S971" i="2"/>
  <c r="R971" i="2"/>
  <c r="Q971" i="2"/>
  <c r="O971" i="2"/>
  <c r="E971" i="2"/>
  <c r="D971" i="2"/>
  <c r="C971" i="2"/>
  <c r="B971" i="2"/>
  <c r="S970" i="2"/>
  <c r="R970" i="2"/>
  <c r="Q970" i="2"/>
  <c r="O970" i="2"/>
  <c r="E970" i="2"/>
  <c r="D970" i="2"/>
  <c r="C970" i="2"/>
  <c r="B970" i="2"/>
  <c r="S969" i="2"/>
  <c r="R969" i="2"/>
  <c r="Q969" i="2"/>
  <c r="O969" i="2"/>
  <c r="E969" i="2"/>
  <c r="D969" i="2"/>
  <c r="C969" i="2"/>
  <c r="B969" i="2"/>
  <c r="S968" i="2"/>
  <c r="R968" i="2"/>
  <c r="Q968" i="2"/>
  <c r="O968" i="2"/>
  <c r="E968" i="2"/>
  <c r="D968" i="2"/>
  <c r="C968" i="2"/>
  <c r="B968" i="2"/>
  <c r="S967" i="2"/>
  <c r="R967" i="2"/>
  <c r="Q967" i="2"/>
  <c r="O967" i="2"/>
  <c r="E967" i="2"/>
  <c r="D967" i="2"/>
  <c r="C967" i="2"/>
  <c r="B967" i="2"/>
  <c r="S966" i="2"/>
  <c r="R966" i="2"/>
  <c r="Q966" i="2"/>
  <c r="O966" i="2"/>
  <c r="E966" i="2"/>
  <c r="D966" i="2"/>
  <c r="C966" i="2"/>
  <c r="B966" i="2"/>
  <c r="S965" i="2"/>
  <c r="R965" i="2"/>
  <c r="Q965" i="2"/>
  <c r="O965" i="2"/>
  <c r="E965" i="2"/>
  <c r="D965" i="2"/>
  <c r="C965" i="2"/>
  <c r="B965" i="2"/>
  <c r="S964" i="2"/>
  <c r="R964" i="2"/>
  <c r="Q964" i="2"/>
  <c r="O964" i="2"/>
  <c r="E964" i="2"/>
  <c r="D964" i="2"/>
  <c r="C964" i="2"/>
  <c r="B964" i="2"/>
  <c r="S963" i="2"/>
  <c r="R963" i="2"/>
  <c r="Q963" i="2"/>
  <c r="O963" i="2"/>
  <c r="E963" i="2"/>
  <c r="D963" i="2"/>
  <c r="C963" i="2"/>
  <c r="B963" i="2"/>
  <c r="S962" i="2"/>
  <c r="R962" i="2"/>
  <c r="Q962" i="2"/>
  <c r="O962" i="2"/>
  <c r="E962" i="2"/>
  <c r="D962" i="2"/>
  <c r="C962" i="2"/>
  <c r="B962" i="2"/>
  <c r="S961" i="2"/>
  <c r="R961" i="2"/>
  <c r="Q961" i="2"/>
  <c r="O961" i="2"/>
  <c r="E961" i="2"/>
  <c r="D961" i="2"/>
  <c r="C961" i="2"/>
  <c r="B961" i="2"/>
  <c r="S960" i="2"/>
  <c r="R960" i="2"/>
  <c r="Q960" i="2"/>
  <c r="O960" i="2"/>
  <c r="E960" i="2"/>
  <c r="D960" i="2"/>
  <c r="C960" i="2"/>
  <c r="B960" i="2"/>
  <c r="S959" i="2"/>
  <c r="R959" i="2"/>
  <c r="Q959" i="2"/>
  <c r="O959" i="2"/>
  <c r="E959" i="2"/>
  <c r="D959" i="2"/>
  <c r="C959" i="2"/>
  <c r="B959" i="2"/>
  <c r="S958" i="2"/>
  <c r="R958" i="2"/>
  <c r="Q958" i="2"/>
  <c r="O958" i="2"/>
  <c r="E958" i="2"/>
  <c r="D958" i="2"/>
  <c r="C958" i="2"/>
  <c r="B958" i="2"/>
  <c r="S957" i="2"/>
  <c r="R957" i="2"/>
  <c r="Q957" i="2"/>
  <c r="O957" i="2"/>
  <c r="E957" i="2"/>
  <c r="D957" i="2"/>
  <c r="C957" i="2"/>
  <c r="B957" i="2"/>
  <c r="S956" i="2"/>
  <c r="R956" i="2"/>
  <c r="Q956" i="2"/>
  <c r="O956" i="2"/>
  <c r="E956" i="2"/>
  <c r="D956" i="2"/>
  <c r="C956" i="2"/>
  <c r="B956" i="2"/>
  <c r="S955" i="2"/>
  <c r="R955" i="2"/>
  <c r="Q955" i="2"/>
  <c r="O955" i="2"/>
  <c r="E955" i="2"/>
  <c r="D955" i="2"/>
  <c r="C955" i="2"/>
  <c r="B955" i="2"/>
  <c r="S954" i="2"/>
  <c r="R954" i="2"/>
  <c r="Q954" i="2"/>
  <c r="O954" i="2"/>
  <c r="E954" i="2"/>
  <c r="D954" i="2"/>
  <c r="C954" i="2"/>
  <c r="B954" i="2"/>
  <c r="S953" i="2"/>
  <c r="R953" i="2"/>
  <c r="Q953" i="2"/>
  <c r="O953" i="2"/>
  <c r="E953" i="2"/>
  <c r="D953" i="2"/>
  <c r="C953" i="2"/>
  <c r="B953" i="2"/>
  <c r="S952" i="2"/>
  <c r="R952" i="2"/>
  <c r="Q952" i="2"/>
  <c r="O952" i="2"/>
  <c r="E952" i="2"/>
  <c r="D952" i="2"/>
  <c r="C952" i="2"/>
  <c r="B952" i="2"/>
  <c r="S951" i="2"/>
  <c r="R951" i="2"/>
  <c r="Q951" i="2"/>
  <c r="O951" i="2"/>
  <c r="E951" i="2"/>
  <c r="D951" i="2"/>
  <c r="C951" i="2"/>
  <c r="B951" i="2"/>
  <c r="S950" i="2"/>
  <c r="R950" i="2"/>
  <c r="Q950" i="2"/>
  <c r="O950" i="2"/>
  <c r="E950" i="2"/>
  <c r="D950" i="2"/>
  <c r="C950" i="2"/>
  <c r="B950" i="2"/>
  <c r="S949" i="2"/>
  <c r="R949" i="2"/>
  <c r="Q949" i="2"/>
  <c r="O949" i="2"/>
  <c r="E949" i="2"/>
  <c r="D949" i="2"/>
  <c r="C949" i="2"/>
  <c r="B949" i="2"/>
  <c r="S948" i="2"/>
  <c r="R948" i="2"/>
  <c r="Q948" i="2"/>
  <c r="O948" i="2"/>
  <c r="E948" i="2"/>
  <c r="D948" i="2"/>
  <c r="C948" i="2"/>
  <c r="B948" i="2"/>
  <c r="S947" i="2"/>
  <c r="R947" i="2"/>
  <c r="Q947" i="2"/>
  <c r="O947" i="2"/>
  <c r="E947" i="2"/>
  <c r="D947" i="2"/>
  <c r="C947" i="2"/>
  <c r="B947" i="2"/>
  <c r="S946" i="2"/>
  <c r="R946" i="2"/>
  <c r="Q946" i="2"/>
  <c r="O946" i="2"/>
  <c r="E946" i="2"/>
  <c r="D946" i="2"/>
  <c r="C946" i="2"/>
  <c r="B946" i="2"/>
  <c r="S945" i="2"/>
  <c r="R945" i="2"/>
  <c r="Q945" i="2"/>
  <c r="O945" i="2"/>
  <c r="E945" i="2"/>
  <c r="D945" i="2"/>
  <c r="C945" i="2"/>
  <c r="B945" i="2"/>
  <c r="S944" i="2"/>
  <c r="R944" i="2"/>
  <c r="Q944" i="2"/>
  <c r="O944" i="2"/>
  <c r="E944" i="2"/>
  <c r="D944" i="2"/>
  <c r="C944" i="2"/>
  <c r="B944" i="2"/>
  <c r="S943" i="2"/>
  <c r="R943" i="2"/>
  <c r="Q943" i="2"/>
  <c r="O943" i="2"/>
  <c r="E943" i="2"/>
  <c r="D943" i="2"/>
  <c r="C943" i="2"/>
  <c r="B943" i="2"/>
  <c r="S942" i="2"/>
  <c r="R942" i="2"/>
  <c r="Q942" i="2"/>
  <c r="O942" i="2"/>
  <c r="E942" i="2"/>
  <c r="D942" i="2"/>
  <c r="C942" i="2"/>
  <c r="B942" i="2"/>
  <c r="S941" i="2"/>
  <c r="R941" i="2"/>
  <c r="Q941" i="2"/>
  <c r="O941" i="2"/>
  <c r="E941" i="2"/>
  <c r="D941" i="2"/>
  <c r="C941" i="2"/>
  <c r="B941" i="2"/>
  <c r="S940" i="2"/>
  <c r="R940" i="2"/>
  <c r="Q940" i="2"/>
  <c r="O940" i="2"/>
  <c r="E940" i="2"/>
  <c r="D940" i="2"/>
  <c r="C940" i="2"/>
  <c r="B940" i="2"/>
  <c r="S939" i="2"/>
  <c r="R939" i="2"/>
  <c r="Q939" i="2"/>
  <c r="O939" i="2"/>
  <c r="E939" i="2"/>
  <c r="D939" i="2"/>
  <c r="C939" i="2"/>
  <c r="B939" i="2"/>
  <c r="S938" i="2"/>
  <c r="R938" i="2"/>
  <c r="Q938" i="2"/>
  <c r="O938" i="2"/>
  <c r="E938" i="2"/>
  <c r="D938" i="2"/>
  <c r="C938" i="2"/>
  <c r="B938" i="2"/>
  <c r="S937" i="2"/>
  <c r="R937" i="2"/>
  <c r="Q937" i="2"/>
  <c r="O937" i="2"/>
  <c r="E937" i="2"/>
  <c r="D937" i="2"/>
  <c r="C937" i="2"/>
  <c r="B937" i="2"/>
  <c r="S936" i="2"/>
  <c r="R936" i="2"/>
  <c r="Q936" i="2"/>
  <c r="O936" i="2"/>
  <c r="E936" i="2"/>
  <c r="D936" i="2"/>
  <c r="C936" i="2"/>
  <c r="B936" i="2"/>
  <c r="S935" i="2"/>
  <c r="R935" i="2"/>
  <c r="Q935" i="2"/>
  <c r="O935" i="2"/>
  <c r="E935" i="2"/>
  <c r="D935" i="2"/>
  <c r="C935" i="2"/>
  <c r="B935" i="2"/>
  <c r="S934" i="2"/>
  <c r="R934" i="2"/>
  <c r="Q934" i="2"/>
  <c r="O934" i="2"/>
  <c r="E934" i="2"/>
  <c r="D934" i="2"/>
  <c r="C934" i="2"/>
  <c r="B934" i="2"/>
  <c r="S933" i="2"/>
  <c r="R933" i="2"/>
  <c r="Q933" i="2"/>
  <c r="O933" i="2"/>
  <c r="E933" i="2"/>
  <c r="D933" i="2"/>
  <c r="C933" i="2"/>
  <c r="B933" i="2"/>
  <c r="S932" i="2"/>
  <c r="R932" i="2"/>
  <c r="Q932" i="2"/>
  <c r="O932" i="2"/>
  <c r="E932" i="2"/>
  <c r="D932" i="2"/>
  <c r="C932" i="2"/>
  <c r="B932" i="2"/>
  <c r="S931" i="2"/>
  <c r="R931" i="2"/>
  <c r="Q931" i="2"/>
  <c r="O931" i="2"/>
  <c r="E931" i="2"/>
  <c r="D931" i="2"/>
  <c r="C931" i="2"/>
  <c r="B931" i="2"/>
  <c r="S930" i="2"/>
  <c r="R930" i="2"/>
  <c r="Q930" i="2"/>
  <c r="O930" i="2"/>
  <c r="E930" i="2"/>
  <c r="D930" i="2"/>
  <c r="C930" i="2"/>
  <c r="B930" i="2"/>
  <c r="S929" i="2"/>
  <c r="R929" i="2"/>
  <c r="Q929" i="2"/>
  <c r="O929" i="2"/>
  <c r="E929" i="2"/>
  <c r="D929" i="2"/>
  <c r="C929" i="2"/>
  <c r="B929" i="2"/>
  <c r="S928" i="2"/>
  <c r="R928" i="2"/>
  <c r="Q928" i="2"/>
  <c r="O928" i="2"/>
  <c r="E928" i="2"/>
  <c r="D928" i="2"/>
  <c r="C928" i="2"/>
  <c r="B928" i="2"/>
  <c r="S927" i="2"/>
  <c r="R927" i="2"/>
  <c r="Q927" i="2"/>
  <c r="O927" i="2"/>
  <c r="E927" i="2"/>
  <c r="D927" i="2"/>
  <c r="C927" i="2"/>
  <c r="B927" i="2"/>
  <c r="S926" i="2"/>
  <c r="R926" i="2"/>
  <c r="Q926" i="2"/>
  <c r="O926" i="2"/>
  <c r="E926" i="2"/>
  <c r="D926" i="2"/>
  <c r="C926" i="2"/>
  <c r="B926" i="2"/>
  <c r="S925" i="2"/>
  <c r="R925" i="2"/>
  <c r="Q925" i="2"/>
  <c r="O925" i="2"/>
  <c r="E925" i="2"/>
  <c r="D925" i="2"/>
  <c r="C925" i="2"/>
  <c r="B925" i="2"/>
  <c r="S924" i="2"/>
  <c r="R924" i="2"/>
  <c r="Q924" i="2"/>
  <c r="O924" i="2"/>
  <c r="E924" i="2"/>
  <c r="D924" i="2"/>
  <c r="C924" i="2"/>
  <c r="B924" i="2"/>
  <c r="S923" i="2"/>
  <c r="R923" i="2"/>
  <c r="Q923" i="2"/>
  <c r="O923" i="2"/>
  <c r="E923" i="2"/>
  <c r="D923" i="2"/>
  <c r="C923" i="2"/>
  <c r="B923" i="2"/>
  <c r="S922" i="2"/>
  <c r="R922" i="2"/>
  <c r="Q922" i="2"/>
  <c r="O922" i="2"/>
  <c r="E922" i="2"/>
  <c r="D922" i="2"/>
  <c r="C922" i="2"/>
  <c r="B922" i="2"/>
  <c r="S921" i="2"/>
  <c r="R921" i="2"/>
  <c r="Q921" i="2"/>
  <c r="O921" i="2"/>
  <c r="E921" i="2"/>
  <c r="D921" i="2"/>
  <c r="C921" i="2"/>
  <c r="B921" i="2"/>
  <c r="S920" i="2"/>
  <c r="R920" i="2"/>
  <c r="Q920" i="2"/>
  <c r="O920" i="2"/>
  <c r="E920" i="2"/>
  <c r="D920" i="2"/>
  <c r="C920" i="2"/>
  <c r="B920" i="2"/>
  <c r="S919" i="2"/>
  <c r="R919" i="2"/>
  <c r="Q919" i="2"/>
  <c r="O919" i="2"/>
  <c r="E919" i="2"/>
  <c r="D919" i="2"/>
  <c r="C919" i="2"/>
  <c r="B919" i="2"/>
  <c r="S918" i="2"/>
  <c r="R918" i="2"/>
  <c r="Q918" i="2"/>
  <c r="O918" i="2"/>
  <c r="E918" i="2"/>
  <c r="D918" i="2"/>
  <c r="C918" i="2"/>
  <c r="B918" i="2"/>
  <c r="S917" i="2"/>
  <c r="R917" i="2"/>
  <c r="Q917" i="2"/>
  <c r="O917" i="2"/>
  <c r="E917" i="2"/>
  <c r="D917" i="2"/>
  <c r="C917" i="2"/>
  <c r="B917" i="2"/>
  <c r="S916" i="2"/>
  <c r="R916" i="2"/>
  <c r="Q916" i="2"/>
  <c r="O916" i="2"/>
  <c r="E916" i="2"/>
  <c r="D916" i="2"/>
  <c r="C916" i="2"/>
  <c r="B916" i="2"/>
  <c r="S915" i="2"/>
  <c r="R915" i="2"/>
  <c r="Q915" i="2"/>
  <c r="O915" i="2"/>
  <c r="E915" i="2"/>
  <c r="D915" i="2"/>
  <c r="C915" i="2"/>
  <c r="B915" i="2"/>
  <c r="S914" i="2"/>
  <c r="R914" i="2"/>
  <c r="Q914" i="2"/>
  <c r="O914" i="2"/>
  <c r="E914" i="2"/>
  <c r="D914" i="2"/>
  <c r="C914" i="2"/>
  <c r="B914" i="2"/>
  <c r="S913" i="2"/>
  <c r="R913" i="2"/>
  <c r="Q913" i="2"/>
  <c r="O913" i="2"/>
  <c r="E913" i="2"/>
  <c r="D913" i="2"/>
  <c r="C913" i="2"/>
  <c r="B913" i="2"/>
  <c r="S912" i="2"/>
  <c r="R912" i="2"/>
  <c r="Q912" i="2"/>
  <c r="O912" i="2"/>
  <c r="E912" i="2"/>
  <c r="D912" i="2"/>
  <c r="C912" i="2"/>
  <c r="B912" i="2"/>
  <c r="S911" i="2"/>
  <c r="R911" i="2"/>
  <c r="Q911" i="2"/>
  <c r="O911" i="2"/>
  <c r="E911" i="2"/>
  <c r="D911" i="2"/>
  <c r="C911" i="2"/>
  <c r="B911" i="2"/>
  <c r="S910" i="2"/>
  <c r="R910" i="2"/>
  <c r="Q910" i="2"/>
  <c r="O910" i="2"/>
  <c r="E910" i="2"/>
  <c r="D910" i="2"/>
  <c r="C910" i="2"/>
  <c r="B910" i="2"/>
  <c r="S909" i="2"/>
  <c r="R909" i="2"/>
  <c r="Q909" i="2"/>
  <c r="O909" i="2"/>
  <c r="E909" i="2"/>
  <c r="D909" i="2"/>
  <c r="C909" i="2"/>
  <c r="B909" i="2"/>
  <c r="S908" i="2"/>
  <c r="R908" i="2"/>
  <c r="Q908" i="2"/>
  <c r="O908" i="2"/>
  <c r="E908" i="2"/>
  <c r="D908" i="2"/>
  <c r="C908" i="2"/>
  <c r="B908" i="2"/>
  <c r="S907" i="2"/>
  <c r="R907" i="2"/>
  <c r="Q907" i="2"/>
  <c r="O907" i="2"/>
  <c r="E907" i="2"/>
  <c r="D907" i="2"/>
  <c r="C907" i="2"/>
  <c r="B907" i="2"/>
  <c r="S906" i="2"/>
  <c r="R906" i="2"/>
  <c r="Q906" i="2"/>
  <c r="O906" i="2"/>
  <c r="E906" i="2"/>
  <c r="D906" i="2"/>
  <c r="C906" i="2"/>
  <c r="B906" i="2"/>
  <c r="S905" i="2"/>
  <c r="R905" i="2"/>
  <c r="Q905" i="2"/>
  <c r="O905" i="2"/>
  <c r="E905" i="2"/>
  <c r="D905" i="2"/>
  <c r="C905" i="2"/>
  <c r="B905" i="2"/>
  <c r="S904" i="2"/>
  <c r="R904" i="2"/>
  <c r="Q904" i="2"/>
  <c r="O904" i="2"/>
  <c r="E904" i="2"/>
  <c r="D904" i="2"/>
  <c r="C904" i="2"/>
  <c r="B904" i="2"/>
  <c r="S903" i="2"/>
  <c r="R903" i="2"/>
  <c r="Q903" i="2"/>
  <c r="O903" i="2"/>
  <c r="E903" i="2"/>
  <c r="D903" i="2"/>
  <c r="C903" i="2"/>
  <c r="B903" i="2"/>
  <c r="S902" i="2"/>
  <c r="R902" i="2"/>
  <c r="Q902" i="2"/>
  <c r="O902" i="2"/>
  <c r="E902" i="2"/>
  <c r="D902" i="2"/>
  <c r="C902" i="2"/>
  <c r="B902" i="2"/>
  <c r="S901" i="2"/>
  <c r="R901" i="2"/>
  <c r="Q901" i="2"/>
  <c r="O901" i="2"/>
  <c r="E901" i="2"/>
  <c r="D901" i="2"/>
  <c r="C901" i="2"/>
  <c r="B901" i="2"/>
  <c r="S900" i="2"/>
  <c r="R900" i="2"/>
  <c r="Q900" i="2"/>
  <c r="O900" i="2"/>
  <c r="E900" i="2"/>
  <c r="D900" i="2"/>
  <c r="C900" i="2"/>
  <c r="B900" i="2"/>
  <c r="S899" i="2"/>
  <c r="R899" i="2"/>
  <c r="Q899" i="2"/>
  <c r="O899" i="2"/>
  <c r="E899" i="2"/>
  <c r="D899" i="2"/>
  <c r="C899" i="2"/>
  <c r="B899" i="2"/>
  <c r="S898" i="2"/>
  <c r="R898" i="2"/>
  <c r="Q898" i="2"/>
  <c r="O898" i="2"/>
  <c r="E898" i="2"/>
  <c r="D898" i="2"/>
  <c r="C898" i="2"/>
  <c r="B898" i="2"/>
  <c r="S897" i="2"/>
  <c r="R897" i="2"/>
  <c r="Q897" i="2"/>
  <c r="O897" i="2"/>
  <c r="E897" i="2"/>
  <c r="D897" i="2"/>
  <c r="C897" i="2"/>
  <c r="B897" i="2"/>
  <c r="S896" i="2"/>
  <c r="R896" i="2"/>
  <c r="Q896" i="2"/>
  <c r="O896" i="2"/>
  <c r="E896" i="2"/>
  <c r="D896" i="2"/>
  <c r="C896" i="2"/>
  <c r="B896" i="2"/>
  <c r="S895" i="2"/>
  <c r="R895" i="2"/>
  <c r="Q895" i="2"/>
  <c r="O895" i="2"/>
  <c r="E895" i="2"/>
  <c r="D895" i="2"/>
  <c r="C895" i="2"/>
  <c r="B895" i="2"/>
  <c r="S894" i="2"/>
  <c r="R894" i="2"/>
  <c r="Q894" i="2"/>
  <c r="O894" i="2"/>
  <c r="E894" i="2"/>
  <c r="D894" i="2"/>
  <c r="C894" i="2"/>
  <c r="B894" i="2"/>
  <c r="S893" i="2"/>
  <c r="R893" i="2"/>
  <c r="Q893" i="2"/>
  <c r="O893" i="2"/>
  <c r="E893" i="2"/>
  <c r="D893" i="2"/>
  <c r="C893" i="2"/>
  <c r="B893" i="2"/>
  <c r="S892" i="2"/>
  <c r="R892" i="2"/>
  <c r="Q892" i="2"/>
  <c r="O892" i="2"/>
  <c r="E892" i="2"/>
  <c r="D892" i="2"/>
  <c r="C892" i="2"/>
  <c r="B892" i="2"/>
  <c r="S891" i="2"/>
  <c r="R891" i="2"/>
  <c r="Q891" i="2"/>
  <c r="O891" i="2"/>
  <c r="E891" i="2"/>
  <c r="D891" i="2"/>
  <c r="C891" i="2"/>
  <c r="B891" i="2"/>
  <c r="S890" i="2"/>
  <c r="R890" i="2"/>
  <c r="Q890" i="2"/>
  <c r="O890" i="2"/>
  <c r="E890" i="2"/>
  <c r="D890" i="2"/>
  <c r="C890" i="2"/>
  <c r="B890" i="2"/>
  <c r="S889" i="2"/>
  <c r="R889" i="2"/>
  <c r="Q889" i="2"/>
  <c r="O889" i="2"/>
  <c r="E889" i="2"/>
  <c r="D889" i="2"/>
  <c r="C889" i="2"/>
  <c r="B889" i="2"/>
  <c r="S888" i="2"/>
  <c r="R888" i="2"/>
  <c r="Q888" i="2"/>
  <c r="O888" i="2"/>
  <c r="E888" i="2"/>
  <c r="D888" i="2"/>
  <c r="C888" i="2"/>
  <c r="B888" i="2"/>
  <c r="S887" i="2"/>
  <c r="R887" i="2"/>
  <c r="Q887" i="2"/>
  <c r="O887" i="2"/>
  <c r="E887" i="2"/>
  <c r="D887" i="2"/>
  <c r="C887" i="2"/>
  <c r="B887" i="2"/>
  <c r="S886" i="2"/>
  <c r="R886" i="2"/>
  <c r="Q886" i="2"/>
  <c r="O886" i="2"/>
  <c r="E886" i="2"/>
  <c r="D886" i="2"/>
  <c r="C886" i="2"/>
  <c r="B886" i="2"/>
  <c r="S885" i="2"/>
  <c r="R885" i="2"/>
  <c r="Q885" i="2"/>
  <c r="O885" i="2"/>
  <c r="E885" i="2"/>
  <c r="D885" i="2"/>
  <c r="C885" i="2"/>
  <c r="B885" i="2"/>
  <c r="S884" i="2"/>
  <c r="R884" i="2"/>
  <c r="Q884" i="2"/>
  <c r="O884" i="2"/>
  <c r="E884" i="2"/>
  <c r="D884" i="2"/>
  <c r="C884" i="2"/>
  <c r="B884" i="2"/>
  <c r="S883" i="2"/>
  <c r="R883" i="2"/>
  <c r="Q883" i="2"/>
  <c r="O883" i="2"/>
  <c r="E883" i="2"/>
  <c r="D883" i="2"/>
  <c r="C883" i="2"/>
  <c r="B883" i="2"/>
  <c r="S882" i="2"/>
  <c r="R882" i="2"/>
  <c r="Q882" i="2"/>
  <c r="O882" i="2"/>
  <c r="E882" i="2"/>
  <c r="D882" i="2"/>
  <c r="C882" i="2"/>
  <c r="B882" i="2"/>
  <c r="S881" i="2"/>
  <c r="R881" i="2"/>
  <c r="Q881" i="2"/>
  <c r="O881" i="2"/>
  <c r="E881" i="2"/>
  <c r="D881" i="2"/>
  <c r="C881" i="2"/>
  <c r="B881" i="2"/>
  <c r="S880" i="2"/>
  <c r="R880" i="2"/>
  <c r="Q880" i="2"/>
  <c r="O880" i="2"/>
  <c r="E880" i="2"/>
  <c r="D880" i="2"/>
  <c r="C880" i="2"/>
  <c r="B880" i="2"/>
  <c r="S879" i="2"/>
  <c r="R879" i="2"/>
  <c r="Q879" i="2"/>
  <c r="O879" i="2"/>
  <c r="E879" i="2"/>
  <c r="D879" i="2"/>
  <c r="C879" i="2"/>
  <c r="B879" i="2"/>
  <c r="S878" i="2"/>
  <c r="R878" i="2"/>
  <c r="Q878" i="2"/>
  <c r="O878" i="2"/>
  <c r="E878" i="2"/>
  <c r="D878" i="2"/>
  <c r="C878" i="2"/>
  <c r="B878" i="2"/>
  <c r="S877" i="2"/>
  <c r="R877" i="2"/>
  <c r="Q877" i="2"/>
  <c r="O877" i="2"/>
  <c r="E877" i="2"/>
  <c r="D877" i="2"/>
  <c r="C877" i="2"/>
  <c r="B877" i="2"/>
  <c r="S876" i="2"/>
  <c r="R876" i="2"/>
  <c r="Q876" i="2"/>
  <c r="O876" i="2"/>
  <c r="E876" i="2"/>
  <c r="D876" i="2"/>
  <c r="C876" i="2"/>
  <c r="B876" i="2"/>
  <c r="S875" i="2"/>
  <c r="R875" i="2"/>
  <c r="Q875" i="2"/>
  <c r="O875" i="2"/>
  <c r="E875" i="2"/>
  <c r="D875" i="2"/>
  <c r="C875" i="2"/>
  <c r="B875" i="2"/>
  <c r="S874" i="2"/>
  <c r="R874" i="2"/>
  <c r="Q874" i="2"/>
  <c r="O874" i="2"/>
  <c r="E874" i="2"/>
  <c r="D874" i="2"/>
  <c r="C874" i="2"/>
  <c r="B874" i="2"/>
  <c r="S873" i="2"/>
  <c r="R873" i="2"/>
  <c r="Q873" i="2"/>
  <c r="O873" i="2"/>
  <c r="E873" i="2"/>
  <c r="D873" i="2"/>
  <c r="C873" i="2"/>
  <c r="B873" i="2"/>
  <c r="S872" i="2"/>
  <c r="R872" i="2"/>
  <c r="Q872" i="2"/>
  <c r="O872" i="2"/>
  <c r="E872" i="2"/>
  <c r="D872" i="2"/>
  <c r="C872" i="2"/>
  <c r="B872" i="2"/>
  <c r="S871" i="2"/>
  <c r="R871" i="2"/>
  <c r="Q871" i="2"/>
  <c r="O871" i="2"/>
  <c r="E871" i="2"/>
  <c r="D871" i="2"/>
  <c r="C871" i="2"/>
  <c r="B871" i="2"/>
  <c r="S870" i="2"/>
  <c r="R870" i="2"/>
  <c r="Q870" i="2"/>
  <c r="O870" i="2"/>
  <c r="E870" i="2"/>
  <c r="D870" i="2"/>
  <c r="C870" i="2"/>
  <c r="B870" i="2"/>
  <c r="S869" i="2"/>
  <c r="R869" i="2"/>
  <c r="Q869" i="2"/>
  <c r="O869" i="2"/>
  <c r="E869" i="2"/>
  <c r="D869" i="2"/>
  <c r="C869" i="2"/>
  <c r="B869" i="2"/>
  <c r="S868" i="2"/>
  <c r="R868" i="2"/>
  <c r="Q868" i="2"/>
  <c r="O868" i="2"/>
  <c r="E868" i="2"/>
  <c r="D868" i="2"/>
  <c r="C868" i="2"/>
  <c r="B868" i="2"/>
  <c r="S867" i="2"/>
  <c r="R867" i="2"/>
  <c r="Q867" i="2"/>
  <c r="O867" i="2"/>
  <c r="E867" i="2"/>
  <c r="D867" i="2"/>
  <c r="C867" i="2"/>
  <c r="B867" i="2"/>
  <c r="S866" i="2"/>
  <c r="R866" i="2"/>
  <c r="Q866" i="2"/>
  <c r="O866" i="2"/>
  <c r="E866" i="2"/>
  <c r="D866" i="2"/>
  <c r="C866" i="2"/>
  <c r="B866" i="2"/>
  <c r="S865" i="2"/>
  <c r="R865" i="2"/>
  <c r="Q865" i="2"/>
  <c r="O865" i="2"/>
  <c r="E865" i="2"/>
  <c r="D865" i="2"/>
  <c r="C865" i="2"/>
  <c r="B865" i="2"/>
  <c r="S864" i="2"/>
  <c r="R864" i="2"/>
  <c r="Q864" i="2"/>
  <c r="O864" i="2"/>
  <c r="E864" i="2"/>
  <c r="D864" i="2"/>
  <c r="C864" i="2"/>
  <c r="B864" i="2"/>
  <c r="S863" i="2"/>
  <c r="R863" i="2"/>
  <c r="Q863" i="2"/>
  <c r="O863" i="2"/>
  <c r="E863" i="2"/>
  <c r="D863" i="2"/>
  <c r="C863" i="2"/>
  <c r="B863" i="2"/>
  <c r="S862" i="2"/>
  <c r="R862" i="2"/>
  <c r="Q862" i="2"/>
  <c r="O862" i="2"/>
  <c r="E862" i="2"/>
  <c r="D862" i="2"/>
  <c r="C862" i="2"/>
  <c r="B862" i="2"/>
  <c r="S861" i="2"/>
  <c r="R861" i="2"/>
  <c r="Q861" i="2"/>
  <c r="O861" i="2"/>
  <c r="E861" i="2"/>
  <c r="D861" i="2"/>
  <c r="C861" i="2"/>
  <c r="B861" i="2"/>
  <c r="S860" i="2"/>
  <c r="R860" i="2"/>
  <c r="Q860" i="2"/>
  <c r="O860" i="2"/>
  <c r="E860" i="2"/>
  <c r="D860" i="2"/>
  <c r="C860" i="2"/>
  <c r="B860" i="2"/>
  <c r="S859" i="2"/>
  <c r="R859" i="2"/>
  <c r="Q859" i="2"/>
  <c r="O859" i="2"/>
  <c r="E859" i="2"/>
  <c r="D859" i="2"/>
  <c r="C859" i="2"/>
  <c r="B859" i="2"/>
  <c r="S858" i="2"/>
  <c r="R858" i="2"/>
  <c r="Q858" i="2"/>
  <c r="O858" i="2"/>
  <c r="E858" i="2"/>
  <c r="D858" i="2"/>
  <c r="C858" i="2"/>
  <c r="B858" i="2"/>
  <c r="S857" i="2"/>
  <c r="R857" i="2"/>
  <c r="Q857" i="2"/>
  <c r="O857" i="2"/>
  <c r="E857" i="2"/>
  <c r="D857" i="2"/>
  <c r="C857" i="2"/>
  <c r="B857" i="2"/>
  <c r="S856" i="2"/>
  <c r="R856" i="2"/>
  <c r="Q856" i="2"/>
  <c r="O856" i="2"/>
  <c r="E856" i="2"/>
  <c r="D856" i="2"/>
  <c r="C856" i="2"/>
  <c r="B856" i="2"/>
  <c r="S855" i="2"/>
  <c r="R855" i="2"/>
  <c r="Q855" i="2"/>
  <c r="O855" i="2"/>
  <c r="E855" i="2"/>
  <c r="D855" i="2"/>
  <c r="C855" i="2"/>
  <c r="B855" i="2"/>
  <c r="S854" i="2"/>
  <c r="R854" i="2"/>
  <c r="Q854" i="2"/>
  <c r="O854" i="2"/>
  <c r="E854" i="2"/>
  <c r="D854" i="2"/>
  <c r="C854" i="2"/>
  <c r="B854" i="2"/>
  <c r="S853" i="2"/>
  <c r="R853" i="2"/>
  <c r="Q853" i="2"/>
  <c r="O853" i="2"/>
  <c r="E853" i="2"/>
  <c r="D853" i="2"/>
  <c r="C853" i="2"/>
  <c r="B853" i="2"/>
  <c r="S852" i="2"/>
  <c r="R852" i="2"/>
  <c r="Q852" i="2"/>
  <c r="O852" i="2"/>
  <c r="E852" i="2"/>
  <c r="D852" i="2"/>
  <c r="C852" i="2"/>
  <c r="B852" i="2"/>
  <c r="S851" i="2"/>
  <c r="R851" i="2"/>
  <c r="Q851" i="2"/>
  <c r="O851" i="2"/>
  <c r="E851" i="2"/>
  <c r="D851" i="2"/>
  <c r="C851" i="2"/>
  <c r="B851" i="2"/>
  <c r="S850" i="2"/>
  <c r="R850" i="2"/>
  <c r="Q850" i="2"/>
  <c r="O850" i="2"/>
  <c r="E850" i="2"/>
  <c r="D850" i="2"/>
  <c r="C850" i="2"/>
  <c r="B850" i="2"/>
  <c r="S849" i="2"/>
  <c r="R849" i="2"/>
  <c r="Q849" i="2"/>
  <c r="O849" i="2"/>
  <c r="E849" i="2"/>
  <c r="D849" i="2"/>
  <c r="C849" i="2"/>
  <c r="B849" i="2"/>
  <c r="S848" i="2"/>
  <c r="R848" i="2"/>
  <c r="Q848" i="2"/>
  <c r="O848" i="2"/>
  <c r="E848" i="2"/>
  <c r="D848" i="2"/>
  <c r="C848" i="2"/>
  <c r="B848" i="2"/>
  <c r="S847" i="2"/>
  <c r="R847" i="2"/>
  <c r="Q847" i="2"/>
  <c r="O847" i="2"/>
  <c r="E847" i="2"/>
  <c r="D847" i="2"/>
  <c r="C847" i="2"/>
  <c r="B847" i="2"/>
  <c r="S846" i="2"/>
  <c r="R846" i="2"/>
  <c r="Q846" i="2"/>
  <c r="O846" i="2"/>
  <c r="E846" i="2"/>
  <c r="D846" i="2"/>
  <c r="C846" i="2"/>
  <c r="B846" i="2"/>
  <c r="S845" i="2"/>
  <c r="R845" i="2"/>
  <c r="Q845" i="2"/>
  <c r="O845" i="2"/>
  <c r="E845" i="2"/>
  <c r="D845" i="2"/>
  <c r="C845" i="2"/>
  <c r="B845" i="2"/>
  <c r="S844" i="2"/>
  <c r="R844" i="2"/>
  <c r="Q844" i="2"/>
  <c r="O844" i="2"/>
  <c r="E844" i="2"/>
  <c r="D844" i="2"/>
  <c r="C844" i="2"/>
  <c r="B844" i="2"/>
  <c r="S843" i="2"/>
  <c r="R843" i="2"/>
  <c r="Q843" i="2"/>
  <c r="O843" i="2"/>
  <c r="E843" i="2"/>
  <c r="D843" i="2"/>
  <c r="C843" i="2"/>
  <c r="B843" i="2"/>
  <c r="S842" i="2"/>
  <c r="R842" i="2"/>
  <c r="Q842" i="2"/>
  <c r="O842" i="2"/>
  <c r="E842" i="2"/>
  <c r="D842" i="2"/>
  <c r="C842" i="2"/>
  <c r="B842" i="2"/>
  <c r="S841" i="2"/>
  <c r="R841" i="2"/>
  <c r="Q841" i="2"/>
  <c r="O841" i="2"/>
  <c r="E841" i="2"/>
  <c r="D841" i="2"/>
  <c r="C841" i="2"/>
  <c r="B841" i="2"/>
  <c r="S840" i="2"/>
  <c r="R840" i="2"/>
  <c r="Q840" i="2"/>
  <c r="O840" i="2"/>
  <c r="E840" i="2"/>
  <c r="D840" i="2"/>
  <c r="C840" i="2"/>
  <c r="B840" i="2"/>
  <c r="S839" i="2"/>
  <c r="R839" i="2"/>
  <c r="Q839" i="2"/>
  <c r="O839" i="2"/>
  <c r="E839" i="2"/>
  <c r="D839" i="2"/>
  <c r="C839" i="2"/>
  <c r="B839" i="2"/>
  <c r="S838" i="2"/>
  <c r="R838" i="2"/>
  <c r="Q838" i="2"/>
  <c r="O838" i="2"/>
  <c r="E838" i="2"/>
  <c r="D838" i="2"/>
  <c r="C838" i="2"/>
  <c r="B838" i="2"/>
  <c r="S837" i="2"/>
  <c r="R837" i="2"/>
  <c r="Q837" i="2"/>
  <c r="O837" i="2"/>
  <c r="E837" i="2"/>
  <c r="D837" i="2"/>
  <c r="C837" i="2"/>
  <c r="B837" i="2"/>
  <c r="S836" i="2"/>
  <c r="R836" i="2"/>
  <c r="Q836" i="2"/>
  <c r="O836" i="2"/>
  <c r="E836" i="2"/>
  <c r="D836" i="2"/>
  <c r="C836" i="2"/>
  <c r="B836" i="2"/>
  <c r="S835" i="2"/>
  <c r="R835" i="2"/>
  <c r="Q835" i="2"/>
  <c r="O835" i="2"/>
  <c r="E835" i="2"/>
  <c r="D835" i="2"/>
  <c r="C835" i="2"/>
  <c r="B835" i="2"/>
  <c r="S834" i="2"/>
  <c r="R834" i="2"/>
  <c r="Q834" i="2"/>
  <c r="O834" i="2"/>
  <c r="E834" i="2"/>
  <c r="D834" i="2"/>
  <c r="C834" i="2"/>
  <c r="B834" i="2"/>
  <c r="S833" i="2"/>
  <c r="R833" i="2"/>
  <c r="Q833" i="2"/>
  <c r="O833" i="2"/>
  <c r="E833" i="2"/>
  <c r="D833" i="2"/>
  <c r="C833" i="2"/>
  <c r="B833" i="2"/>
  <c r="S832" i="2"/>
  <c r="R832" i="2"/>
  <c r="Q832" i="2"/>
  <c r="O832" i="2"/>
  <c r="E832" i="2"/>
  <c r="D832" i="2"/>
  <c r="C832" i="2"/>
  <c r="B832" i="2"/>
  <c r="S831" i="2"/>
  <c r="R831" i="2"/>
  <c r="Q831" i="2"/>
  <c r="O831" i="2"/>
  <c r="E831" i="2"/>
  <c r="D831" i="2"/>
  <c r="C831" i="2"/>
  <c r="B831" i="2"/>
  <c r="S830" i="2"/>
  <c r="R830" i="2"/>
  <c r="Q830" i="2"/>
  <c r="O830" i="2"/>
  <c r="E830" i="2"/>
  <c r="D830" i="2"/>
  <c r="C830" i="2"/>
  <c r="B830" i="2"/>
  <c r="S829" i="2"/>
  <c r="R829" i="2"/>
  <c r="Q829" i="2"/>
  <c r="O829" i="2"/>
  <c r="E829" i="2"/>
  <c r="D829" i="2"/>
  <c r="C829" i="2"/>
  <c r="B829" i="2"/>
  <c r="S828" i="2"/>
  <c r="R828" i="2"/>
  <c r="Q828" i="2"/>
  <c r="O828" i="2"/>
  <c r="E828" i="2"/>
  <c r="D828" i="2"/>
  <c r="C828" i="2"/>
  <c r="B828" i="2"/>
  <c r="S827" i="2"/>
  <c r="R827" i="2"/>
  <c r="Q827" i="2"/>
  <c r="O827" i="2"/>
  <c r="E827" i="2"/>
  <c r="D827" i="2"/>
  <c r="C827" i="2"/>
  <c r="B827" i="2"/>
  <c r="S826" i="2"/>
  <c r="R826" i="2"/>
  <c r="Q826" i="2"/>
  <c r="O826" i="2"/>
  <c r="E826" i="2"/>
  <c r="D826" i="2"/>
  <c r="C826" i="2"/>
  <c r="B826" i="2"/>
  <c r="S825" i="2"/>
  <c r="R825" i="2"/>
  <c r="Q825" i="2"/>
  <c r="O825" i="2"/>
  <c r="E825" i="2"/>
  <c r="D825" i="2"/>
  <c r="C825" i="2"/>
  <c r="B825" i="2"/>
  <c r="S824" i="2"/>
  <c r="R824" i="2"/>
  <c r="Q824" i="2"/>
  <c r="O824" i="2"/>
  <c r="E824" i="2"/>
  <c r="D824" i="2"/>
  <c r="C824" i="2"/>
  <c r="B824" i="2"/>
  <c r="S823" i="2"/>
  <c r="R823" i="2"/>
  <c r="Q823" i="2"/>
  <c r="O823" i="2"/>
  <c r="E823" i="2"/>
  <c r="D823" i="2"/>
  <c r="C823" i="2"/>
  <c r="B823" i="2"/>
  <c r="S822" i="2"/>
  <c r="R822" i="2"/>
  <c r="Q822" i="2"/>
  <c r="O822" i="2"/>
  <c r="E822" i="2"/>
  <c r="D822" i="2"/>
  <c r="C822" i="2"/>
  <c r="B822" i="2"/>
  <c r="S821" i="2"/>
  <c r="R821" i="2"/>
  <c r="Q821" i="2"/>
  <c r="O821" i="2"/>
  <c r="E821" i="2"/>
  <c r="D821" i="2"/>
  <c r="C821" i="2"/>
  <c r="B821" i="2"/>
  <c r="S820" i="2"/>
  <c r="R820" i="2"/>
  <c r="Q820" i="2"/>
  <c r="O820" i="2"/>
  <c r="E820" i="2"/>
  <c r="D820" i="2"/>
  <c r="C820" i="2"/>
  <c r="B820" i="2"/>
  <c r="S819" i="2"/>
  <c r="R819" i="2"/>
  <c r="Q819" i="2"/>
  <c r="O819" i="2"/>
  <c r="E819" i="2"/>
  <c r="D819" i="2"/>
  <c r="C819" i="2"/>
  <c r="B819" i="2"/>
  <c r="S818" i="2"/>
  <c r="R818" i="2"/>
  <c r="Q818" i="2"/>
  <c r="O818" i="2"/>
  <c r="E818" i="2"/>
  <c r="D818" i="2"/>
  <c r="C818" i="2"/>
  <c r="B818" i="2"/>
  <c r="S817" i="2"/>
  <c r="R817" i="2"/>
  <c r="Q817" i="2"/>
  <c r="O817" i="2"/>
  <c r="E817" i="2"/>
  <c r="D817" i="2"/>
  <c r="C817" i="2"/>
  <c r="B817" i="2"/>
  <c r="S816" i="2"/>
  <c r="R816" i="2"/>
  <c r="Q816" i="2"/>
  <c r="O816" i="2"/>
  <c r="E816" i="2"/>
  <c r="D816" i="2"/>
  <c r="C816" i="2"/>
  <c r="B816" i="2"/>
  <c r="S815" i="2"/>
  <c r="R815" i="2"/>
  <c r="Q815" i="2"/>
  <c r="O815" i="2"/>
  <c r="E815" i="2"/>
  <c r="D815" i="2"/>
  <c r="C815" i="2"/>
  <c r="B815" i="2"/>
  <c r="S814" i="2"/>
  <c r="R814" i="2"/>
  <c r="Q814" i="2"/>
  <c r="O814" i="2"/>
  <c r="E814" i="2"/>
  <c r="D814" i="2"/>
  <c r="C814" i="2"/>
  <c r="B814" i="2"/>
  <c r="S813" i="2"/>
  <c r="R813" i="2"/>
  <c r="Q813" i="2"/>
  <c r="O813" i="2"/>
  <c r="E813" i="2"/>
  <c r="D813" i="2"/>
  <c r="C813" i="2"/>
  <c r="B813" i="2"/>
  <c r="S812" i="2"/>
  <c r="R812" i="2"/>
  <c r="Q812" i="2"/>
  <c r="O812" i="2"/>
  <c r="E812" i="2"/>
  <c r="D812" i="2"/>
  <c r="C812" i="2"/>
  <c r="B812" i="2"/>
  <c r="S811" i="2"/>
  <c r="R811" i="2"/>
  <c r="Q811" i="2"/>
  <c r="O811" i="2"/>
  <c r="E811" i="2"/>
  <c r="D811" i="2"/>
  <c r="C811" i="2"/>
  <c r="B811" i="2"/>
  <c r="S810" i="2"/>
  <c r="R810" i="2"/>
  <c r="Q810" i="2"/>
  <c r="O810" i="2"/>
  <c r="E810" i="2"/>
  <c r="D810" i="2"/>
  <c r="C810" i="2"/>
  <c r="B810" i="2"/>
  <c r="S809" i="2"/>
  <c r="R809" i="2"/>
  <c r="Q809" i="2"/>
  <c r="O809" i="2"/>
  <c r="E809" i="2"/>
  <c r="D809" i="2"/>
  <c r="C809" i="2"/>
  <c r="B809" i="2"/>
  <c r="S808" i="2"/>
  <c r="R808" i="2"/>
  <c r="Q808" i="2"/>
  <c r="O808" i="2"/>
  <c r="E808" i="2"/>
  <c r="D808" i="2"/>
  <c r="C808" i="2"/>
  <c r="B808" i="2"/>
  <c r="S807" i="2"/>
  <c r="R807" i="2"/>
  <c r="Q807" i="2"/>
  <c r="O807" i="2"/>
  <c r="E807" i="2"/>
  <c r="D807" i="2"/>
  <c r="C807" i="2"/>
  <c r="B807" i="2"/>
  <c r="S806" i="2"/>
  <c r="R806" i="2"/>
  <c r="Q806" i="2"/>
  <c r="O806" i="2"/>
  <c r="E806" i="2"/>
  <c r="D806" i="2"/>
  <c r="C806" i="2"/>
  <c r="B806" i="2"/>
  <c r="S805" i="2"/>
  <c r="R805" i="2"/>
  <c r="Q805" i="2"/>
  <c r="O805" i="2"/>
  <c r="E805" i="2"/>
  <c r="D805" i="2"/>
  <c r="C805" i="2"/>
  <c r="B805" i="2"/>
  <c r="S804" i="2"/>
  <c r="R804" i="2"/>
  <c r="Q804" i="2"/>
  <c r="O804" i="2"/>
  <c r="E804" i="2"/>
  <c r="D804" i="2"/>
  <c r="C804" i="2"/>
  <c r="B804" i="2"/>
  <c r="S803" i="2"/>
  <c r="R803" i="2"/>
  <c r="Q803" i="2"/>
  <c r="O803" i="2"/>
  <c r="E803" i="2"/>
  <c r="D803" i="2"/>
  <c r="C803" i="2"/>
  <c r="B803" i="2"/>
  <c r="S802" i="2"/>
  <c r="R802" i="2"/>
  <c r="Q802" i="2"/>
  <c r="O802" i="2"/>
  <c r="E802" i="2"/>
  <c r="D802" i="2"/>
  <c r="C802" i="2"/>
  <c r="B802" i="2"/>
  <c r="S801" i="2"/>
  <c r="R801" i="2"/>
  <c r="Q801" i="2"/>
  <c r="O801" i="2"/>
  <c r="E801" i="2"/>
  <c r="D801" i="2"/>
  <c r="C801" i="2"/>
  <c r="B801" i="2"/>
  <c r="S800" i="2"/>
  <c r="R800" i="2"/>
  <c r="Q800" i="2"/>
  <c r="O800" i="2"/>
  <c r="E800" i="2"/>
  <c r="D800" i="2"/>
  <c r="C800" i="2"/>
  <c r="B800" i="2"/>
  <c r="S799" i="2"/>
  <c r="R799" i="2"/>
  <c r="Q799" i="2"/>
  <c r="O799" i="2"/>
  <c r="E799" i="2"/>
  <c r="D799" i="2"/>
  <c r="C799" i="2"/>
  <c r="B799" i="2"/>
  <c r="S798" i="2"/>
  <c r="R798" i="2"/>
  <c r="Q798" i="2"/>
  <c r="O798" i="2"/>
  <c r="E798" i="2"/>
  <c r="D798" i="2"/>
  <c r="C798" i="2"/>
  <c r="B798" i="2"/>
  <c r="S797" i="2"/>
  <c r="R797" i="2"/>
  <c r="Q797" i="2"/>
  <c r="O797" i="2"/>
  <c r="E797" i="2"/>
  <c r="D797" i="2"/>
  <c r="C797" i="2"/>
  <c r="B797" i="2"/>
  <c r="S796" i="2"/>
  <c r="R796" i="2"/>
  <c r="Q796" i="2"/>
  <c r="O796" i="2"/>
  <c r="E796" i="2"/>
  <c r="D796" i="2"/>
  <c r="C796" i="2"/>
  <c r="B796" i="2"/>
  <c r="S795" i="2"/>
  <c r="R795" i="2"/>
  <c r="Q795" i="2"/>
  <c r="O795" i="2"/>
  <c r="E795" i="2"/>
  <c r="D795" i="2"/>
  <c r="C795" i="2"/>
  <c r="B795" i="2"/>
  <c r="S794" i="2"/>
  <c r="R794" i="2"/>
  <c r="Q794" i="2"/>
  <c r="O794" i="2"/>
  <c r="E794" i="2"/>
  <c r="D794" i="2"/>
  <c r="C794" i="2"/>
  <c r="B794" i="2"/>
  <c r="S793" i="2"/>
  <c r="R793" i="2"/>
  <c r="Q793" i="2"/>
  <c r="O793" i="2"/>
  <c r="E793" i="2"/>
  <c r="D793" i="2"/>
  <c r="C793" i="2"/>
  <c r="B793" i="2"/>
  <c r="S792" i="2"/>
  <c r="R792" i="2"/>
  <c r="Q792" i="2"/>
  <c r="O792" i="2"/>
  <c r="E792" i="2"/>
  <c r="D792" i="2"/>
  <c r="C792" i="2"/>
  <c r="B792" i="2"/>
  <c r="S791" i="2"/>
  <c r="R791" i="2"/>
  <c r="Q791" i="2"/>
  <c r="O791" i="2"/>
  <c r="E791" i="2"/>
  <c r="D791" i="2"/>
  <c r="C791" i="2"/>
  <c r="B791" i="2"/>
  <c r="S790" i="2"/>
  <c r="R790" i="2"/>
  <c r="Q790" i="2"/>
  <c r="O790" i="2"/>
  <c r="E790" i="2"/>
  <c r="D790" i="2"/>
  <c r="C790" i="2"/>
  <c r="B790" i="2"/>
  <c r="S789" i="2"/>
  <c r="R789" i="2"/>
  <c r="Q789" i="2"/>
  <c r="O789" i="2"/>
  <c r="E789" i="2"/>
  <c r="D789" i="2"/>
  <c r="C789" i="2"/>
  <c r="B789" i="2"/>
  <c r="S788" i="2"/>
  <c r="R788" i="2"/>
  <c r="Q788" i="2"/>
  <c r="O788" i="2"/>
  <c r="E788" i="2"/>
  <c r="D788" i="2"/>
  <c r="C788" i="2"/>
  <c r="B788" i="2"/>
  <c r="S787" i="2"/>
  <c r="R787" i="2"/>
  <c r="Q787" i="2"/>
  <c r="O787" i="2"/>
  <c r="E787" i="2"/>
  <c r="D787" i="2"/>
  <c r="C787" i="2"/>
  <c r="B787" i="2"/>
  <c r="S786" i="2"/>
  <c r="R786" i="2"/>
  <c r="Q786" i="2"/>
  <c r="O786" i="2"/>
  <c r="E786" i="2"/>
  <c r="D786" i="2"/>
  <c r="C786" i="2"/>
  <c r="B786" i="2"/>
  <c r="S785" i="2"/>
  <c r="R785" i="2"/>
  <c r="Q785" i="2"/>
  <c r="O785" i="2"/>
  <c r="E785" i="2"/>
  <c r="D785" i="2"/>
  <c r="C785" i="2"/>
  <c r="B785" i="2"/>
  <c r="S784" i="2"/>
  <c r="R784" i="2"/>
  <c r="Q784" i="2"/>
  <c r="O784" i="2"/>
  <c r="E784" i="2"/>
  <c r="D784" i="2"/>
  <c r="C784" i="2"/>
  <c r="B784" i="2"/>
  <c r="S783" i="2"/>
  <c r="R783" i="2"/>
  <c r="Q783" i="2"/>
  <c r="O783" i="2"/>
  <c r="E783" i="2"/>
  <c r="D783" i="2"/>
  <c r="C783" i="2"/>
  <c r="B783" i="2"/>
  <c r="S782" i="2"/>
  <c r="R782" i="2"/>
  <c r="Q782" i="2"/>
  <c r="O782" i="2"/>
  <c r="E782" i="2"/>
  <c r="D782" i="2"/>
  <c r="C782" i="2"/>
  <c r="B782" i="2"/>
  <c r="S781" i="2"/>
  <c r="R781" i="2"/>
  <c r="Q781" i="2"/>
  <c r="O781" i="2"/>
  <c r="E781" i="2"/>
  <c r="D781" i="2"/>
  <c r="C781" i="2"/>
  <c r="B781" i="2"/>
  <c r="S780" i="2"/>
  <c r="R780" i="2"/>
  <c r="Q780" i="2"/>
  <c r="O780" i="2"/>
  <c r="E780" i="2"/>
  <c r="D780" i="2"/>
  <c r="C780" i="2"/>
  <c r="B780" i="2"/>
  <c r="S779" i="2"/>
  <c r="R779" i="2"/>
  <c r="Q779" i="2"/>
  <c r="O779" i="2"/>
  <c r="E779" i="2"/>
  <c r="D779" i="2"/>
  <c r="C779" i="2"/>
  <c r="B779" i="2"/>
  <c r="S778" i="2"/>
  <c r="R778" i="2"/>
  <c r="Q778" i="2"/>
  <c r="O778" i="2"/>
  <c r="E778" i="2"/>
  <c r="D778" i="2"/>
  <c r="C778" i="2"/>
  <c r="B778" i="2"/>
  <c r="S777" i="2"/>
  <c r="R777" i="2"/>
  <c r="Q777" i="2"/>
  <c r="O777" i="2"/>
  <c r="E777" i="2"/>
  <c r="D777" i="2"/>
  <c r="C777" i="2"/>
  <c r="B777" i="2"/>
  <c r="S776" i="2"/>
  <c r="R776" i="2"/>
  <c r="Q776" i="2"/>
  <c r="O776" i="2"/>
  <c r="E776" i="2"/>
  <c r="D776" i="2"/>
  <c r="C776" i="2"/>
  <c r="B776" i="2"/>
  <c r="S775" i="2"/>
  <c r="R775" i="2"/>
  <c r="Q775" i="2"/>
  <c r="O775" i="2"/>
  <c r="E775" i="2"/>
  <c r="D775" i="2"/>
  <c r="C775" i="2"/>
  <c r="B775" i="2"/>
  <c r="S774" i="2"/>
  <c r="R774" i="2"/>
  <c r="Q774" i="2"/>
  <c r="O774" i="2"/>
  <c r="E774" i="2"/>
  <c r="D774" i="2"/>
  <c r="C774" i="2"/>
  <c r="B774" i="2"/>
  <c r="S773" i="2"/>
  <c r="R773" i="2"/>
  <c r="Q773" i="2"/>
  <c r="O773" i="2"/>
  <c r="E773" i="2"/>
  <c r="D773" i="2"/>
  <c r="C773" i="2"/>
  <c r="B773" i="2"/>
  <c r="S772" i="2"/>
  <c r="R772" i="2"/>
  <c r="Q772" i="2"/>
  <c r="O772" i="2"/>
  <c r="E772" i="2"/>
  <c r="D772" i="2"/>
  <c r="C772" i="2"/>
  <c r="B772" i="2"/>
  <c r="S771" i="2"/>
  <c r="R771" i="2"/>
  <c r="Q771" i="2"/>
  <c r="O771" i="2"/>
  <c r="E771" i="2"/>
  <c r="D771" i="2"/>
  <c r="C771" i="2"/>
  <c r="B771" i="2"/>
  <c r="S770" i="2"/>
  <c r="R770" i="2"/>
  <c r="Q770" i="2"/>
  <c r="O770" i="2"/>
  <c r="E770" i="2"/>
  <c r="D770" i="2"/>
  <c r="C770" i="2"/>
  <c r="B770" i="2"/>
  <c r="S769" i="2"/>
  <c r="R769" i="2"/>
  <c r="Q769" i="2"/>
  <c r="O769" i="2"/>
  <c r="E769" i="2"/>
  <c r="D769" i="2"/>
  <c r="C769" i="2"/>
  <c r="B769" i="2"/>
  <c r="S768" i="2"/>
  <c r="R768" i="2"/>
  <c r="Q768" i="2"/>
  <c r="O768" i="2"/>
  <c r="E768" i="2"/>
  <c r="D768" i="2"/>
  <c r="C768" i="2"/>
  <c r="B768" i="2"/>
  <c r="S767" i="2"/>
  <c r="R767" i="2"/>
  <c r="Q767" i="2"/>
  <c r="O767" i="2"/>
  <c r="E767" i="2"/>
  <c r="D767" i="2"/>
  <c r="C767" i="2"/>
  <c r="B767" i="2"/>
  <c r="S766" i="2"/>
  <c r="R766" i="2"/>
  <c r="Q766" i="2"/>
  <c r="O766" i="2"/>
  <c r="E766" i="2"/>
  <c r="D766" i="2"/>
  <c r="C766" i="2"/>
  <c r="B766" i="2"/>
  <c r="S765" i="2"/>
  <c r="R765" i="2"/>
  <c r="Q765" i="2"/>
  <c r="O765" i="2"/>
  <c r="E765" i="2"/>
  <c r="D765" i="2"/>
  <c r="C765" i="2"/>
  <c r="B765" i="2"/>
  <c r="S764" i="2"/>
  <c r="R764" i="2"/>
  <c r="Q764" i="2"/>
  <c r="O764" i="2"/>
  <c r="E764" i="2"/>
  <c r="D764" i="2"/>
  <c r="C764" i="2"/>
  <c r="B764" i="2"/>
  <c r="S763" i="2"/>
  <c r="R763" i="2"/>
  <c r="Q763" i="2"/>
  <c r="O763" i="2"/>
  <c r="E763" i="2"/>
  <c r="D763" i="2"/>
  <c r="C763" i="2"/>
  <c r="B763" i="2"/>
  <c r="S762" i="2"/>
  <c r="R762" i="2"/>
  <c r="Q762" i="2"/>
  <c r="O762" i="2"/>
  <c r="E762" i="2"/>
  <c r="D762" i="2"/>
  <c r="C762" i="2"/>
  <c r="B762" i="2"/>
  <c r="S761" i="2"/>
  <c r="R761" i="2"/>
  <c r="Q761" i="2"/>
  <c r="O761" i="2"/>
  <c r="E761" i="2"/>
  <c r="D761" i="2"/>
  <c r="C761" i="2"/>
  <c r="B761" i="2"/>
  <c r="S760" i="2"/>
  <c r="R760" i="2"/>
  <c r="Q760" i="2"/>
  <c r="O760" i="2"/>
  <c r="E760" i="2"/>
  <c r="D760" i="2"/>
  <c r="C760" i="2"/>
  <c r="B760" i="2"/>
  <c r="S759" i="2"/>
  <c r="R759" i="2"/>
  <c r="Q759" i="2"/>
  <c r="O759" i="2"/>
  <c r="E759" i="2"/>
  <c r="D759" i="2"/>
  <c r="C759" i="2"/>
  <c r="B759" i="2"/>
  <c r="S758" i="2"/>
  <c r="R758" i="2"/>
  <c r="Q758" i="2"/>
  <c r="O758" i="2"/>
  <c r="E758" i="2"/>
  <c r="D758" i="2"/>
  <c r="C758" i="2"/>
  <c r="B758" i="2"/>
  <c r="S757" i="2"/>
  <c r="R757" i="2"/>
  <c r="Q757" i="2"/>
  <c r="O757" i="2"/>
  <c r="E757" i="2"/>
  <c r="D757" i="2"/>
  <c r="C757" i="2"/>
  <c r="B757" i="2"/>
  <c r="S756" i="2"/>
  <c r="R756" i="2"/>
  <c r="Q756" i="2"/>
  <c r="O756" i="2"/>
  <c r="E756" i="2"/>
  <c r="D756" i="2"/>
  <c r="C756" i="2"/>
  <c r="B756" i="2"/>
  <c r="S755" i="2"/>
  <c r="R755" i="2"/>
  <c r="Q755" i="2"/>
  <c r="O755" i="2"/>
  <c r="E755" i="2"/>
  <c r="D755" i="2"/>
  <c r="C755" i="2"/>
  <c r="B755" i="2"/>
  <c r="S754" i="2"/>
  <c r="R754" i="2"/>
  <c r="Q754" i="2"/>
  <c r="O754" i="2"/>
  <c r="E754" i="2"/>
  <c r="D754" i="2"/>
  <c r="C754" i="2"/>
  <c r="B754" i="2"/>
  <c r="S753" i="2"/>
  <c r="R753" i="2"/>
  <c r="Q753" i="2"/>
  <c r="O753" i="2"/>
  <c r="E753" i="2"/>
  <c r="D753" i="2"/>
  <c r="C753" i="2"/>
  <c r="B753" i="2"/>
  <c r="S752" i="2"/>
  <c r="R752" i="2"/>
  <c r="Q752" i="2"/>
  <c r="O752" i="2"/>
  <c r="E752" i="2"/>
  <c r="D752" i="2"/>
  <c r="C752" i="2"/>
  <c r="B752" i="2"/>
  <c r="S751" i="2"/>
  <c r="R751" i="2"/>
  <c r="Q751" i="2"/>
  <c r="O751" i="2"/>
  <c r="E751" i="2"/>
  <c r="D751" i="2"/>
  <c r="C751" i="2"/>
  <c r="B751" i="2"/>
  <c r="S750" i="2"/>
  <c r="R750" i="2"/>
  <c r="Q750" i="2"/>
  <c r="O750" i="2"/>
  <c r="E750" i="2"/>
  <c r="D750" i="2"/>
  <c r="C750" i="2"/>
  <c r="B750" i="2"/>
  <c r="S749" i="2"/>
  <c r="R749" i="2"/>
  <c r="Q749" i="2"/>
  <c r="O749" i="2"/>
  <c r="E749" i="2"/>
  <c r="D749" i="2"/>
  <c r="C749" i="2"/>
  <c r="B749" i="2"/>
  <c r="S748" i="2"/>
  <c r="R748" i="2"/>
  <c r="Q748" i="2"/>
  <c r="O748" i="2"/>
  <c r="E748" i="2"/>
  <c r="D748" i="2"/>
  <c r="C748" i="2"/>
  <c r="B748" i="2"/>
  <c r="S747" i="2"/>
  <c r="R747" i="2"/>
  <c r="Q747" i="2"/>
  <c r="O747" i="2"/>
  <c r="E747" i="2"/>
  <c r="D747" i="2"/>
  <c r="C747" i="2"/>
  <c r="B747" i="2"/>
  <c r="S746" i="2"/>
  <c r="R746" i="2"/>
  <c r="Q746" i="2"/>
  <c r="O746" i="2"/>
  <c r="E746" i="2"/>
  <c r="D746" i="2"/>
  <c r="C746" i="2"/>
  <c r="B746" i="2"/>
  <c r="S745" i="2"/>
  <c r="R745" i="2"/>
  <c r="Q745" i="2"/>
  <c r="O745" i="2"/>
  <c r="E745" i="2"/>
  <c r="D745" i="2"/>
  <c r="C745" i="2"/>
  <c r="B745" i="2"/>
  <c r="S744" i="2"/>
  <c r="R744" i="2"/>
  <c r="Q744" i="2"/>
  <c r="O744" i="2"/>
  <c r="E744" i="2"/>
  <c r="D744" i="2"/>
  <c r="C744" i="2"/>
  <c r="B744" i="2"/>
  <c r="S743" i="2"/>
  <c r="R743" i="2"/>
  <c r="Q743" i="2"/>
  <c r="O743" i="2"/>
  <c r="E743" i="2"/>
  <c r="D743" i="2"/>
  <c r="C743" i="2"/>
  <c r="B743" i="2"/>
  <c r="S742" i="2"/>
  <c r="R742" i="2"/>
  <c r="Q742" i="2"/>
  <c r="O742" i="2"/>
  <c r="E742" i="2"/>
  <c r="D742" i="2"/>
  <c r="C742" i="2"/>
  <c r="B742" i="2"/>
  <c r="S741" i="2"/>
  <c r="R741" i="2"/>
  <c r="Q741" i="2"/>
  <c r="O741" i="2"/>
  <c r="E741" i="2"/>
  <c r="D741" i="2"/>
  <c r="C741" i="2"/>
  <c r="B741" i="2"/>
  <c r="S740" i="2"/>
  <c r="R740" i="2"/>
  <c r="Q740" i="2"/>
  <c r="O740" i="2"/>
  <c r="E740" i="2"/>
  <c r="D740" i="2"/>
  <c r="C740" i="2"/>
  <c r="B740" i="2"/>
  <c r="S739" i="2"/>
  <c r="R739" i="2"/>
  <c r="Q739" i="2"/>
  <c r="O739" i="2"/>
  <c r="E739" i="2"/>
  <c r="D739" i="2"/>
  <c r="C739" i="2"/>
  <c r="B739" i="2"/>
  <c r="S738" i="2"/>
  <c r="R738" i="2"/>
  <c r="Q738" i="2"/>
  <c r="O738" i="2"/>
  <c r="E738" i="2"/>
  <c r="D738" i="2"/>
  <c r="C738" i="2"/>
  <c r="B738" i="2"/>
  <c r="S737" i="2"/>
  <c r="R737" i="2"/>
  <c r="Q737" i="2"/>
  <c r="O737" i="2"/>
  <c r="E737" i="2"/>
  <c r="D737" i="2"/>
  <c r="C737" i="2"/>
  <c r="B737" i="2"/>
  <c r="S736" i="2"/>
  <c r="R736" i="2"/>
  <c r="Q736" i="2"/>
  <c r="O736" i="2"/>
  <c r="E736" i="2"/>
  <c r="D736" i="2"/>
  <c r="C736" i="2"/>
  <c r="B736" i="2"/>
  <c r="S735" i="2"/>
  <c r="R735" i="2"/>
  <c r="Q735" i="2"/>
  <c r="O735" i="2"/>
  <c r="E735" i="2"/>
  <c r="D735" i="2"/>
  <c r="C735" i="2"/>
  <c r="B735" i="2"/>
  <c r="S734" i="2"/>
  <c r="R734" i="2"/>
  <c r="Q734" i="2"/>
  <c r="O734" i="2"/>
  <c r="E734" i="2"/>
  <c r="D734" i="2"/>
  <c r="C734" i="2"/>
  <c r="B734" i="2"/>
  <c r="S733" i="2"/>
  <c r="R733" i="2"/>
  <c r="Q733" i="2"/>
  <c r="O733" i="2"/>
  <c r="E733" i="2"/>
  <c r="D733" i="2"/>
  <c r="C733" i="2"/>
  <c r="B733" i="2"/>
  <c r="S732" i="2"/>
  <c r="R732" i="2"/>
  <c r="Q732" i="2"/>
  <c r="O732" i="2"/>
  <c r="E732" i="2"/>
  <c r="D732" i="2"/>
  <c r="C732" i="2"/>
  <c r="B732" i="2"/>
  <c r="S731" i="2"/>
  <c r="R731" i="2"/>
  <c r="Q731" i="2"/>
  <c r="O731" i="2"/>
  <c r="E731" i="2"/>
  <c r="D731" i="2"/>
  <c r="C731" i="2"/>
  <c r="B731" i="2"/>
  <c r="S730" i="2"/>
  <c r="R730" i="2"/>
  <c r="Q730" i="2"/>
  <c r="O730" i="2"/>
  <c r="E730" i="2"/>
  <c r="D730" i="2"/>
  <c r="C730" i="2"/>
  <c r="B730" i="2"/>
  <c r="S729" i="2"/>
  <c r="R729" i="2"/>
  <c r="Q729" i="2"/>
  <c r="O729" i="2"/>
  <c r="E729" i="2"/>
  <c r="D729" i="2"/>
  <c r="C729" i="2"/>
  <c r="B729" i="2"/>
  <c r="S728" i="2"/>
  <c r="R728" i="2"/>
  <c r="Q728" i="2"/>
  <c r="O728" i="2"/>
  <c r="E728" i="2"/>
  <c r="D728" i="2"/>
  <c r="C728" i="2"/>
  <c r="B728" i="2"/>
  <c r="S727" i="2"/>
  <c r="R727" i="2"/>
  <c r="Q727" i="2"/>
  <c r="O727" i="2"/>
  <c r="E727" i="2"/>
  <c r="D727" i="2"/>
  <c r="C727" i="2"/>
  <c r="B727" i="2"/>
  <c r="S726" i="2"/>
  <c r="R726" i="2"/>
  <c r="Q726" i="2"/>
  <c r="O726" i="2"/>
  <c r="E726" i="2"/>
  <c r="D726" i="2"/>
  <c r="C726" i="2"/>
  <c r="B726" i="2"/>
  <c r="S725" i="2"/>
  <c r="R725" i="2"/>
  <c r="Q725" i="2"/>
  <c r="O725" i="2"/>
  <c r="E725" i="2"/>
  <c r="D725" i="2"/>
  <c r="C725" i="2"/>
  <c r="B725" i="2"/>
  <c r="S724" i="2"/>
  <c r="R724" i="2"/>
  <c r="Q724" i="2"/>
  <c r="O724" i="2"/>
  <c r="E724" i="2"/>
  <c r="D724" i="2"/>
  <c r="C724" i="2"/>
  <c r="B724" i="2"/>
  <c r="S723" i="2"/>
  <c r="R723" i="2"/>
  <c r="Q723" i="2"/>
  <c r="O723" i="2"/>
  <c r="E723" i="2"/>
  <c r="D723" i="2"/>
  <c r="C723" i="2"/>
  <c r="B723" i="2"/>
  <c r="S722" i="2"/>
  <c r="R722" i="2"/>
  <c r="Q722" i="2"/>
  <c r="O722" i="2"/>
  <c r="E722" i="2"/>
  <c r="D722" i="2"/>
  <c r="C722" i="2"/>
  <c r="B722" i="2"/>
  <c r="S721" i="2"/>
  <c r="R721" i="2"/>
  <c r="Q721" i="2"/>
  <c r="O721" i="2"/>
  <c r="E721" i="2"/>
  <c r="D721" i="2"/>
  <c r="C721" i="2"/>
  <c r="B721" i="2"/>
  <c r="S720" i="2"/>
  <c r="R720" i="2"/>
  <c r="Q720" i="2"/>
  <c r="O720" i="2"/>
  <c r="E720" i="2"/>
  <c r="D720" i="2"/>
  <c r="C720" i="2"/>
  <c r="B720" i="2"/>
  <c r="S719" i="2"/>
  <c r="R719" i="2"/>
  <c r="Q719" i="2"/>
  <c r="O719" i="2"/>
  <c r="E719" i="2"/>
  <c r="D719" i="2"/>
  <c r="C719" i="2"/>
  <c r="B719" i="2"/>
  <c r="S718" i="2"/>
  <c r="R718" i="2"/>
  <c r="Q718" i="2"/>
  <c r="O718" i="2"/>
  <c r="E718" i="2"/>
  <c r="D718" i="2"/>
  <c r="C718" i="2"/>
  <c r="B718" i="2"/>
  <c r="S717" i="2"/>
  <c r="R717" i="2"/>
  <c r="Q717" i="2"/>
  <c r="O717" i="2"/>
  <c r="E717" i="2"/>
  <c r="D717" i="2"/>
  <c r="C717" i="2"/>
  <c r="B717" i="2"/>
  <c r="S716" i="2"/>
  <c r="R716" i="2"/>
  <c r="Q716" i="2"/>
  <c r="O716" i="2"/>
  <c r="E716" i="2"/>
  <c r="D716" i="2"/>
  <c r="C716" i="2"/>
  <c r="B716" i="2"/>
  <c r="S715" i="2"/>
  <c r="R715" i="2"/>
  <c r="Q715" i="2"/>
  <c r="O715" i="2"/>
  <c r="E715" i="2"/>
  <c r="D715" i="2"/>
  <c r="C715" i="2"/>
  <c r="B715" i="2"/>
  <c r="S714" i="2"/>
  <c r="R714" i="2"/>
  <c r="Q714" i="2"/>
  <c r="O714" i="2"/>
  <c r="E714" i="2"/>
  <c r="D714" i="2"/>
  <c r="C714" i="2"/>
  <c r="B714" i="2"/>
  <c r="S713" i="2"/>
  <c r="R713" i="2"/>
  <c r="Q713" i="2"/>
  <c r="O713" i="2"/>
  <c r="E713" i="2"/>
  <c r="D713" i="2"/>
  <c r="C713" i="2"/>
  <c r="B713" i="2"/>
  <c r="S712" i="2"/>
  <c r="R712" i="2"/>
  <c r="Q712" i="2"/>
  <c r="O712" i="2"/>
  <c r="E712" i="2"/>
  <c r="D712" i="2"/>
  <c r="C712" i="2"/>
  <c r="B712" i="2"/>
  <c r="S711" i="2"/>
  <c r="R711" i="2"/>
  <c r="Q711" i="2"/>
  <c r="O711" i="2"/>
  <c r="E711" i="2"/>
  <c r="D711" i="2"/>
  <c r="C711" i="2"/>
  <c r="B711" i="2"/>
  <c r="S710" i="2"/>
  <c r="R710" i="2"/>
  <c r="Q710" i="2"/>
  <c r="O710" i="2"/>
  <c r="E710" i="2"/>
  <c r="D710" i="2"/>
  <c r="C710" i="2"/>
  <c r="B710" i="2"/>
  <c r="S709" i="2"/>
  <c r="R709" i="2"/>
  <c r="Q709" i="2"/>
  <c r="O709" i="2"/>
  <c r="E709" i="2"/>
  <c r="D709" i="2"/>
  <c r="C709" i="2"/>
  <c r="B709" i="2"/>
  <c r="S708" i="2"/>
  <c r="R708" i="2"/>
  <c r="Q708" i="2"/>
  <c r="O708" i="2"/>
  <c r="E708" i="2"/>
  <c r="D708" i="2"/>
  <c r="C708" i="2"/>
  <c r="B708" i="2"/>
  <c r="S707" i="2"/>
  <c r="R707" i="2"/>
  <c r="Q707" i="2"/>
  <c r="O707" i="2"/>
  <c r="E707" i="2"/>
  <c r="D707" i="2"/>
  <c r="C707" i="2"/>
  <c r="B707" i="2"/>
  <c r="S706" i="2"/>
  <c r="R706" i="2"/>
  <c r="Q706" i="2"/>
  <c r="O706" i="2"/>
  <c r="E706" i="2"/>
  <c r="D706" i="2"/>
  <c r="C706" i="2"/>
  <c r="B706" i="2"/>
  <c r="S705" i="2"/>
  <c r="R705" i="2"/>
  <c r="Q705" i="2"/>
  <c r="O705" i="2"/>
  <c r="E705" i="2"/>
  <c r="D705" i="2"/>
  <c r="C705" i="2"/>
  <c r="B705" i="2"/>
  <c r="S704" i="2"/>
  <c r="R704" i="2"/>
  <c r="Q704" i="2"/>
  <c r="O704" i="2"/>
  <c r="E704" i="2"/>
  <c r="D704" i="2"/>
  <c r="C704" i="2"/>
  <c r="B704" i="2"/>
  <c r="S703" i="2"/>
  <c r="R703" i="2"/>
  <c r="Q703" i="2"/>
  <c r="O703" i="2"/>
  <c r="E703" i="2"/>
  <c r="D703" i="2"/>
  <c r="C703" i="2"/>
  <c r="B703" i="2"/>
  <c r="S702" i="2"/>
  <c r="R702" i="2"/>
  <c r="Q702" i="2"/>
  <c r="O702" i="2"/>
  <c r="E702" i="2"/>
  <c r="D702" i="2"/>
  <c r="C702" i="2"/>
  <c r="B702" i="2"/>
  <c r="S701" i="2"/>
  <c r="R701" i="2"/>
  <c r="Q701" i="2"/>
  <c r="O701" i="2"/>
  <c r="E701" i="2"/>
  <c r="D701" i="2"/>
  <c r="C701" i="2"/>
  <c r="B701" i="2"/>
  <c r="S700" i="2"/>
  <c r="R700" i="2"/>
  <c r="Q700" i="2"/>
  <c r="O700" i="2"/>
  <c r="E700" i="2"/>
  <c r="D700" i="2"/>
  <c r="C700" i="2"/>
  <c r="B700" i="2"/>
  <c r="S699" i="2"/>
  <c r="R699" i="2"/>
  <c r="Q699" i="2"/>
  <c r="O699" i="2"/>
  <c r="E699" i="2"/>
  <c r="D699" i="2"/>
  <c r="C699" i="2"/>
  <c r="B699" i="2"/>
  <c r="S698" i="2"/>
  <c r="R698" i="2"/>
  <c r="Q698" i="2"/>
  <c r="O698" i="2"/>
  <c r="E698" i="2"/>
  <c r="D698" i="2"/>
  <c r="C698" i="2"/>
  <c r="B698" i="2"/>
  <c r="S697" i="2"/>
  <c r="R697" i="2"/>
  <c r="Q697" i="2"/>
  <c r="O697" i="2"/>
  <c r="E697" i="2"/>
  <c r="D697" i="2"/>
  <c r="C697" i="2"/>
  <c r="B697" i="2"/>
  <c r="S696" i="2"/>
  <c r="R696" i="2"/>
  <c r="Q696" i="2"/>
  <c r="O696" i="2"/>
  <c r="E696" i="2"/>
  <c r="D696" i="2"/>
  <c r="C696" i="2"/>
  <c r="B696" i="2"/>
  <c r="S695" i="2"/>
  <c r="R695" i="2"/>
  <c r="Q695" i="2"/>
  <c r="O695" i="2"/>
  <c r="E695" i="2"/>
  <c r="D695" i="2"/>
  <c r="C695" i="2"/>
  <c r="B695" i="2"/>
  <c r="S694" i="2"/>
  <c r="R694" i="2"/>
  <c r="Q694" i="2"/>
  <c r="O694" i="2"/>
  <c r="E694" i="2"/>
  <c r="D694" i="2"/>
  <c r="C694" i="2"/>
  <c r="B694" i="2"/>
  <c r="S693" i="2"/>
  <c r="R693" i="2"/>
  <c r="Q693" i="2"/>
  <c r="O693" i="2"/>
  <c r="E693" i="2"/>
  <c r="D693" i="2"/>
  <c r="C693" i="2"/>
  <c r="B693" i="2"/>
  <c r="S692" i="2"/>
  <c r="R692" i="2"/>
  <c r="Q692" i="2"/>
  <c r="O692" i="2"/>
  <c r="E692" i="2"/>
  <c r="D692" i="2"/>
  <c r="C692" i="2"/>
  <c r="B692" i="2"/>
  <c r="S691" i="2"/>
  <c r="R691" i="2"/>
  <c r="Q691" i="2"/>
  <c r="O691" i="2"/>
  <c r="E691" i="2"/>
  <c r="D691" i="2"/>
  <c r="C691" i="2"/>
  <c r="B691" i="2"/>
  <c r="S690" i="2"/>
  <c r="R690" i="2"/>
  <c r="Q690" i="2"/>
  <c r="O690" i="2"/>
  <c r="E690" i="2"/>
  <c r="D690" i="2"/>
  <c r="C690" i="2"/>
  <c r="B690" i="2"/>
  <c r="S689" i="2"/>
  <c r="R689" i="2"/>
  <c r="Q689" i="2"/>
  <c r="O689" i="2"/>
  <c r="E689" i="2"/>
  <c r="D689" i="2"/>
  <c r="C689" i="2"/>
  <c r="B689" i="2"/>
  <c r="S688" i="2"/>
  <c r="R688" i="2"/>
  <c r="Q688" i="2"/>
  <c r="O688" i="2"/>
  <c r="E688" i="2"/>
  <c r="D688" i="2"/>
  <c r="C688" i="2"/>
  <c r="B688" i="2"/>
  <c r="S687" i="2"/>
  <c r="R687" i="2"/>
  <c r="Q687" i="2"/>
  <c r="O687" i="2"/>
  <c r="E687" i="2"/>
  <c r="D687" i="2"/>
  <c r="C687" i="2"/>
  <c r="B687" i="2"/>
  <c r="S686" i="2"/>
  <c r="R686" i="2"/>
  <c r="Q686" i="2"/>
  <c r="O686" i="2"/>
  <c r="E686" i="2"/>
  <c r="D686" i="2"/>
  <c r="C686" i="2"/>
  <c r="B686" i="2"/>
  <c r="S685" i="2"/>
  <c r="R685" i="2"/>
  <c r="Q685" i="2"/>
  <c r="O685" i="2"/>
  <c r="E685" i="2"/>
  <c r="D685" i="2"/>
  <c r="C685" i="2"/>
  <c r="B685" i="2"/>
  <c r="S684" i="2"/>
  <c r="R684" i="2"/>
  <c r="Q684" i="2"/>
  <c r="O684" i="2"/>
  <c r="E684" i="2"/>
  <c r="D684" i="2"/>
  <c r="C684" i="2"/>
  <c r="B684" i="2"/>
  <c r="S683" i="2"/>
  <c r="R683" i="2"/>
  <c r="Q683" i="2"/>
  <c r="O683" i="2"/>
  <c r="E683" i="2"/>
  <c r="D683" i="2"/>
  <c r="C683" i="2"/>
  <c r="B683" i="2"/>
  <c r="S682" i="2"/>
  <c r="R682" i="2"/>
  <c r="Q682" i="2"/>
  <c r="O682" i="2"/>
  <c r="E682" i="2"/>
  <c r="D682" i="2"/>
  <c r="C682" i="2"/>
  <c r="B682" i="2"/>
  <c r="S681" i="2"/>
  <c r="R681" i="2"/>
  <c r="Q681" i="2"/>
  <c r="O681" i="2"/>
  <c r="E681" i="2"/>
  <c r="D681" i="2"/>
  <c r="C681" i="2"/>
  <c r="B681" i="2"/>
  <c r="S680" i="2"/>
  <c r="R680" i="2"/>
  <c r="Q680" i="2"/>
  <c r="O680" i="2"/>
  <c r="E680" i="2"/>
  <c r="D680" i="2"/>
  <c r="C680" i="2"/>
  <c r="B680" i="2"/>
  <c r="S679" i="2"/>
  <c r="R679" i="2"/>
  <c r="Q679" i="2"/>
  <c r="O679" i="2"/>
  <c r="E679" i="2"/>
  <c r="D679" i="2"/>
  <c r="C679" i="2"/>
  <c r="B679" i="2"/>
  <c r="S678" i="2"/>
  <c r="R678" i="2"/>
  <c r="Q678" i="2"/>
  <c r="O678" i="2"/>
  <c r="E678" i="2"/>
  <c r="D678" i="2"/>
  <c r="C678" i="2"/>
  <c r="B678" i="2"/>
  <c r="S677" i="2"/>
  <c r="R677" i="2"/>
  <c r="Q677" i="2"/>
  <c r="O677" i="2"/>
  <c r="E677" i="2"/>
  <c r="D677" i="2"/>
  <c r="C677" i="2"/>
  <c r="B677" i="2"/>
  <c r="S676" i="2"/>
  <c r="R676" i="2"/>
  <c r="Q676" i="2"/>
  <c r="O676" i="2"/>
  <c r="E676" i="2"/>
  <c r="D676" i="2"/>
  <c r="C676" i="2"/>
  <c r="B676" i="2"/>
  <c r="S675" i="2"/>
  <c r="R675" i="2"/>
  <c r="Q675" i="2"/>
  <c r="O675" i="2"/>
  <c r="E675" i="2"/>
  <c r="D675" i="2"/>
  <c r="C675" i="2"/>
  <c r="B675" i="2"/>
  <c r="S674" i="2"/>
  <c r="R674" i="2"/>
  <c r="Q674" i="2"/>
  <c r="O674" i="2"/>
  <c r="E674" i="2"/>
  <c r="D674" i="2"/>
  <c r="C674" i="2"/>
  <c r="B674" i="2"/>
  <c r="S673" i="2"/>
  <c r="R673" i="2"/>
  <c r="Q673" i="2"/>
  <c r="O673" i="2"/>
  <c r="E673" i="2"/>
  <c r="D673" i="2"/>
  <c r="C673" i="2"/>
  <c r="B673" i="2"/>
  <c r="S672" i="2"/>
  <c r="R672" i="2"/>
  <c r="Q672" i="2"/>
  <c r="O672" i="2"/>
  <c r="E672" i="2"/>
  <c r="D672" i="2"/>
  <c r="C672" i="2"/>
  <c r="B672" i="2"/>
  <c r="S671" i="2"/>
  <c r="R671" i="2"/>
  <c r="Q671" i="2"/>
  <c r="O671" i="2"/>
  <c r="E671" i="2"/>
  <c r="D671" i="2"/>
  <c r="C671" i="2"/>
  <c r="B671" i="2"/>
  <c r="S670" i="2"/>
  <c r="R670" i="2"/>
  <c r="Q670" i="2"/>
  <c r="O670" i="2"/>
  <c r="E670" i="2"/>
  <c r="D670" i="2"/>
  <c r="C670" i="2"/>
  <c r="B670" i="2"/>
  <c r="S669" i="2"/>
  <c r="R669" i="2"/>
  <c r="Q669" i="2"/>
  <c r="O669" i="2"/>
  <c r="E669" i="2"/>
  <c r="D669" i="2"/>
  <c r="C669" i="2"/>
  <c r="B669" i="2"/>
  <c r="S668" i="2"/>
  <c r="R668" i="2"/>
  <c r="Q668" i="2"/>
  <c r="O668" i="2"/>
  <c r="E668" i="2"/>
  <c r="D668" i="2"/>
  <c r="C668" i="2"/>
  <c r="B668" i="2"/>
  <c r="S667" i="2"/>
  <c r="R667" i="2"/>
  <c r="Q667" i="2"/>
  <c r="O667" i="2"/>
  <c r="E667" i="2"/>
  <c r="D667" i="2"/>
  <c r="C667" i="2"/>
  <c r="B667" i="2"/>
  <c r="S666" i="2"/>
  <c r="R666" i="2"/>
  <c r="Q666" i="2"/>
  <c r="O666" i="2"/>
  <c r="E666" i="2"/>
  <c r="D666" i="2"/>
  <c r="C666" i="2"/>
  <c r="B666" i="2"/>
  <c r="S665" i="2"/>
  <c r="R665" i="2"/>
  <c r="Q665" i="2"/>
  <c r="O665" i="2"/>
  <c r="E665" i="2"/>
  <c r="D665" i="2"/>
  <c r="C665" i="2"/>
  <c r="B665" i="2"/>
  <c r="S664" i="2"/>
  <c r="R664" i="2"/>
  <c r="Q664" i="2"/>
  <c r="O664" i="2"/>
  <c r="E664" i="2"/>
  <c r="D664" i="2"/>
  <c r="C664" i="2"/>
  <c r="B664" i="2"/>
  <c r="S663" i="2"/>
  <c r="R663" i="2"/>
  <c r="Q663" i="2"/>
  <c r="O663" i="2"/>
  <c r="E663" i="2"/>
  <c r="D663" i="2"/>
  <c r="C663" i="2"/>
  <c r="B663" i="2"/>
  <c r="S662" i="2"/>
  <c r="R662" i="2"/>
  <c r="Q662" i="2"/>
  <c r="O662" i="2"/>
  <c r="E662" i="2"/>
  <c r="D662" i="2"/>
  <c r="C662" i="2"/>
  <c r="B662" i="2"/>
  <c r="S661" i="2"/>
  <c r="R661" i="2"/>
  <c r="Q661" i="2"/>
  <c r="O661" i="2"/>
  <c r="E661" i="2"/>
  <c r="D661" i="2"/>
  <c r="C661" i="2"/>
  <c r="B661" i="2"/>
  <c r="S660" i="2"/>
  <c r="R660" i="2"/>
  <c r="Q660" i="2"/>
  <c r="O660" i="2"/>
  <c r="E660" i="2"/>
  <c r="D660" i="2"/>
  <c r="C660" i="2"/>
  <c r="B660" i="2"/>
  <c r="S659" i="2"/>
  <c r="R659" i="2"/>
  <c r="Q659" i="2"/>
  <c r="O659" i="2"/>
  <c r="E659" i="2"/>
  <c r="D659" i="2"/>
  <c r="C659" i="2"/>
  <c r="B659" i="2"/>
  <c r="S658" i="2"/>
  <c r="R658" i="2"/>
  <c r="Q658" i="2"/>
  <c r="O658" i="2"/>
  <c r="E658" i="2"/>
  <c r="D658" i="2"/>
  <c r="C658" i="2"/>
  <c r="B658" i="2"/>
  <c r="S657" i="2"/>
  <c r="R657" i="2"/>
  <c r="Q657" i="2"/>
  <c r="O657" i="2"/>
  <c r="E657" i="2"/>
  <c r="D657" i="2"/>
  <c r="C657" i="2"/>
  <c r="B657" i="2"/>
  <c r="S656" i="2"/>
  <c r="R656" i="2"/>
  <c r="Q656" i="2"/>
  <c r="O656" i="2"/>
  <c r="E656" i="2"/>
  <c r="D656" i="2"/>
  <c r="C656" i="2"/>
  <c r="B656" i="2"/>
  <c r="S655" i="2"/>
  <c r="R655" i="2"/>
  <c r="Q655" i="2"/>
  <c r="O655" i="2"/>
  <c r="E655" i="2"/>
  <c r="D655" i="2"/>
  <c r="C655" i="2"/>
  <c r="B655" i="2"/>
  <c r="S654" i="2"/>
  <c r="R654" i="2"/>
  <c r="Q654" i="2"/>
  <c r="O654" i="2"/>
  <c r="E654" i="2"/>
  <c r="D654" i="2"/>
  <c r="C654" i="2"/>
  <c r="B654" i="2"/>
  <c r="S653" i="2"/>
  <c r="R653" i="2"/>
  <c r="Q653" i="2"/>
  <c r="O653" i="2"/>
  <c r="E653" i="2"/>
  <c r="D653" i="2"/>
  <c r="C653" i="2"/>
  <c r="B653" i="2"/>
  <c r="S652" i="2"/>
  <c r="R652" i="2"/>
  <c r="Q652" i="2"/>
  <c r="O652" i="2"/>
  <c r="E652" i="2"/>
  <c r="D652" i="2"/>
  <c r="C652" i="2"/>
  <c r="B652" i="2"/>
  <c r="S651" i="2"/>
  <c r="R651" i="2"/>
  <c r="Q651" i="2"/>
  <c r="O651" i="2"/>
  <c r="E651" i="2"/>
  <c r="D651" i="2"/>
  <c r="C651" i="2"/>
  <c r="B651" i="2"/>
  <c r="S650" i="2"/>
  <c r="R650" i="2"/>
  <c r="Q650" i="2"/>
  <c r="O650" i="2"/>
  <c r="E650" i="2"/>
  <c r="D650" i="2"/>
  <c r="C650" i="2"/>
  <c r="B650" i="2"/>
  <c r="S649" i="2"/>
  <c r="R649" i="2"/>
  <c r="Q649" i="2"/>
  <c r="O649" i="2"/>
  <c r="E649" i="2"/>
  <c r="D649" i="2"/>
  <c r="C649" i="2"/>
  <c r="B649" i="2"/>
  <c r="S648" i="2"/>
  <c r="R648" i="2"/>
  <c r="Q648" i="2"/>
  <c r="O648" i="2"/>
  <c r="E648" i="2"/>
  <c r="D648" i="2"/>
  <c r="C648" i="2"/>
  <c r="B648" i="2"/>
  <c r="S647" i="2"/>
  <c r="R647" i="2"/>
  <c r="Q647" i="2"/>
  <c r="O647" i="2"/>
  <c r="E647" i="2"/>
  <c r="D647" i="2"/>
  <c r="C647" i="2"/>
  <c r="B647" i="2"/>
  <c r="S646" i="2"/>
  <c r="R646" i="2"/>
  <c r="Q646" i="2"/>
  <c r="O646" i="2"/>
  <c r="E646" i="2"/>
  <c r="D646" i="2"/>
  <c r="C646" i="2"/>
  <c r="B646" i="2"/>
  <c r="S645" i="2"/>
  <c r="R645" i="2"/>
  <c r="Q645" i="2"/>
  <c r="O645" i="2"/>
  <c r="E645" i="2"/>
  <c r="D645" i="2"/>
  <c r="C645" i="2"/>
  <c r="B645" i="2"/>
  <c r="S644" i="2"/>
  <c r="R644" i="2"/>
  <c r="Q644" i="2"/>
  <c r="O644" i="2"/>
  <c r="E644" i="2"/>
  <c r="D644" i="2"/>
  <c r="C644" i="2"/>
  <c r="B644" i="2"/>
  <c r="S643" i="2"/>
  <c r="R643" i="2"/>
  <c r="Q643" i="2"/>
  <c r="O643" i="2"/>
  <c r="E643" i="2"/>
  <c r="D643" i="2"/>
  <c r="C643" i="2"/>
  <c r="B643" i="2"/>
  <c r="S642" i="2"/>
  <c r="R642" i="2"/>
  <c r="Q642" i="2"/>
  <c r="O642" i="2"/>
  <c r="E642" i="2"/>
  <c r="D642" i="2"/>
  <c r="C642" i="2"/>
  <c r="B642" i="2"/>
  <c r="S641" i="2"/>
  <c r="R641" i="2"/>
  <c r="Q641" i="2"/>
  <c r="O641" i="2"/>
  <c r="E641" i="2"/>
  <c r="D641" i="2"/>
  <c r="C641" i="2"/>
  <c r="B641" i="2"/>
  <c r="S640" i="2"/>
  <c r="R640" i="2"/>
  <c r="Q640" i="2"/>
  <c r="O640" i="2"/>
  <c r="E640" i="2"/>
  <c r="D640" i="2"/>
  <c r="C640" i="2"/>
  <c r="B640" i="2"/>
  <c r="S639" i="2"/>
  <c r="R639" i="2"/>
  <c r="Q639" i="2"/>
  <c r="O639" i="2"/>
  <c r="E639" i="2"/>
  <c r="D639" i="2"/>
  <c r="C639" i="2"/>
  <c r="B639" i="2"/>
  <c r="S638" i="2"/>
  <c r="R638" i="2"/>
  <c r="Q638" i="2"/>
  <c r="O638" i="2"/>
  <c r="E638" i="2"/>
  <c r="D638" i="2"/>
  <c r="C638" i="2"/>
  <c r="B638" i="2"/>
  <c r="S637" i="2"/>
  <c r="R637" i="2"/>
  <c r="Q637" i="2"/>
  <c r="O637" i="2"/>
  <c r="E637" i="2"/>
  <c r="D637" i="2"/>
  <c r="C637" i="2"/>
  <c r="B637" i="2"/>
  <c r="S636" i="2"/>
  <c r="R636" i="2"/>
  <c r="Q636" i="2"/>
  <c r="O636" i="2"/>
  <c r="E636" i="2"/>
  <c r="D636" i="2"/>
  <c r="C636" i="2"/>
  <c r="B636" i="2"/>
  <c r="S635" i="2"/>
  <c r="R635" i="2"/>
  <c r="Q635" i="2"/>
  <c r="O635" i="2"/>
  <c r="E635" i="2"/>
  <c r="D635" i="2"/>
  <c r="C635" i="2"/>
  <c r="B635" i="2"/>
  <c r="S634" i="2"/>
  <c r="R634" i="2"/>
  <c r="Q634" i="2"/>
  <c r="O634" i="2"/>
  <c r="E634" i="2"/>
  <c r="D634" i="2"/>
  <c r="C634" i="2"/>
  <c r="B634" i="2"/>
  <c r="S633" i="2"/>
  <c r="R633" i="2"/>
  <c r="Q633" i="2"/>
  <c r="O633" i="2"/>
  <c r="E633" i="2"/>
  <c r="D633" i="2"/>
  <c r="C633" i="2"/>
  <c r="B633" i="2"/>
  <c r="S632" i="2"/>
  <c r="R632" i="2"/>
  <c r="Q632" i="2"/>
  <c r="O632" i="2"/>
  <c r="E632" i="2"/>
  <c r="D632" i="2"/>
  <c r="C632" i="2"/>
  <c r="B632" i="2"/>
  <c r="S631" i="2"/>
  <c r="R631" i="2"/>
  <c r="Q631" i="2"/>
  <c r="O631" i="2"/>
  <c r="E631" i="2"/>
  <c r="D631" i="2"/>
  <c r="C631" i="2"/>
  <c r="B631" i="2"/>
  <c r="S630" i="2"/>
  <c r="R630" i="2"/>
  <c r="Q630" i="2"/>
  <c r="O630" i="2"/>
  <c r="E630" i="2"/>
  <c r="D630" i="2"/>
  <c r="C630" i="2"/>
  <c r="B630" i="2"/>
  <c r="S629" i="2"/>
  <c r="R629" i="2"/>
  <c r="Q629" i="2"/>
  <c r="O629" i="2"/>
  <c r="E629" i="2"/>
  <c r="D629" i="2"/>
  <c r="C629" i="2"/>
  <c r="B629" i="2"/>
  <c r="S628" i="2"/>
  <c r="R628" i="2"/>
  <c r="Q628" i="2"/>
  <c r="O628" i="2"/>
  <c r="E628" i="2"/>
  <c r="D628" i="2"/>
  <c r="C628" i="2"/>
  <c r="B628" i="2"/>
  <c r="S627" i="2"/>
  <c r="R627" i="2"/>
  <c r="Q627" i="2"/>
  <c r="O627" i="2"/>
  <c r="E627" i="2"/>
  <c r="D627" i="2"/>
  <c r="C627" i="2"/>
  <c r="B627" i="2"/>
  <c r="S626" i="2"/>
  <c r="R626" i="2"/>
  <c r="Q626" i="2"/>
  <c r="O626" i="2"/>
  <c r="E626" i="2"/>
  <c r="D626" i="2"/>
  <c r="C626" i="2"/>
  <c r="B626" i="2"/>
  <c r="S625" i="2"/>
  <c r="R625" i="2"/>
  <c r="Q625" i="2"/>
  <c r="O625" i="2"/>
  <c r="E625" i="2"/>
  <c r="D625" i="2"/>
  <c r="C625" i="2"/>
  <c r="B625" i="2"/>
  <c r="S624" i="2"/>
  <c r="R624" i="2"/>
  <c r="Q624" i="2"/>
  <c r="O624" i="2"/>
  <c r="E624" i="2"/>
  <c r="D624" i="2"/>
  <c r="C624" i="2"/>
  <c r="B624" i="2"/>
  <c r="S623" i="2"/>
  <c r="R623" i="2"/>
  <c r="Q623" i="2"/>
  <c r="O623" i="2"/>
  <c r="E623" i="2"/>
  <c r="D623" i="2"/>
  <c r="C623" i="2"/>
  <c r="B623" i="2"/>
  <c r="S622" i="2"/>
  <c r="R622" i="2"/>
  <c r="Q622" i="2"/>
  <c r="O622" i="2"/>
  <c r="E622" i="2"/>
  <c r="D622" i="2"/>
  <c r="C622" i="2"/>
  <c r="B622" i="2"/>
  <c r="S621" i="2"/>
  <c r="R621" i="2"/>
  <c r="Q621" i="2"/>
  <c r="O621" i="2"/>
  <c r="E621" i="2"/>
  <c r="D621" i="2"/>
  <c r="C621" i="2"/>
  <c r="B621" i="2"/>
  <c r="S620" i="2"/>
  <c r="R620" i="2"/>
  <c r="Q620" i="2"/>
  <c r="O620" i="2"/>
  <c r="E620" i="2"/>
  <c r="D620" i="2"/>
  <c r="C620" i="2"/>
  <c r="B620" i="2"/>
  <c r="S619" i="2"/>
  <c r="R619" i="2"/>
  <c r="Q619" i="2"/>
  <c r="O619" i="2"/>
  <c r="E619" i="2"/>
  <c r="D619" i="2"/>
  <c r="C619" i="2"/>
  <c r="B619" i="2"/>
  <c r="S618" i="2"/>
  <c r="R618" i="2"/>
  <c r="Q618" i="2"/>
  <c r="O618" i="2"/>
  <c r="E618" i="2"/>
  <c r="D618" i="2"/>
  <c r="C618" i="2"/>
  <c r="B618" i="2"/>
  <c r="S617" i="2"/>
  <c r="R617" i="2"/>
  <c r="Q617" i="2"/>
  <c r="O617" i="2"/>
  <c r="E617" i="2"/>
  <c r="D617" i="2"/>
  <c r="C617" i="2"/>
  <c r="B617" i="2"/>
  <c r="S616" i="2"/>
  <c r="R616" i="2"/>
  <c r="Q616" i="2"/>
  <c r="O616" i="2"/>
  <c r="E616" i="2"/>
  <c r="D616" i="2"/>
  <c r="C616" i="2"/>
  <c r="B616" i="2"/>
  <c r="S615" i="2"/>
  <c r="R615" i="2"/>
  <c r="Q615" i="2"/>
  <c r="O615" i="2"/>
  <c r="E615" i="2"/>
  <c r="D615" i="2"/>
  <c r="C615" i="2"/>
  <c r="B615" i="2"/>
  <c r="S614" i="2"/>
  <c r="R614" i="2"/>
  <c r="Q614" i="2"/>
  <c r="O614" i="2"/>
  <c r="E614" i="2"/>
  <c r="D614" i="2"/>
  <c r="C614" i="2"/>
  <c r="B614" i="2"/>
  <c r="S613" i="2"/>
  <c r="R613" i="2"/>
  <c r="Q613" i="2"/>
  <c r="O613" i="2"/>
  <c r="E613" i="2"/>
  <c r="D613" i="2"/>
  <c r="C613" i="2"/>
  <c r="B613" i="2"/>
  <c r="S612" i="2"/>
  <c r="R612" i="2"/>
  <c r="Q612" i="2"/>
  <c r="O612" i="2"/>
  <c r="E612" i="2"/>
  <c r="D612" i="2"/>
  <c r="C612" i="2"/>
  <c r="B612" i="2"/>
  <c r="S611" i="2"/>
  <c r="R611" i="2"/>
  <c r="Q611" i="2"/>
  <c r="O611" i="2"/>
  <c r="E611" i="2"/>
  <c r="D611" i="2"/>
  <c r="C611" i="2"/>
  <c r="B611" i="2"/>
  <c r="S610" i="2"/>
  <c r="R610" i="2"/>
  <c r="Q610" i="2"/>
  <c r="O610" i="2"/>
  <c r="E610" i="2"/>
  <c r="D610" i="2"/>
  <c r="C610" i="2"/>
  <c r="B610" i="2"/>
  <c r="S609" i="2"/>
  <c r="R609" i="2"/>
  <c r="Q609" i="2"/>
  <c r="O609" i="2"/>
  <c r="E609" i="2"/>
  <c r="D609" i="2"/>
  <c r="C609" i="2"/>
  <c r="B609" i="2"/>
  <c r="S608" i="2"/>
  <c r="R608" i="2"/>
  <c r="Q608" i="2"/>
  <c r="O608" i="2"/>
  <c r="E608" i="2"/>
  <c r="D608" i="2"/>
  <c r="C608" i="2"/>
  <c r="B608" i="2"/>
  <c r="S607" i="2"/>
  <c r="R607" i="2"/>
  <c r="Q607" i="2"/>
  <c r="O607" i="2"/>
  <c r="E607" i="2"/>
  <c r="D607" i="2"/>
  <c r="C607" i="2"/>
  <c r="B607" i="2"/>
  <c r="S606" i="2"/>
  <c r="R606" i="2"/>
  <c r="Q606" i="2"/>
  <c r="O606" i="2"/>
  <c r="E606" i="2"/>
  <c r="D606" i="2"/>
  <c r="C606" i="2"/>
  <c r="B606" i="2"/>
  <c r="S605" i="2"/>
  <c r="R605" i="2"/>
  <c r="Q605" i="2"/>
  <c r="O605" i="2"/>
  <c r="E605" i="2"/>
  <c r="D605" i="2"/>
  <c r="C605" i="2"/>
  <c r="B605" i="2"/>
  <c r="S604" i="2"/>
  <c r="R604" i="2"/>
  <c r="Q604" i="2"/>
  <c r="O604" i="2"/>
  <c r="E604" i="2"/>
  <c r="D604" i="2"/>
  <c r="C604" i="2"/>
  <c r="B604" i="2"/>
  <c r="S603" i="2"/>
  <c r="R603" i="2"/>
  <c r="Q603" i="2"/>
  <c r="O603" i="2"/>
  <c r="E603" i="2"/>
  <c r="D603" i="2"/>
  <c r="C603" i="2"/>
  <c r="B603" i="2"/>
  <c r="S602" i="2"/>
  <c r="R602" i="2"/>
  <c r="Q602" i="2"/>
  <c r="O602" i="2"/>
  <c r="E602" i="2"/>
  <c r="D602" i="2"/>
  <c r="C602" i="2"/>
  <c r="B602" i="2"/>
  <c r="S601" i="2"/>
  <c r="R601" i="2"/>
  <c r="Q601" i="2"/>
  <c r="O601" i="2"/>
  <c r="E601" i="2"/>
  <c r="D601" i="2"/>
  <c r="C601" i="2"/>
  <c r="B601" i="2"/>
  <c r="S600" i="2"/>
  <c r="R600" i="2"/>
  <c r="Q600" i="2"/>
  <c r="O600" i="2"/>
  <c r="E600" i="2"/>
  <c r="D600" i="2"/>
  <c r="C600" i="2"/>
  <c r="B600" i="2"/>
  <c r="S599" i="2"/>
  <c r="R599" i="2"/>
  <c r="Q599" i="2"/>
  <c r="O599" i="2"/>
  <c r="E599" i="2"/>
  <c r="D599" i="2"/>
  <c r="C599" i="2"/>
  <c r="B599" i="2"/>
  <c r="S598" i="2"/>
  <c r="R598" i="2"/>
  <c r="Q598" i="2"/>
  <c r="O598" i="2"/>
  <c r="E598" i="2"/>
  <c r="D598" i="2"/>
  <c r="C598" i="2"/>
  <c r="B598" i="2"/>
  <c r="S597" i="2"/>
  <c r="R597" i="2"/>
  <c r="Q597" i="2"/>
  <c r="O597" i="2"/>
  <c r="E597" i="2"/>
  <c r="D597" i="2"/>
  <c r="C597" i="2"/>
  <c r="B597" i="2"/>
  <c r="S596" i="2"/>
  <c r="R596" i="2"/>
  <c r="Q596" i="2"/>
  <c r="O596" i="2"/>
  <c r="E596" i="2"/>
  <c r="D596" i="2"/>
  <c r="C596" i="2"/>
  <c r="B596" i="2"/>
  <c r="S595" i="2"/>
  <c r="R595" i="2"/>
  <c r="Q595" i="2"/>
  <c r="O595" i="2"/>
  <c r="E595" i="2"/>
  <c r="D595" i="2"/>
  <c r="C595" i="2"/>
  <c r="B595" i="2"/>
  <c r="S594" i="2"/>
  <c r="R594" i="2"/>
  <c r="Q594" i="2"/>
  <c r="O594" i="2"/>
  <c r="E594" i="2"/>
  <c r="D594" i="2"/>
  <c r="C594" i="2"/>
  <c r="B594" i="2"/>
  <c r="S593" i="2"/>
  <c r="R593" i="2"/>
  <c r="Q593" i="2"/>
  <c r="O593" i="2"/>
  <c r="E593" i="2"/>
  <c r="D593" i="2"/>
  <c r="C593" i="2"/>
  <c r="B593" i="2"/>
  <c r="S592" i="2"/>
  <c r="R592" i="2"/>
  <c r="Q592" i="2"/>
  <c r="O592" i="2"/>
  <c r="E592" i="2"/>
  <c r="D592" i="2"/>
  <c r="C592" i="2"/>
  <c r="B592" i="2"/>
  <c r="S591" i="2"/>
  <c r="R591" i="2"/>
  <c r="Q591" i="2"/>
  <c r="O591" i="2"/>
  <c r="E591" i="2"/>
  <c r="D591" i="2"/>
  <c r="C591" i="2"/>
  <c r="B591" i="2"/>
  <c r="S590" i="2"/>
  <c r="R590" i="2"/>
  <c r="Q590" i="2"/>
  <c r="O590" i="2"/>
  <c r="E590" i="2"/>
  <c r="D590" i="2"/>
  <c r="C590" i="2"/>
  <c r="B590" i="2"/>
  <c r="S589" i="2"/>
  <c r="R589" i="2"/>
  <c r="Q589" i="2"/>
  <c r="O589" i="2"/>
  <c r="E589" i="2"/>
  <c r="D589" i="2"/>
  <c r="C589" i="2"/>
  <c r="B589" i="2"/>
  <c r="S588" i="2"/>
  <c r="R588" i="2"/>
  <c r="Q588" i="2"/>
  <c r="O588" i="2"/>
  <c r="E588" i="2"/>
  <c r="D588" i="2"/>
  <c r="C588" i="2"/>
  <c r="B588" i="2"/>
  <c r="S587" i="2"/>
  <c r="R587" i="2"/>
  <c r="Q587" i="2"/>
  <c r="O587" i="2"/>
  <c r="E587" i="2"/>
  <c r="D587" i="2"/>
  <c r="C587" i="2"/>
  <c r="B587" i="2"/>
  <c r="S586" i="2"/>
  <c r="R586" i="2"/>
  <c r="Q586" i="2"/>
  <c r="O586" i="2"/>
  <c r="E586" i="2"/>
  <c r="D586" i="2"/>
  <c r="C586" i="2"/>
  <c r="B586" i="2"/>
  <c r="S585" i="2"/>
  <c r="R585" i="2"/>
  <c r="Q585" i="2"/>
  <c r="O585" i="2"/>
  <c r="E585" i="2"/>
  <c r="D585" i="2"/>
  <c r="C585" i="2"/>
  <c r="B585" i="2"/>
  <c r="S584" i="2"/>
  <c r="R584" i="2"/>
  <c r="Q584" i="2"/>
  <c r="O584" i="2"/>
  <c r="E584" i="2"/>
  <c r="D584" i="2"/>
  <c r="C584" i="2"/>
  <c r="B584" i="2"/>
  <c r="S583" i="2"/>
  <c r="R583" i="2"/>
  <c r="Q583" i="2"/>
  <c r="O583" i="2"/>
  <c r="E583" i="2"/>
  <c r="D583" i="2"/>
  <c r="C583" i="2"/>
  <c r="B583" i="2"/>
  <c r="S582" i="2"/>
  <c r="R582" i="2"/>
  <c r="Q582" i="2"/>
  <c r="O582" i="2"/>
  <c r="E582" i="2"/>
  <c r="D582" i="2"/>
  <c r="C582" i="2"/>
  <c r="B582" i="2"/>
  <c r="S581" i="2"/>
  <c r="R581" i="2"/>
  <c r="Q581" i="2"/>
  <c r="O581" i="2"/>
  <c r="E581" i="2"/>
  <c r="D581" i="2"/>
  <c r="C581" i="2"/>
  <c r="B581" i="2"/>
  <c r="S580" i="2"/>
  <c r="R580" i="2"/>
  <c r="Q580" i="2"/>
  <c r="O580" i="2"/>
  <c r="E580" i="2"/>
  <c r="D580" i="2"/>
  <c r="C580" i="2"/>
  <c r="B580" i="2"/>
  <c r="S579" i="2"/>
  <c r="R579" i="2"/>
  <c r="Q579" i="2"/>
  <c r="O579" i="2"/>
  <c r="E579" i="2"/>
  <c r="D579" i="2"/>
  <c r="C579" i="2"/>
  <c r="B579" i="2"/>
  <c r="S578" i="2"/>
  <c r="R578" i="2"/>
  <c r="Q578" i="2"/>
  <c r="O578" i="2"/>
  <c r="E578" i="2"/>
  <c r="D578" i="2"/>
  <c r="C578" i="2"/>
  <c r="B578" i="2"/>
  <c r="S577" i="2"/>
  <c r="R577" i="2"/>
  <c r="Q577" i="2"/>
  <c r="O577" i="2"/>
  <c r="E577" i="2"/>
  <c r="D577" i="2"/>
  <c r="C577" i="2"/>
  <c r="B577" i="2"/>
  <c r="S576" i="2"/>
  <c r="R576" i="2"/>
  <c r="Q576" i="2"/>
  <c r="O576" i="2"/>
  <c r="E576" i="2"/>
  <c r="D576" i="2"/>
  <c r="C576" i="2"/>
  <c r="B576" i="2"/>
  <c r="S575" i="2"/>
  <c r="R575" i="2"/>
  <c r="Q575" i="2"/>
  <c r="O575" i="2"/>
  <c r="E575" i="2"/>
  <c r="D575" i="2"/>
  <c r="C575" i="2"/>
  <c r="B575" i="2"/>
  <c r="S574" i="2"/>
  <c r="R574" i="2"/>
  <c r="Q574" i="2"/>
  <c r="O574" i="2"/>
  <c r="E574" i="2"/>
  <c r="D574" i="2"/>
  <c r="C574" i="2"/>
  <c r="B574" i="2"/>
  <c r="S573" i="2"/>
  <c r="R573" i="2"/>
  <c r="Q573" i="2"/>
  <c r="O573" i="2"/>
  <c r="E573" i="2"/>
  <c r="D573" i="2"/>
  <c r="C573" i="2"/>
  <c r="B573" i="2"/>
  <c r="S572" i="2"/>
  <c r="R572" i="2"/>
  <c r="Q572" i="2"/>
  <c r="O572" i="2"/>
  <c r="E572" i="2"/>
  <c r="D572" i="2"/>
  <c r="C572" i="2"/>
  <c r="B572" i="2"/>
  <c r="S571" i="2"/>
  <c r="R571" i="2"/>
  <c r="Q571" i="2"/>
  <c r="O571" i="2"/>
  <c r="E571" i="2"/>
  <c r="D571" i="2"/>
  <c r="C571" i="2"/>
  <c r="B571" i="2"/>
  <c r="S570" i="2"/>
  <c r="R570" i="2"/>
  <c r="Q570" i="2"/>
  <c r="O570" i="2"/>
  <c r="E570" i="2"/>
  <c r="D570" i="2"/>
  <c r="C570" i="2"/>
  <c r="B570" i="2"/>
  <c r="S569" i="2"/>
  <c r="R569" i="2"/>
  <c r="Q569" i="2"/>
  <c r="O569" i="2"/>
  <c r="E569" i="2"/>
  <c r="D569" i="2"/>
  <c r="C569" i="2"/>
  <c r="B569" i="2"/>
  <c r="S568" i="2"/>
  <c r="R568" i="2"/>
  <c r="Q568" i="2"/>
  <c r="O568" i="2"/>
  <c r="E568" i="2"/>
  <c r="D568" i="2"/>
  <c r="C568" i="2"/>
  <c r="B568" i="2"/>
  <c r="S567" i="2"/>
  <c r="R567" i="2"/>
  <c r="Q567" i="2"/>
  <c r="O567" i="2"/>
  <c r="E567" i="2"/>
  <c r="D567" i="2"/>
  <c r="C567" i="2"/>
  <c r="B567" i="2"/>
  <c r="S566" i="2"/>
  <c r="R566" i="2"/>
  <c r="Q566" i="2"/>
  <c r="O566" i="2"/>
  <c r="E566" i="2"/>
  <c r="D566" i="2"/>
  <c r="C566" i="2"/>
  <c r="B566" i="2"/>
  <c r="S565" i="2"/>
  <c r="R565" i="2"/>
  <c r="Q565" i="2"/>
  <c r="O565" i="2"/>
  <c r="E565" i="2"/>
  <c r="D565" i="2"/>
  <c r="C565" i="2"/>
  <c r="B565" i="2"/>
  <c r="S564" i="2"/>
  <c r="R564" i="2"/>
  <c r="Q564" i="2"/>
  <c r="O564" i="2"/>
  <c r="E564" i="2"/>
  <c r="D564" i="2"/>
  <c r="C564" i="2"/>
  <c r="B564" i="2"/>
  <c r="S563" i="2"/>
  <c r="R563" i="2"/>
  <c r="Q563" i="2"/>
  <c r="O563" i="2"/>
  <c r="E563" i="2"/>
  <c r="D563" i="2"/>
  <c r="C563" i="2"/>
  <c r="B563" i="2"/>
  <c r="S562" i="2"/>
  <c r="R562" i="2"/>
  <c r="Q562" i="2"/>
  <c r="O562" i="2"/>
  <c r="E562" i="2"/>
  <c r="D562" i="2"/>
  <c r="C562" i="2"/>
  <c r="B562" i="2"/>
  <c r="S561" i="2"/>
  <c r="R561" i="2"/>
  <c r="Q561" i="2"/>
  <c r="O561" i="2"/>
  <c r="E561" i="2"/>
  <c r="D561" i="2"/>
  <c r="C561" i="2"/>
  <c r="B561" i="2"/>
  <c r="S560" i="2"/>
  <c r="R560" i="2"/>
  <c r="Q560" i="2"/>
  <c r="O560" i="2"/>
  <c r="E560" i="2"/>
  <c r="D560" i="2"/>
  <c r="C560" i="2"/>
  <c r="B560" i="2"/>
  <c r="S559" i="2"/>
  <c r="R559" i="2"/>
  <c r="Q559" i="2"/>
  <c r="O559" i="2"/>
  <c r="E559" i="2"/>
  <c r="D559" i="2"/>
  <c r="C559" i="2"/>
  <c r="B559" i="2"/>
  <c r="S558" i="2"/>
  <c r="R558" i="2"/>
  <c r="Q558" i="2"/>
  <c r="O558" i="2"/>
  <c r="E558" i="2"/>
  <c r="D558" i="2"/>
  <c r="C558" i="2"/>
  <c r="B558" i="2"/>
  <c r="S557" i="2"/>
  <c r="R557" i="2"/>
  <c r="Q557" i="2"/>
  <c r="O557" i="2"/>
  <c r="E557" i="2"/>
  <c r="D557" i="2"/>
  <c r="C557" i="2"/>
  <c r="B557" i="2"/>
  <c r="S556" i="2"/>
  <c r="R556" i="2"/>
  <c r="Q556" i="2"/>
  <c r="O556" i="2"/>
  <c r="E556" i="2"/>
  <c r="D556" i="2"/>
  <c r="C556" i="2"/>
  <c r="B556" i="2"/>
  <c r="S555" i="2"/>
  <c r="R555" i="2"/>
  <c r="Q555" i="2"/>
  <c r="O555" i="2"/>
  <c r="E555" i="2"/>
  <c r="D555" i="2"/>
  <c r="C555" i="2"/>
  <c r="B555" i="2"/>
  <c r="S554" i="2"/>
  <c r="R554" i="2"/>
  <c r="Q554" i="2"/>
  <c r="O554" i="2"/>
  <c r="E554" i="2"/>
  <c r="D554" i="2"/>
  <c r="C554" i="2"/>
  <c r="B554" i="2"/>
  <c r="S553" i="2"/>
  <c r="R553" i="2"/>
  <c r="Q553" i="2"/>
  <c r="O553" i="2"/>
  <c r="E553" i="2"/>
  <c r="D553" i="2"/>
  <c r="C553" i="2"/>
  <c r="B553" i="2"/>
  <c r="S552" i="2"/>
  <c r="R552" i="2"/>
  <c r="Q552" i="2"/>
  <c r="O552" i="2"/>
  <c r="E552" i="2"/>
  <c r="D552" i="2"/>
  <c r="C552" i="2"/>
  <c r="B552" i="2"/>
  <c r="S551" i="2"/>
  <c r="R551" i="2"/>
  <c r="Q551" i="2"/>
  <c r="O551" i="2"/>
  <c r="E551" i="2"/>
  <c r="D551" i="2"/>
  <c r="C551" i="2"/>
  <c r="B551" i="2"/>
  <c r="S550" i="2"/>
  <c r="R550" i="2"/>
  <c r="Q550" i="2"/>
  <c r="O550" i="2"/>
  <c r="E550" i="2"/>
  <c r="D550" i="2"/>
  <c r="C550" i="2"/>
  <c r="B550" i="2"/>
  <c r="S549" i="2"/>
  <c r="R549" i="2"/>
  <c r="Q549" i="2"/>
  <c r="O549" i="2"/>
  <c r="E549" i="2"/>
  <c r="D549" i="2"/>
  <c r="C549" i="2"/>
  <c r="B549" i="2"/>
  <c r="S548" i="2"/>
  <c r="R548" i="2"/>
  <c r="Q548" i="2"/>
  <c r="O548" i="2"/>
  <c r="E548" i="2"/>
  <c r="D548" i="2"/>
  <c r="C548" i="2"/>
  <c r="B548" i="2"/>
  <c r="S547" i="2"/>
  <c r="R547" i="2"/>
  <c r="Q547" i="2"/>
  <c r="O547" i="2"/>
  <c r="E547" i="2"/>
  <c r="D547" i="2"/>
  <c r="C547" i="2"/>
  <c r="B547" i="2"/>
  <c r="S546" i="2"/>
  <c r="R546" i="2"/>
  <c r="Q546" i="2"/>
  <c r="O546" i="2"/>
  <c r="E546" i="2"/>
  <c r="D546" i="2"/>
  <c r="C546" i="2"/>
  <c r="B546" i="2"/>
  <c r="S545" i="2"/>
  <c r="R545" i="2"/>
  <c r="Q545" i="2"/>
  <c r="O545" i="2"/>
  <c r="E545" i="2"/>
  <c r="D545" i="2"/>
  <c r="C545" i="2"/>
  <c r="B545" i="2"/>
  <c r="S544" i="2"/>
  <c r="R544" i="2"/>
  <c r="Q544" i="2"/>
  <c r="O544" i="2"/>
  <c r="E544" i="2"/>
  <c r="D544" i="2"/>
  <c r="C544" i="2"/>
  <c r="B544" i="2"/>
  <c r="S543" i="2"/>
  <c r="R543" i="2"/>
  <c r="Q543" i="2"/>
  <c r="O543" i="2"/>
  <c r="E543" i="2"/>
  <c r="D543" i="2"/>
  <c r="C543" i="2"/>
  <c r="B543" i="2"/>
  <c r="S542" i="2"/>
  <c r="R542" i="2"/>
  <c r="Q542" i="2"/>
  <c r="O542" i="2"/>
  <c r="E542" i="2"/>
  <c r="D542" i="2"/>
  <c r="C542" i="2"/>
  <c r="B542" i="2"/>
  <c r="S541" i="2"/>
  <c r="R541" i="2"/>
  <c r="Q541" i="2"/>
  <c r="O541" i="2"/>
  <c r="E541" i="2"/>
  <c r="D541" i="2"/>
  <c r="C541" i="2"/>
  <c r="B541" i="2"/>
  <c r="S540" i="2"/>
  <c r="R540" i="2"/>
  <c r="Q540" i="2"/>
  <c r="O540" i="2"/>
  <c r="E540" i="2"/>
  <c r="D540" i="2"/>
  <c r="C540" i="2"/>
  <c r="B540" i="2"/>
  <c r="S539" i="2"/>
  <c r="R539" i="2"/>
  <c r="Q539" i="2"/>
  <c r="O539" i="2"/>
  <c r="E539" i="2"/>
  <c r="D539" i="2"/>
  <c r="C539" i="2"/>
  <c r="B539" i="2"/>
  <c r="S538" i="2"/>
  <c r="R538" i="2"/>
  <c r="Q538" i="2"/>
  <c r="O538" i="2"/>
  <c r="E538" i="2"/>
  <c r="D538" i="2"/>
  <c r="C538" i="2"/>
  <c r="B538" i="2"/>
  <c r="S537" i="2"/>
  <c r="R537" i="2"/>
  <c r="Q537" i="2"/>
  <c r="O537" i="2"/>
  <c r="E537" i="2"/>
  <c r="D537" i="2"/>
  <c r="C537" i="2"/>
  <c r="B537" i="2"/>
  <c r="S536" i="2"/>
  <c r="R536" i="2"/>
  <c r="Q536" i="2"/>
  <c r="O536" i="2"/>
  <c r="E536" i="2"/>
  <c r="D536" i="2"/>
  <c r="C536" i="2"/>
  <c r="B536" i="2"/>
  <c r="S535" i="2"/>
  <c r="R535" i="2"/>
  <c r="Q535" i="2"/>
  <c r="O535" i="2"/>
  <c r="E535" i="2"/>
  <c r="D535" i="2"/>
  <c r="C535" i="2"/>
  <c r="B535" i="2"/>
  <c r="S534" i="2"/>
  <c r="R534" i="2"/>
  <c r="Q534" i="2"/>
  <c r="O534" i="2"/>
  <c r="E534" i="2"/>
  <c r="D534" i="2"/>
  <c r="C534" i="2"/>
  <c r="B534" i="2"/>
  <c r="S533" i="2"/>
  <c r="R533" i="2"/>
  <c r="Q533" i="2"/>
  <c r="O533" i="2"/>
  <c r="E533" i="2"/>
  <c r="D533" i="2"/>
  <c r="C533" i="2"/>
  <c r="B533" i="2"/>
  <c r="S532" i="2"/>
  <c r="R532" i="2"/>
  <c r="Q532" i="2"/>
  <c r="O532" i="2"/>
  <c r="E532" i="2"/>
  <c r="D532" i="2"/>
  <c r="C532" i="2"/>
  <c r="B532" i="2"/>
  <c r="S531" i="2"/>
  <c r="R531" i="2"/>
  <c r="Q531" i="2"/>
  <c r="O531" i="2"/>
  <c r="E531" i="2"/>
  <c r="D531" i="2"/>
  <c r="C531" i="2"/>
  <c r="B531" i="2"/>
  <c r="S530" i="2"/>
  <c r="R530" i="2"/>
  <c r="Q530" i="2"/>
  <c r="O530" i="2"/>
  <c r="E530" i="2"/>
  <c r="D530" i="2"/>
  <c r="C530" i="2"/>
  <c r="B530" i="2"/>
  <c r="S529" i="2"/>
  <c r="R529" i="2"/>
  <c r="Q529" i="2"/>
  <c r="O529" i="2"/>
  <c r="E529" i="2"/>
  <c r="D529" i="2"/>
  <c r="C529" i="2"/>
  <c r="B529" i="2"/>
  <c r="S528" i="2"/>
  <c r="R528" i="2"/>
  <c r="Q528" i="2"/>
  <c r="O528" i="2"/>
  <c r="E528" i="2"/>
  <c r="D528" i="2"/>
  <c r="C528" i="2"/>
  <c r="B528" i="2"/>
  <c r="S527" i="2"/>
  <c r="R527" i="2"/>
  <c r="Q527" i="2"/>
  <c r="O527" i="2"/>
  <c r="E527" i="2"/>
  <c r="D527" i="2"/>
  <c r="C527" i="2"/>
  <c r="B527" i="2"/>
  <c r="S526" i="2"/>
  <c r="R526" i="2"/>
  <c r="Q526" i="2"/>
  <c r="O526" i="2"/>
  <c r="E526" i="2"/>
  <c r="D526" i="2"/>
  <c r="C526" i="2"/>
  <c r="B526" i="2"/>
  <c r="S525" i="2"/>
  <c r="R525" i="2"/>
  <c r="Q525" i="2"/>
  <c r="O525" i="2"/>
  <c r="E525" i="2"/>
  <c r="D525" i="2"/>
  <c r="C525" i="2"/>
  <c r="B525" i="2"/>
  <c r="S524" i="2"/>
  <c r="R524" i="2"/>
  <c r="Q524" i="2"/>
  <c r="O524" i="2"/>
  <c r="E524" i="2"/>
  <c r="D524" i="2"/>
  <c r="C524" i="2"/>
  <c r="B524" i="2"/>
  <c r="S523" i="2"/>
  <c r="R523" i="2"/>
  <c r="Q523" i="2"/>
  <c r="O523" i="2"/>
  <c r="E523" i="2"/>
  <c r="D523" i="2"/>
  <c r="C523" i="2"/>
  <c r="B523" i="2"/>
  <c r="S522" i="2"/>
  <c r="R522" i="2"/>
  <c r="Q522" i="2"/>
  <c r="O522" i="2"/>
  <c r="E522" i="2"/>
  <c r="D522" i="2"/>
  <c r="C522" i="2"/>
  <c r="B522" i="2"/>
  <c r="S521" i="2"/>
  <c r="R521" i="2"/>
  <c r="Q521" i="2"/>
  <c r="O521" i="2"/>
  <c r="E521" i="2"/>
  <c r="D521" i="2"/>
  <c r="C521" i="2"/>
  <c r="B521" i="2"/>
  <c r="S520" i="2"/>
  <c r="R520" i="2"/>
  <c r="Q520" i="2"/>
  <c r="O520" i="2"/>
  <c r="E520" i="2"/>
  <c r="D520" i="2"/>
  <c r="C520" i="2"/>
  <c r="B520" i="2"/>
  <c r="S519" i="2"/>
  <c r="R519" i="2"/>
  <c r="Q519" i="2"/>
  <c r="O519" i="2"/>
  <c r="E519" i="2"/>
  <c r="D519" i="2"/>
  <c r="C519" i="2"/>
  <c r="B519" i="2"/>
  <c r="S518" i="2"/>
  <c r="R518" i="2"/>
  <c r="Q518" i="2"/>
  <c r="O518" i="2"/>
  <c r="E518" i="2"/>
  <c r="D518" i="2"/>
  <c r="C518" i="2"/>
  <c r="B518" i="2"/>
  <c r="S517" i="2"/>
  <c r="R517" i="2"/>
  <c r="Q517" i="2"/>
  <c r="O517" i="2"/>
  <c r="E517" i="2"/>
  <c r="D517" i="2"/>
  <c r="C517" i="2"/>
  <c r="B517" i="2"/>
  <c r="S516" i="2"/>
  <c r="R516" i="2"/>
  <c r="Q516" i="2"/>
  <c r="O516" i="2"/>
  <c r="E516" i="2"/>
  <c r="D516" i="2"/>
  <c r="C516" i="2"/>
  <c r="B516" i="2"/>
  <c r="S515" i="2"/>
  <c r="R515" i="2"/>
  <c r="Q515" i="2"/>
  <c r="O515" i="2"/>
  <c r="E515" i="2"/>
  <c r="D515" i="2"/>
  <c r="C515" i="2"/>
  <c r="B515" i="2"/>
  <c r="S514" i="2"/>
  <c r="R514" i="2"/>
  <c r="Q514" i="2"/>
  <c r="O514" i="2"/>
  <c r="E514" i="2"/>
  <c r="D514" i="2"/>
  <c r="C514" i="2"/>
  <c r="B514" i="2"/>
  <c r="S513" i="2"/>
  <c r="R513" i="2"/>
  <c r="Q513" i="2"/>
  <c r="O513" i="2"/>
  <c r="E513" i="2"/>
  <c r="D513" i="2"/>
  <c r="C513" i="2"/>
  <c r="B513" i="2"/>
  <c r="S512" i="2"/>
  <c r="R512" i="2"/>
  <c r="Q512" i="2"/>
  <c r="O512" i="2"/>
  <c r="E512" i="2"/>
  <c r="D512" i="2"/>
  <c r="C512" i="2"/>
  <c r="B512" i="2"/>
  <c r="S511" i="2"/>
  <c r="R511" i="2"/>
  <c r="Q511" i="2"/>
  <c r="O511" i="2"/>
  <c r="E511" i="2"/>
  <c r="D511" i="2"/>
  <c r="C511" i="2"/>
  <c r="B511" i="2"/>
  <c r="S510" i="2"/>
  <c r="R510" i="2"/>
  <c r="Q510" i="2"/>
  <c r="O510" i="2"/>
  <c r="E510" i="2"/>
  <c r="D510" i="2"/>
  <c r="C510" i="2"/>
  <c r="B510" i="2"/>
  <c r="S509" i="2"/>
  <c r="R509" i="2"/>
  <c r="Q509" i="2"/>
  <c r="O509" i="2"/>
  <c r="E509" i="2"/>
  <c r="D509" i="2"/>
  <c r="C509" i="2"/>
  <c r="B509" i="2"/>
  <c r="S508" i="2"/>
  <c r="R508" i="2"/>
  <c r="Q508" i="2"/>
  <c r="O508" i="2"/>
  <c r="E508" i="2"/>
  <c r="D508" i="2"/>
  <c r="C508" i="2"/>
  <c r="B508" i="2"/>
  <c r="S507" i="2"/>
  <c r="R507" i="2"/>
  <c r="Q507" i="2"/>
  <c r="O507" i="2"/>
  <c r="E507" i="2"/>
  <c r="D507" i="2"/>
  <c r="C507" i="2"/>
  <c r="B507" i="2"/>
  <c r="S506" i="2"/>
  <c r="R506" i="2"/>
  <c r="Q506" i="2"/>
  <c r="O506" i="2"/>
  <c r="E506" i="2"/>
  <c r="D506" i="2"/>
  <c r="C506" i="2"/>
  <c r="B506" i="2"/>
  <c r="S505" i="2"/>
  <c r="R505" i="2"/>
  <c r="Q505" i="2"/>
  <c r="O505" i="2"/>
  <c r="E505" i="2"/>
  <c r="D505" i="2"/>
  <c r="C505" i="2"/>
  <c r="B505" i="2"/>
  <c r="S504" i="2"/>
  <c r="R504" i="2"/>
  <c r="Q504" i="2"/>
  <c r="O504" i="2"/>
  <c r="E504" i="2"/>
  <c r="D504" i="2"/>
  <c r="C504" i="2"/>
  <c r="B504" i="2"/>
  <c r="S503" i="2"/>
  <c r="R503" i="2"/>
  <c r="Q503" i="2"/>
  <c r="O503" i="2"/>
  <c r="E503" i="2"/>
  <c r="D503" i="2"/>
  <c r="C503" i="2"/>
  <c r="B503" i="2"/>
  <c r="S502" i="2"/>
  <c r="R502" i="2"/>
  <c r="Q502" i="2"/>
  <c r="O502" i="2"/>
  <c r="E502" i="2"/>
  <c r="D502" i="2"/>
  <c r="C502" i="2"/>
  <c r="B502" i="2"/>
  <c r="S501" i="2"/>
  <c r="R501" i="2"/>
  <c r="Q501" i="2"/>
  <c r="O501" i="2"/>
  <c r="E501" i="2"/>
  <c r="D501" i="2"/>
  <c r="C501" i="2"/>
  <c r="B501" i="2"/>
  <c r="S500" i="2"/>
  <c r="R500" i="2"/>
  <c r="Q500" i="2"/>
  <c r="O500" i="2"/>
  <c r="E500" i="2"/>
  <c r="D500" i="2"/>
  <c r="C500" i="2"/>
  <c r="B500" i="2"/>
  <c r="S499" i="2"/>
  <c r="R499" i="2"/>
  <c r="Q499" i="2"/>
  <c r="O499" i="2"/>
  <c r="E499" i="2"/>
  <c r="D499" i="2"/>
  <c r="C499" i="2"/>
  <c r="B499" i="2"/>
  <c r="S498" i="2"/>
  <c r="R498" i="2"/>
  <c r="Q498" i="2"/>
  <c r="O498" i="2"/>
  <c r="E498" i="2"/>
  <c r="D498" i="2"/>
  <c r="C498" i="2"/>
  <c r="B498" i="2"/>
  <c r="S497" i="2"/>
  <c r="R497" i="2"/>
  <c r="Q497" i="2"/>
  <c r="O497" i="2"/>
  <c r="E497" i="2"/>
  <c r="D497" i="2"/>
  <c r="C497" i="2"/>
  <c r="B497" i="2"/>
  <c r="S496" i="2"/>
  <c r="R496" i="2"/>
  <c r="Q496" i="2"/>
  <c r="O496" i="2"/>
  <c r="E496" i="2"/>
  <c r="D496" i="2"/>
  <c r="C496" i="2"/>
  <c r="B496" i="2"/>
  <c r="S495" i="2"/>
  <c r="R495" i="2"/>
  <c r="Q495" i="2"/>
  <c r="O495" i="2"/>
  <c r="E495" i="2"/>
  <c r="D495" i="2"/>
  <c r="C495" i="2"/>
  <c r="B495" i="2"/>
  <c r="S494" i="2"/>
  <c r="R494" i="2"/>
  <c r="Q494" i="2"/>
  <c r="O494" i="2"/>
  <c r="E494" i="2"/>
  <c r="D494" i="2"/>
  <c r="C494" i="2"/>
  <c r="B494" i="2"/>
  <c r="S493" i="2"/>
  <c r="R493" i="2"/>
  <c r="Q493" i="2"/>
  <c r="O493" i="2"/>
  <c r="E493" i="2"/>
  <c r="D493" i="2"/>
  <c r="C493" i="2"/>
  <c r="B493" i="2"/>
  <c r="S492" i="2"/>
  <c r="R492" i="2"/>
  <c r="Q492" i="2"/>
  <c r="O492" i="2"/>
  <c r="E492" i="2"/>
  <c r="D492" i="2"/>
  <c r="C492" i="2"/>
  <c r="B492" i="2"/>
  <c r="S491" i="2"/>
  <c r="R491" i="2"/>
  <c r="Q491" i="2"/>
  <c r="O491" i="2"/>
  <c r="E491" i="2"/>
  <c r="D491" i="2"/>
  <c r="C491" i="2"/>
  <c r="B491" i="2"/>
  <c r="S490" i="2"/>
  <c r="R490" i="2"/>
  <c r="Q490" i="2"/>
  <c r="O490" i="2"/>
  <c r="E490" i="2"/>
  <c r="D490" i="2"/>
  <c r="C490" i="2"/>
  <c r="B490" i="2"/>
  <c r="S489" i="2"/>
  <c r="R489" i="2"/>
  <c r="Q489" i="2"/>
  <c r="O489" i="2"/>
  <c r="E489" i="2"/>
  <c r="D489" i="2"/>
  <c r="C489" i="2"/>
  <c r="B489" i="2"/>
  <c r="S488" i="2"/>
  <c r="R488" i="2"/>
  <c r="Q488" i="2"/>
  <c r="O488" i="2"/>
  <c r="E488" i="2"/>
  <c r="D488" i="2"/>
  <c r="C488" i="2"/>
  <c r="B488" i="2"/>
  <c r="S487" i="2"/>
  <c r="R487" i="2"/>
  <c r="Q487" i="2"/>
  <c r="O487" i="2"/>
  <c r="E487" i="2"/>
  <c r="D487" i="2"/>
  <c r="C487" i="2"/>
  <c r="B487" i="2"/>
  <c r="S486" i="2"/>
  <c r="R486" i="2"/>
  <c r="Q486" i="2"/>
  <c r="O486" i="2"/>
  <c r="E486" i="2"/>
  <c r="D486" i="2"/>
  <c r="C486" i="2"/>
  <c r="B486" i="2"/>
  <c r="S485" i="2"/>
  <c r="R485" i="2"/>
  <c r="Q485" i="2"/>
  <c r="O485" i="2"/>
  <c r="E485" i="2"/>
  <c r="D485" i="2"/>
  <c r="C485" i="2"/>
  <c r="B485" i="2"/>
  <c r="S484" i="2"/>
  <c r="R484" i="2"/>
  <c r="Q484" i="2"/>
  <c r="O484" i="2"/>
  <c r="E484" i="2"/>
  <c r="D484" i="2"/>
  <c r="C484" i="2"/>
  <c r="B484" i="2"/>
  <c r="S483" i="2"/>
  <c r="R483" i="2"/>
  <c r="Q483" i="2"/>
  <c r="O483" i="2"/>
  <c r="E483" i="2"/>
  <c r="D483" i="2"/>
  <c r="C483" i="2"/>
  <c r="B483" i="2"/>
  <c r="S482" i="2"/>
  <c r="R482" i="2"/>
  <c r="Q482" i="2"/>
  <c r="O482" i="2"/>
  <c r="E482" i="2"/>
  <c r="D482" i="2"/>
  <c r="C482" i="2"/>
  <c r="B482" i="2"/>
  <c r="S481" i="2"/>
  <c r="R481" i="2"/>
  <c r="Q481" i="2"/>
  <c r="O481" i="2"/>
  <c r="E481" i="2"/>
  <c r="D481" i="2"/>
  <c r="C481" i="2"/>
  <c r="B481" i="2"/>
  <c r="S480" i="2"/>
  <c r="R480" i="2"/>
  <c r="Q480" i="2"/>
  <c r="O480" i="2"/>
  <c r="E480" i="2"/>
  <c r="D480" i="2"/>
  <c r="C480" i="2"/>
  <c r="B480" i="2"/>
  <c r="S479" i="2"/>
  <c r="R479" i="2"/>
  <c r="Q479" i="2"/>
  <c r="O479" i="2"/>
  <c r="E479" i="2"/>
  <c r="D479" i="2"/>
  <c r="C479" i="2"/>
  <c r="B479" i="2"/>
  <c r="S478" i="2"/>
  <c r="R478" i="2"/>
  <c r="Q478" i="2"/>
  <c r="O478" i="2"/>
  <c r="E478" i="2"/>
  <c r="D478" i="2"/>
  <c r="C478" i="2"/>
  <c r="B478" i="2"/>
  <c r="S477" i="2"/>
  <c r="R477" i="2"/>
  <c r="Q477" i="2"/>
  <c r="O477" i="2"/>
  <c r="E477" i="2"/>
  <c r="D477" i="2"/>
  <c r="C477" i="2"/>
  <c r="B477" i="2"/>
  <c r="S476" i="2"/>
  <c r="R476" i="2"/>
  <c r="Q476" i="2"/>
  <c r="O476" i="2"/>
  <c r="E476" i="2"/>
  <c r="D476" i="2"/>
  <c r="C476" i="2"/>
  <c r="B476" i="2"/>
  <c r="S475" i="2"/>
  <c r="R475" i="2"/>
  <c r="Q475" i="2"/>
  <c r="O475" i="2"/>
  <c r="E475" i="2"/>
  <c r="D475" i="2"/>
  <c r="C475" i="2"/>
  <c r="B475" i="2"/>
  <c r="S474" i="2"/>
  <c r="R474" i="2"/>
  <c r="Q474" i="2"/>
  <c r="O474" i="2"/>
  <c r="E474" i="2"/>
  <c r="D474" i="2"/>
  <c r="C474" i="2"/>
  <c r="B474" i="2"/>
  <c r="S473" i="2"/>
  <c r="R473" i="2"/>
  <c r="Q473" i="2"/>
  <c r="O473" i="2"/>
  <c r="E473" i="2"/>
  <c r="D473" i="2"/>
  <c r="C473" i="2"/>
  <c r="B473" i="2"/>
  <c r="S472" i="2"/>
  <c r="R472" i="2"/>
  <c r="Q472" i="2"/>
  <c r="O472" i="2"/>
  <c r="E472" i="2"/>
  <c r="D472" i="2"/>
  <c r="C472" i="2"/>
  <c r="B472" i="2"/>
  <c r="S471" i="2"/>
  <c r="R471" i="2"/>
  <c r="Q471" i="2"/>
  <c r="O471" i="2"/>
  <c r="E471" i="2"/>
  <c r="D471" i="2"/>
  <c r="C471" i="2"/>
  <c r="B471" i="2"/>
  <c r="S470" i="2"/>
  <c r="R470" i="2"/>
  <c r="Q470" i="2"/>
  <c r="O470" i="2"/>
  <c r="E470" i="2"/>
  <c r="D470" i="2"/>
  <c r="C470" i="2"/>
  <c r="B470" i="2"/>
  <c r="S469" i="2"/>
  <c r="R469" i="2"/>
  <c r="Q469" i="2"/>
  <c r="O469" i="2"/>
  <c r="E469" i="2"/>
  <c r="D469" i="2"/>
  <c r="C469" i="2"/>
  <c r="B469" i="2"/>
  <c r="S468" i="2"/>
  <c r="R468" i="2"/>
  <c r="Q468" i="2"/>
  <c r="O468" i="2"/>
  <c r="E468" i="2"/>
  <c r="D468" i="2"/>
  <c r="C468" i="2"/>
  <c r="B468" i="2"/>
  <c r="S467" i="2"/>
  <c r="R467" i="2"/>
  <c r="Q467" i="2"/>
  <c r="O467" i="2"/>
  <c r="E467" i="2"/>
  <c r="D467" i="2"/>
  <c r="C467" i="2"/>
  <c r="B467" i="2"/>
  <c r="S466" i="2"/>
  <c r="R466" i="2"/>
  <c r="Q466" i="2"/>
  <c r="O466" i="2"/>
  <c r="E466" i="2"/>
  <c r="D466" i="2"/>
  <c r="C466" i="2"/>
  <c r="B466" i="2"/>
  <c r="S465" i="2"/>
  <c r="R465" i="2"/>
  <c r="Q465" i="2"/>
  <c r="O465" i="2"/>
  <c r="E465" i="2"/>
  <c r="D465" i="2"/>
  <c r="C465" i="2"/>
  <c r="B465" i="2"/>
  <c r="S464" i="2"/>
  <c r="R464" i="2"/>
  <c r="Q464" i="2"/>
  <c r="O464" i="2"/>
  <c r="E464" i="2"/>
  <c r="D464" i="2"/>
  <c r="C464" i="2"/>
  <c r="B464" i="2"/>
  <c r="S463" i="2"/>
  <c r="R463" i="2"/>
  <c r="Q463" i="2"/>
  <c r="O463" i="2"/>
  <c r="E463" i="2"/>
  <c r="D463" i="2"/>
  <c r="C463" i="2"/>
  <c r="B463" i="2"/>
  <c r="S462" i="2"/>
  <c r="R462" i="2"/>
  <c r="Q462" i="2"/>
  <c r="O462" i="2"/>
  <c r="E462" i="2"/>
  <c r="D462" i="2"/>
  <c r="C462" i="2"/>
  <c r="B462" i="2"/>
  <c r="S461" i="2"/>
  <c r="R461" i="2"/>
  <c r="Q461" i="2"/>
  <c r="O461" i="2"/>
  <c r="E461" i="2"/>
  <c r="D461" i="2"/>
  <c r="C461" i="2"/>
  <c r="B461" i="2"/>
  <c r="S460" i="2"/>
  <c r="R460" i="2"/>
  <c r="Q460" i="2"/>
  <c r="O460" i="2"/>
  <c r="E460" i="2"/>
  <c r="D460" i="2"/>
  <c r="C460" i="2"/>
  <c r="B460" i="2"/>
  <c r="S459" i="2"/>
  <c r="R459" i="2"/>
  <c r="Q459" i="2"/>
  <c r="O459" i="2"/>
  <c r="E459" i="2"/>
  <c r="D459" i="2"/>
  <c r="C459" i="2"/>
  <c r="B459" i="2"/>
  <c r="S458" i="2"/>
  <c r="R458" i="2"/>
  <c r="Q458" i="2"/>
  <c r="O458" i="2"/>
  <c r="E458" i="2"/>
  <c r="D458" i="2"/>
  <c r="C458" i="2"/>
  <c r="B458" i="2"/>
  <c r="S457" i="2"/>
  <c r="R457" i="2"/>
  <c r="Q457" i="2"/>
  <c r="O457" i="2"/>
  <c r="E457" i="2"/>
  <c r="D457" i="2"/>
  <c r="C457" i="2"/>
  <c r="B457" i="2"/>
  <c r="S456" i="2"/>
  <c r="R456" i="2"/>
  <c r="Q456" i="2"/>
  <c r="O456" i="2"/>
  <c r="E456" i="2"/>
  <c r="D456" i="2"/>
  <c r="C456" i="2"/>
  <c r="B456" i="2"/>
  <c r="S455" i="2"/>
  <c r="R455" i="2"/>
  <c r="Q455" i="2"/>
  <c r="O455" i="2"/>
  <c r="E455" i="2"/>
  <c r="D455" i="2"/>
  <c r="C455" i="2"/>
  <c r="B455" i="2"/>
  <c r="S454" i="2"/>
  <c r="R454" i="2"/>
  <c r="Q454" i="2"/>
  <c r="O454" i="2"/>
  <c r="E454" i="2"/>
  <c r="D454" i="2"/>
  <c r="C454" i="2"/>
  <c r="B454" i="2"/>
  <c r="S453" i="2"/>
  <c r="R453" i="2"/>
  <c r="Q453" i="2"/>
  <c r="O453" i="2"/>
  <c r="E453" i="2"/>
  <c r="D453" i="2"/>
  <c r="C453" i="2"/>
  <c r="B453" i="2"/>
  <c r="S452" i="2"/>
  <c r="R452" i="2"/>
  <c r="Q452" i="2"/>
  <c r="O452" i="2"/>
  <c r="E452" i="2"/>
  <c r="D452" i="2"/>
  <c r="C452" i="2"/>
  <c r="B452" i="2"/>
  <c r="S451" i="2"/>
  <c r="R451" i="2"/>
  <c r="Q451" i="2"/>
  <c r="O451" i="2"/>
  <c r="E451" i="2"/>
  <c r="D451" i="2"/>
  <c r="C451" i="2"/>
  <c r="B451" i="2"/>
  <c r="S450" i="2"/>
  <c r="R450" i="2"/>
  <c r="Q450" i="2"/>
  <c r="O450" i="2"/>
  <c r="E450" i="2"/>
  <c r="D450" i="2"/>
  <c r="C450" i="2"/>
  <c r="B450" i="2"/>
  <c r="S449" i="2"/>
  <c r="R449" i="2"/>
  <c r="Q449" i="2"/>
  <c r="O449" i="2"/>
  <c r="E449" i="2"/>
  <c r="D449" i="2"/>
  <c r="C449" i="2"/>
  <c r="B449" i="2"/>
  <c r="S448" i="2"/>
  <c r="R448" i="2"/>
  <c r="Q448" i="2"/>
  <c r="O448" i="2"/>
  <c r="E448" i="2"/>
  <c r="D448" i="2"/>
  <c r="C448" i="2"/>
  <c r="B448" i="2"/>
  <c r="S447" i="2"/>
  <c r="R447" i="2"/>
  <c r="Q447" i="2"/>
  <c r="O447" i="2"/>
  <c r="E447" i="2"/>
  <c r="D447" i="2"/>
  <c r="C447" i="2"/>
  <c r="B447" i="2"/>
  <c r="S446" i="2"/>
  <c r="R446" i="2"/>
  <c r="Q446" i="2"/>
  <c r="O446" i="2"/>
  <c r="E446" i="2"/>
  <c r="D446" i="2"/>
  <c r="C446" i="2"/>
  <c r="B446" i="2"/>
  <c r="S445" i="2"/>
  <c r="Q445" i="2"/>
  <c r="O445" i="2"/>
  <c r="R445" i="2" s="1"/>
  <c r="E445" i="2"/>
  <c r="D445" i="2"/>
  <c r="C445" i="2"/>
  <c r="B445" i="2"/>
  <c r="S444" i="2"/>
  <c r="Q444" i="2"/>
  <c r="O444" i="2"/>
  <c r="R444" i="2" s="1"/>
  <c r="E444" i="2"/>
  <c r="D444" i="2"/>
  <c r="C444" i="2"/>
  <c r="B444" i="2"/>
  <c r="Q443" i="2"/>
  <c r="O443" i="2"/>
  <c r="R443" i="2" s="1"/>
  <c r="S443" i="2" s="1"/>
  <c r="E443" i="2"/>
  <c r="D443" i="2"/>
  <c r="C443" i="2"/>
  <c r="B443" i="2"/>
  <c r="S442" i="2"/>
  <c r="Q442" i="2"/>
  <c r="O442" i="2"/>
  <c r="R442" i="2" s="1"/>
  <c r="E442" i="2"/>
  <c r="D442" i="2"/>
  <c r="C442" i="2"/>
  <c r="B442" i="2"/>
  <c r="S441" i="2"/>
  <c r="Q441" i="2"/>
  <c r="O441" i="2"/>
  <c r="R441" i="2" s="1"/>
  <c r="E441" i="2"/>
  <c r="D441" i="2"/>
  <c r="C441" i="2"/>
  <c r="B441" i="2"/>
  <c r="Q440" i="2"/>
  <c r="O440" i="2"/>
  <c r="R440" i="2" s="1"/>
  <c r="S440" i="2" s="1"/>
  <c r="E440" i="2"/>
  <c r="D440" i="2"/>
  <c r="C440" i="2"/>
  <c r="B440" i="2"/>
  <c r="Q439" i="2"/>
  <c r="O439" i="2"/>
  <c r="R439" i="2" s="1"/>
  <c r="S439" i="2" s="1"/>
  <c r="E439" i="2"/>
  <c r="D439" i="2"/>
  <c r="C439" i="2"/>
  <c r="B439" i="2"/>
  <c r="Q438" i="2"/>
  <c r="O438" i="2"/>
  <c r="R438" i="2" s="1"/>
  <c r="S438" i="2" s="1"/>
  <c r="E438" i="2"/>
  <c r="D438" i="2"/>
  <c r="C438" i="2"/>
  <c r="B438" i="2"/>
  <c r="S437" i="2"/>
  <c r="Q437" i="2"/>
  <c r="O437" i="2"/>
  <c r="R437" i="2" s="1"/>
  <c r="E437" i="2"/>
  <c r="D437" i="2"/>
  <c r="C437" i="2"/>
  <c r="B437" i="2"/>
  <c r="S436" i="2"/>
  <c r="Q436" i="2"/>
  <c r="O436" i="2"/>
  <c r="R436" i="2" s="1"/>
  <c r="E436" i="2"/>
  <c r="D436" i="2"/>
  <c r="C436" i="2"/>
  <c r="B436" i="2"/>
  <c r="Q435" i="2"/>
  <c r="O435" i="2"/>
  <c r="R435" i="2" s="1"/>
  <c r="S435" i="2" s="1"/>
  <c r="E435" i="2"/>
  <c r="D435" i="2"/>
  <c r="C435" i="2"/>
  <c r="B435" i="2"/>
  <c r="S434" i="2"/>
  <c r="Q434" i="2"/>
  <c r="O434" i="2"/>
  <c r="R434" i="2" s="1"/>
  <c r="E434" i="2"/>
  <c r="D434" i="2"/>
  <c r="C434" i="2"/>
  <c r="B434" i="2"/>
  <c r="Q433" i="2"/>
  <c r="O433" i="2"/>
  <c r="R433" i="2" s="1"/>
  <c r="S433" i="2" s="1"/>
  <c r="E433" i="2"/>
  <c r="D433" i="2"/>
  <c r="C433" i="2"/>
  <c r="B433" i="2"/>
  <c r="Q432" i="2"/>
  <c r="O432" i="2"/>
  <c r="R432" i="2" s="1"/>
  <c r="S432" i="2" s="1"/>
  <c r="E432" i="2"/>
  <c r="D432" i="2"/>
  <c r="C432" i="2"/>
  <c r="B432" i="2"/>
  <c r="Q431" i="2"/>
  <c r="O431" i="2"/>
  <c r="R431" i="2" s="1"/>
  <c r="S431" i="2" s="1"/>
  <c r="E431" i="2"/>
  <c r="D431" i="2"/>
  <c r="C431" i="2"/>
  <c r="B431" i="2"/>
  <c r="Q430" i="2"/>
  <c r="O430" i="2"/>
  <c r="R430" i="2" s="1"/>
  <c r="S430" i="2" s="1"/>
  <c r="E430" i="2"/>
  <c r="D430" i="2"/>
  <c r="C430" i="2"/>
  <c r="B430" i="2"/>
  <c r="S429" i="2"/>
  <c r="Q429" i="2"/>
  <c r="O429" i="2"/>
  <c r="R429" i="2" s="1"/>
  <c r="E429" i="2"/>
  <c r="D429" i="2"/>
  <c r="C429" i="2"/>
  <c r="B429" i="2"/>
  <c r="S428" i="2"/>
  <c r="Q428" i="2"/>
  <c r="O428" i="2"/>
  <c r="R428" i="2" s="1"/>
  <c r="E428" i="2"/>
  <c r="D428" i="2"/>
  <c r="C428" i="2"/>
  <c r="B428" i="2"/>
  <c r="Q427" i="2"/>
  <c r="O427" i="2"/>
  <c r="R427" i="2" s="1"/>
  <c r="S427" i="2" s="1"/>
  <c r="E427" i="2"/>
  <c r="D427" i="2"/>
  <c r="C427" i="2"/>
  <c r="B427" i="2"/>
  <c r="S426" i="2"/>
  <c r="Q426" i="2"/>
  <c r="O426" i="2"/>
  <c r="R426" i="2" s="1"/>
  <c r="E426" i="2"/>
  <c r="D426" i="2"/>
  <c r="C426" i="2"/>
  <c r="B426" i="2"/>
  <c r="S425" i="2"/>
  <c r="Q425" i="2"/>
  <c r="O425" i="2"/>
  <c r="R425" i="2" s="1"/>
  <c r="E425" i="2"/>
  <c r="D425" i="2"/>
  <c r="C425" i="2"/>
  <c r="B425" i="2"/>
  <c r="Q424" i="2"/>
  <c r="O424" i="2"/>
  <c r="R424" i="2" s="1"/>
  <c r="S424" i="2" s="1"/>
  <c r="E424" i="2"/>
  <c r="D424" i="2"/>
  <c r="C424" i="2"/>
  <c r="B424" i="2"/>
  <c r="Q423" i="2"/>
  <c r="O423" i="2"/>
  <c r="R423" i="2" s="1"/>
  <c r="S423" i="2" s="1"/>
  <c r="E423" i="2"/>
  <c r="D423" i="2"/>
  <c r="C423" i="2"/>
  <c r="B423" i="2"/>
  <c r="Q422" i="2"/>
  <c r="O422" i="2"/>
  <c r="R422" i="2" s="1"/>
  <c r="S422" i="2" s="1"/>
  <c r="E422" i="2"/>
  <c r="D422" i="2"/>
  <c r="C422" i="2"/>
  <c r="B422" i="2"/>
  <c r="S421" i="2"/>
  <c r="Q421" i="2"/>
  <c r="O421" i="2"/>
  <c r="R421" i="2" s="1"/>
  <c r="E421" i="2"/>
  <c r="D421" i="2"/>
  <c r="C421" i="2"/>
  <c r="B421" i="2"/>
  <c r="S420" i="2"/>
  <c r="Q420" i="2"/>
  <c r="O420" i="2"/>
  <c r="R420" i="2" s="1"/>
  <c r="E420" i="2"/>
  <c r="D420" i="2"/>
  <c r="C420" i="2"/>
  <c r="B420" i="2"/>
  <c r="S419" i="2"/>
  <c r="Q419" i="2"/>
  <c r="O419" i="2"/>
  <c r="R419" i="2" s="1"/>
  <c r="E419" i="2"/>
  <c r="D419" i="2"/>
  <c r="C419" i="2"/>
  <c r="B419" i="2"/>
  <c r="S418" i="2"/>
  <c r="Q418" i="2"/>
  <c r="O418" i="2"/>
  <c r="R418" i="2" s="1"/>
  <c r="E418" i="2"/>
  <c r="D418" i="2"/>
  <c r="C418" i="2"/>
  <c r="B418" i="2"/>
  <c r="Q417" i="2"/>
  <c r="O417" i="2"/>
  <c r="R417" i="2" s="1"/>
  <c r="S417" i="2" s="1"/>
  <c r="E417" i="2"/>
  <c r="D417" i="2"/>
  <c r="C417" i="2"/>
  <c r="B417" i="2"/>
  <c r="Q416" i="2"/>
  <c r="O416" i="2"/>
  <c r="R416" i="2" s="1"/>
  <c r="S416" i="2" s="1"/>
  <c r="E416" i="2"/>
  <c r="D416" i="2"/>
  <c r="C416" i="2"/>
  <c r="B416" i="2"/>
  <c r="Q415" i="2"/>
  <c r="O415" i="2"/>
  <c r="R415" i="2" s="1"/>
  <c r="S415" i="2" s="1"/>
  <c r="E415" i="2"/>
  <c r="D415" i="2"/>
  <c r="C415" i="2"/>
  <c r="B415" i="2"/>
  <c r="Q414" i="2"/>
  <c r="O414" i="2"/>
  <c r="R414" i="2" s="1"/>
  <c r="S414" i="2" s="1"/>
  <c r="E414" i="2"/>
  <c r="D414" i="2"/>
  <c r="C414" i="2"/>
  <c r="B414" i="2"/>
  <c r="S413" i="2"/>
  <c r="Q413" i="2"/>
  <c r="O413" i="2"/>
  <c r="R413" i="2" s="1"/>
  <c r="E413" i="2"/>
  <c r="D413" i="2"/>
  <c r="C413" i="2"/>
  <c r="B413" i="2"/>
  <c r="S412" i="2"/>
  <c r="Q412" i="2"/>
  <c r="O412" i="2"/>
  <c r="R412" i="2" s="1"/>
  <c r="E412" i="2"/>
  <c r="D412" i="2"/>
  <c r="C412" i="2"/>
  <c r="B412" i="2"/>
  <c r="Q411" i="2"/>
  <c r="O411" i="2"/>
  <c r="R411" i="2" s="1"/>
  <c r="S411" i="2" s="1"/>
  <c r="E411" i="2"/>
  <c r="D411" i="2"/>
  <c r="C411" i="2"/>
  <c r="B411" i="2"/>
  <c r="S410" i="2"/>
  <c r="Q410" i="2"/>
  <c r="O410" i="2"/>
  <c r="R410" i="2" s="1"/>
  <c r="E410" i="2"/>
  <c r="D410" i="2"/>
  <c r="C410" i="2"/>
  <c r="B410" i="2"/>
  <c r="Q409" i="2"/>
  <c r="O409" i="2"/>
  <c r="R409" i="2" s="1"/>
  <c r="S409" i="2" s="1"/>
  <c r="E409" i="2"/>
  <c r="D409" i="2"/>
  <c r="C409" i="2"/>
  <c r="B409" i="2"/>
  <c r="Q408" i="2"/>
  <c r="O408" i="2"/>
  <c r="R408" i="2" s="1"/>
  <c r="S408" i="2" s="1"/>
  <c r="E408" i="2"/>
  <c r="D408" i="2"/>
  <c r="C408" i="2"/>
  <c r="B408" i="2"/>
  <c r="Q407" i="2"/>
  <c r="O407" i="2"/>
  <c r="R407" i="2" s="1"/>
  <c r="S407" i="2" s="1"/>
  <c r="E407" i="2"/>
  <c r="D407" i="2"/>
  <c r="C407" i="2"/>
  <c r="B407" i="2"/>
  <c r="Q406" i="2"/>
  <c r="O406" i="2"/>
  <c r="R406" i="2" s="1"/>
  <c r="S406" i="2" s="1"/>
  <c r="E406" i="2"/>
  <c r="D406" i="2"/>
  <c r="C406" i="2"/>
  <c r="B406" i="2"/>
  <c r="S405" i="2"/>
  <c r="Q405" i="2"/>
  <c r="O405" i="2"/>
  <c r="R405" i="2" s="1"/>
  <c r="E405" i="2"/>
  <c r="D405" i="2"/>
  <c r="C405" i="2"/>
  <c r="B405" i="2"/>
  <c r="S404" i="2"/>
  <c r="Q404" i="2"/>
  <c r="O404" i="2"/>
  <c r="R404" i="2" s="1"/>
  <c r="E404" i="2"/>
  <c r="D404" i="2"/>
  <c r="C404" i="2"/>
  <c r="B404" i="2"/>
  <c r="Q403" i="2"/>
  <c r="O403" i="2"/>
  <c r="R403" i="2" s="1"/>
  <c r="S403" i="2" s="1"/>
  <c r="E403" i="2"/>
  <c r="D403" i="2"/>
  <c r="C403" i="2"/>
  <c r="B403" i="2"/>
  <c r="S402" i="2"/>
  <c r="Q402" i="2"/>
  <c r="O402" i="2"/>
  <c r="R402" i="2" s="1"/>
  <c r="E402" i="2"/>
  <c r="D402" i="2"/>
  <c r="C402" i="2"/>
  <c r="B402" i="2"/>
  <c r="S401" i="2"/>
  <c r="Q401" i="2"/>
  <c r="O401" i="2"/>
  <c r="R401" i="2" s="1"/>
  <c r="E401" i="2"/>
  <c r="D401" i="2"/>
  <c r="C401" i="2"/>
  <c r="B401" i="2"/>
  <c r="Q400" i="2"/>
  <c r="O400" i="2"/>
  <c r="R400" i="2" s="1"/>
  <c r="S400" i="2" s="1"/>
  <c r="E400" i="2"/>
  <c r="D400" i="2"/>
  <c r="C400" i="2"/>
  <c r="B400" i="2"/>
  <c r="Q399" i="2"/>
  <c r="O399" i="2"/>
  <c r="R399" i="2" s="1"/>
  <c r="S399" i="2" s="1"/>
  <c r="E399" i="2"/>
  <c r="D399" i="2"/>
  <c r="C399" i="2"/>
  <c r="B399" i="2"/>
  <c r="Q398" i="2"/>
  <c r="O398" i="2"/>
  <c r="R398" i="2" s="1"/>
  <c r="S398" i="2" s="1"/>
  <c r="E398" i="2"/>
  <c r="D398" i="2"/>
  <c r="C398" i="2"/>
  <c r="B398" i="2"/>
  <c r="S397" i="2"/>
  <c r="Q397" i="2"/>
  <c r="O397" i="2"/>
  <c r="R397" i="2" s="1"/>
  <c r="E397" i="2"/>
  <c r="D397" i="2"/>
  <c r="C397" i="2"/>
  <c r="B397" i="2"/>
  <c r="S396" i="2"/>
  <c r="Q396" i="2"/>
  <c r="O396" i="2"/>
  <c r="R396" i="2" s="1"/>
  <c r="E396" i="2"/>
  <c r="D396" i="2"/>
  <c r="C396" i="2"/>
  <c r="B396" i="2"/>
  <c r="Q395" i="2"/>
  <c r="O395" i="2"/>
  <c r="R395" i="2" s="1"/>
  <c r="S395" i="2" s="1"/>
  <c r="E395" i="2"/>
  <c r="D395" i="2"/>
  <c r="C395" i="2"/>
  <c r="B395" i="2"/>
  <c r="S394" i="2"/>
  <c r="Q394" i="2"/>
  <c r="O394" i="2"/>
  <c r="R394" i="2" s="1"/>
  <c r="E394" i="2"/>
  <c r="D394" i="2"/>
  <c r="C394" i="2"/>
  <c r="B394" i="2"/>
  <c r="Q393" i="2"/>
  <c r="O393" i="2"/>
  <c r="R393" i="2" s="1"/>
  <c r="S393" i="2" s="1"/>
  <c r="E393" i="2"/>
  <c r="D393" i="2"/>
  <c r="C393" i="2"/>
  <c r="B393" i="2"/>
  <c r="Q392" i="2"/>
  <c r="O392" i="2"/>
  <c r="R392" i="2" s="1"/>
  <c r="S392" i="2" s="1"/>
  <c r="E392" i="2"/>
  <c r="D392" i="2"/>
  <c r="C392" i="2"/>
  <c r="B392" i="2"/>
  <c r="Q391" i="2"/>
  <c r="O391" i="2"/>
  <c r="R391" i="2" s="1"/>
  <c r="S391" i="2" s="1"/>
  <c r="E391" i="2"/>
  <c r="D391" i="2"/>
  <c r="C391" i="2"/>
  <c r="B391" i="2"/>
  <c r="Q390" i="2"/>
  <c r="O390" i="2"/>
  <c r="R390" i="2" s="1"/>
  <c r="S390" i="2" s="1"/>
  <c r="E390" i="2"/>
  <c r="D390" i="2"/>
  <c r="C390" i="2"/>
  <c r="B390" i="2"/>
  <c r="S389" i="2"/>
  <c r="Q389" i="2"/>
  <c r="O389" i="2"/>
  <c r="R389" i="2" s="1"/>
  <c r="E389" i="2"/>
  <c r="D389" i="2"/>
  <c r="C389" i="2"/>
  <c r="B389" i="2"/>
  <c r="S388" i="2"/>
  <c r="Q388" i="2"/>
  <c r="O388" i="2"/>
  <c r="R388" i="2" s="1"/>
  <c r="E388" i="2"/>
  <c r="D388" i="2"/>
  <c r="C388" i="2"/>
  <c r="B388" i="2"/>
  <c r="Q387" i="2"/>
  <c r="O387" i="2"/>
  <c r="R387" i="2" s="1"/>
  <c r="S387" i="2" s="1"/>
  <c r="E387" i="2"/>
  <c r="D387" i="2"/>
  <c r="C387" i="2"/>
  <c r="B387" i="2"/>
  <c r="S386" i="2"/>
  <c r="Q386" i="2"/>
  <c r="O386" i="2"/>
  <c r="R386" i="2" s="1"/>
  <c r="E386" i="2"/>
  <c r="D386" i="2"/>
  <c r="C386" i="2"/>
  <c r="B386" i="2"/>
  <c r="Q385" i="2"/>
  <c r="O385" i="2"/>
  <c r="R385" i="2" s="1"/>
  <c r="S385" i="2" s="1"/>
  <c r="E385" i="2"/>
  <c r="D385" i="2"/>
  <c r="C385" i="2"/>
  <c r="B385" i="2"/>
  <c r="Q384" i="2"/>
  <c r="O384" i="2"/>
  <c r="R384" i="2" s="1"/>
  <c r="S384" i="2" s="1"/>
  <c r="E384" i="2"/>
  <c r="D384" i="2"/>
  <c r="C384" i="2"/>
  <c r="B384" i="2"/>
  <c r="Q383" i="2"/>
  <c r="O383" i="2"/>
  <c r="R383" i="2" s="1"/>
  <c r="S383" i="2" s="1"/>
  <c r="E383" i="2"/>
  <c r="D383" i="2"/>
  <c r="C383" i="2"/>
  <c r="B383" i="2"/>
  <c r="Q382" i="2"/>
  <c r="O382" i="2"/>
  <c r="R382" i="2" s="1"/>
  <c r="S382" i="2" s="1"/>
  <c r="E382" i="2"/>
  <c r="D382" i="2"/>
  <c r="C382" i="2"/>
  <c r="B382" i="2"/>
  <c r="S381" i="2"/>
  <c r="Q381" i="2"/>
  <c r="O381" i="2"/>
  <c r="R381" i="2" s="1"/>
  <c r="E381" i="2"/>
  <c r="D381" i="2"/>
  <c r="C381" i="2"/>
  <c r="B381" i="2"/>
  <c r="S380" i="2"/>
  <c r="Q380" i="2"/>
  <c r="O380" i="2"/>
  <c r="R380" i="2" s="1"/>
  <c r="E380" i="2"/>
  <c r="D380" i="2"/>
  <c r="C380" i="2"/>
  <c r="B380" i="2"/>
  <c r="S379" i="2"/>
  <c r="Q379" i="2"/>
  <c r="O379" i="2"/>
  <c r="R379" i="2" s="1"/>
  <c r="E379" i="2"/>
  <c r="D379" i="2"/>
  <c r="C379" i="2"/>
  <c r="B379" i="2"/>
  <c r="S378" i="2"/>
  <c r="Q378" i="2"/>
  <c r="O378" i="2"/>
  <c r="R378" i="2" s="1"/>
  <c r="E378" i="2"/>
  <c r="D378" i="2"/>
  <c r="C378" i="2"/>
  <c r="B378" i="2"/>
  <c r="Q377" i="2"/>
  <c r="O377" i="2"/>
  <c r="R377" i="2" s="1"/>
  <c r="S377" i="2" s="1"/>
  <c r="E377" i="2"/>
  <c r="D377" i="2"/>
  <c r="C377" i="2"/>
  <c r="B377" i="2"/>
  <c r="Q376" i="2"/>
  <c r="O376" i="2"/>
  <c r="R376" i="2" s="1"/>
  <c r="S376" i="2" s="1"/>
  <c r="E376" i="2"/>
  <c r="D376" i="2"/>
  <c r="C376" i="2"/>
  <c r="B376" i="2"/>
  <c r="Q375" i="2"/>
  <c r="O375" i="2"/>
  <c r="R375" i="2" s="1"/>
  <c r="S375" i="2" s="1"/>
  <c r="E375" i="2"/>
  <c r="D375" i="2"/>
  <c r="C375" i="2"/>
  <c r="B375" i="2"/>
  <c r="Q374" i="2"/>
  <c r="O374" i="2"/>
  <c r="R374" i="2" s="1"/>
  <c r="S374" i="2" s="1"/>
  <c r="E374" i="2"/>
  <c r="D374" i="2"/>
  <c r="C374" i="2"/>
  <c r="B374" i="2"/>
  <c r="S373" i="2"/>
  <c r="Q373" i="2"/>
  <c r="O373" i="2"/>
  <c r="R373" i="2" s="1"/>
  <c r="E373" i="2"/>
  <c r="D373" i="2"/>
  <c r="C373" i="2"/>
  <c r="B373" i="2"/>
  <c r="S372" i="2"/>
  <c r="Q372" i="2"/>
  <c r="O372" i="2"/>
  <c r="R372" i="2" s="1"/>
  <c r="E372" i="2"/>
  <c r="D372" i="2"/>
  <c r="C372" i="2"/>
  <c r="B372" i="2"/>
  <c r="Q371" i="2"/>
  <c r="O371" i="2"/>
  <c r="R371" i="2" s="1"/>
  <c r="S371" i="2" s="1"/>
  <c r="E371" i="2"/>
  <c r="D371" i="2"/>
  <c r="C371" i="2"/>
  <c r="B371" i="2"/>
  <c r="S370" i="2"/>
  <c r="Q370" i="2"/>
  <c r="O370" i="2"/>
  <c r="R370" i="2" s="1"/>
  <c r="E370" i="2"/>
  <c r="D370" i="2"/>
  <c r="C370" i="2"/>
  <c r="B370" i="2"/>
  <c r="Q369" i="2"/>
  <c r="O369" i="2"/>
  <c r="R369" i="2" s="1"/>
  <c r="S369" i="2" s="1"/>
  <c r="E369" i="2"/>
  <c r="D369" i="2"/>
  <c r="C369" i="2"/>
  <c r="B369" i="2"/>
  <c r="Q368" i="2"/>
  <c r="O368" i="2"/>
  <c r="R368" i="2" s="1"/>
  <c r="S368" i="2" s="1"/>
  <c r="E368" i="2"/>
  <c r="D368" i="2"/>
  <c r="C368" i="2"/>
  <c r="B368" i="2"/>
  <c r="Q367" i="2"/>
  <c r="O367" i="2"/>
  <c r="R367" i="2" s="1"/>
  <c r="S367" i="2" s="1"/>
  <c r="E367" i="2"/>
  <c r="D367" i="2"/>
  <c r="C367" i="2"/>
  <c r="B367" i="2"/>
  <c r="Q366" i="2"/>
  <c r="O366" i="2"/>
  <c r="R366" i="2" s="1"/>
  <c r="S366" i="2" s="1"/>
  <c r="E366" i="2"/>
  <c r="D366" i="2"/>
  <c r="C366" i="2"/>
  <c r="B366" i="2"/>
  <c r="S365" i="2"/>
  <c r="Q365" i="2"/>
  <c r="O365" i="2"/>
  <c r="R365" i="2" s="1"/>
  <c r="E365" i="2"/>
  <c r="D365" i="2"/>
  <c r="C365" i="2"/>
  <c r="B365" i="2"/>
  <c r="R364" i="2"/>
  <c r="S364" i="2" s="1"/>
  <c r="Q364" i="2"/>
  <c r="O364" i="2"/>
  <c r="E364" i="2"/>
  <c r="D364" i="2"/>
  <c r="C364" i="2"/>
  <c r="B364" i="2"/>
  <c r="R363" i="2"/>
  <c r="S363" i="2" s="1"/>
  <c r="Q363" i="2"/>
  <c r="O363" i="2"/>
  <c r="E363" i="2"/>
  <c r="D363" i="2"/>
  <c r="C363" i="2"/>
  <c r="B363" i="2"/>
  <c r="R362" i="2"/>
  <c r="S362" i="2" s="1"/>
  <c r="Q362" i="2"/>
  <c r="O362" i="2"/>
  <c r="E362" i="2"/>
  <c r="D362" i="2"/>
  <c r="C362" i="2"/>
  <c r="B362" i="2"/>
  <c r="R361" i="2"/>
  <c r="S361" i="2" s="1"/>
  <c r="Q361" i="2"/>
  <c r="O361" i="2"/>
  <c r="E361" i="2"/>
  <c r="D361" i="2"/>
  <c r="C361" i="2"/>
  <c r="B361" i="2"/>
  <c r="R360" i="2"/>
  <c r="S360" i="2" s="1"/>
  <c r="Q360" i="2"/>
  <c r="O360" i="2"/>
  <c r="E360" i="2"/>
  <c r="D360" i="2"/>
  <c r="C360" i="2"/>
  <c r="B360" i="2"/>
  <c r="R359" i="2"/>
  <c r="S359" i="2" s="1"/>
  <c r="Q359" i="2"/>
  <c r="O359" i="2"/>
  <c r="E359" i="2"/>
  <c r="D359" i="2"/>
  <c r="C359" i="2"/>
  <c r="B359" i="2"/>
  <c r="R358" i="2"/>
  <c r="S358" i="2" s="1"/>
  <c r="Q358" i="2"/>
  <c r="O358" i="2"/>
  <c r="E358" i="2"/>
  <c r="D358" i="2"/>
  <c r="C358" i="2"/>
  <c r="B358" i="2"/>
  <c r="R357" i="2"/>
  <c r="S357" i="2" s="1"/>
  <c r="Q357" i="2"/>
  <c r="O357" i="2"/>
  <c r="E357" i="2"/>
  <c r="D357" i="2"/>
  <c r="C357" i="2"/>
  <c r="B357" i="2"/>
  <c r="R356" i="2"/>
  <c r="S356" i="2" s="1"/>
  <c r="Q356" i="2"/>
  <c r="O356" i="2"/>
  <c r="E356" i="2"/>
  <c r="D356" i="2"/>
  <c r="C356" i="2"/>
  <c r="B356" i="2"/>
  <c r="R355" i="2"/>
  <c r="S355" i="2" s="1"/>
  <c r="Q355" i="2"/>
  <c r="O355" i="2"/>
  <c r="E355" i="2"/>
  <c r="D355" i="2"/>
  <c r="C355" i="2"/>
  <c r="B355" i="2"/>
  <c r="R354" i="2"/>
  <c r="S354" i="2" s="1"/>
  <c r="Q354" i="2"/>
  <c r="O354" i="2"/>
  <c r="E354" i="2"/>
  <c r="D354" i="2"/>
  <c r="C354" i="2"/>
  <c r="B354" i="2"/>
  <c r="R353" i="2"/>
  <c r="S353" i="2" s="1"/>
  <c r="Q353" i="2"/>
  <c r="O353" i="2"/>
  <c r="E353" i="2"/>
  <c r="D353" i="2"/>
  <c r="C353" i="2"/>
  <c r="B353" i="2"/>
  <c r="R352" i="2"/>
  <c r="S352" i="2" s="1"/>
  <c r="Q352" i="2"/>
  <c r="O352" i="2"/>
  <c r="E352" i="2"/>
  <c r="D352" i="2"/>
  <c r="C352" i="2"/>
  <c r="B352" i="2"/>
  <c r="R351" i="2"/>
  <c r="S351" i="2" s="1"/>
  <c r="Q351" i="2"/>
  <c r="O351" i="2"/>
  <c r="E351" i="2"/>
  <c r="D351" i="2"/>
  <c r="C351" i="2"/>
  <c r="B351" i="2"/>
  <c r="R350" i="2"/>
  <c r="S350" i="2" s="1"/>
  <c r="Q350" i="2"/>
  <c r="O350" i="2"/>
  <c r="E350" i="2"/>
  <c r="D350" i="2"/>
  <c r="C350" i="2"/>
  <c r="B350" i="2"/>
  <c r="R349" i="2"/>
  <c r="S349" i="2" s="1"/>
  <c r="Q349" i="2"/>
  <c r="O349" i="2"/>
  <c r="E349" i="2"/>
  <c r="D349" i="2"/>
  <c r="C349" i="2"/>
  <c r="B349" i="2"/>
  <c r="R348" i="2"/>
  <c r="S348" i="2" s="1"/>
  <c r="Q348" i="2"/>
  <c r="O348" i="2"/>
  <c r="E348" i="2"/>
  <c r="D348" i="2"/>
  <c r="C348" i="2"/>
  <c r="B348" i="2"/>
  <c r="R347" i="2"/>
  <c r="S347" i="2" s="1"/>
  <c r="Q347" i="2"/>
  <c r="O347" i="2"/>
  <c r="E347" i="2"/>
  <c r="D347" i="2"/>
  <c r="C347" i="2"/>
  <c r="B347" i="2"/>
  <c r="R346" i="2"/>
  <c r="S346" i="2" s="1"/>
  <c r="Q346" i="2"/>
  <c r="O346" i="2"/>
  <c r="E346" i="2"/>
  <c r="D346" i="2"/>
  <c r="C346" i="2"/>
  <c r="B346" i="2"/>
  <c r="R345" i="2"/>
  <c r="S345" i="2" s="1"/>
  <c r="Q345" i="2"/>
  <c r="O345" i="2"/>
  <c r="E345" i="2"/>
  <c r="D345" i="2"/>
  <c r="C345" i="2"/>
  <c r="B345" i="2"/>
  <c r="R344" i="2"/>
  <c r="S344" i="2" s="1"/>
  <c r="Q344" i="2"/>
  <c r="O344" i="2"/>
  <c r="E344" i="2"/>
  <c r="D344" i="2"/>
  <c r="C344" i="2"/>
  <c r="B344" i="2"/>
  <c r="R343" i="2"/>
  <c r="S343" i="2" s="1"/>
  <c r="Q343" i="2"/>
  <c r="O343" i="2"/>
  <c r="E343" i="2"/>
  <c r="D343" i="2"/>
  <c r="C343" i="2"/>
  <c r="B343" i="2"/>
  <c r="R342" i="2"/>
  <c r="S342" i="2" s="1"/>
  <c r="Q342" i="2"/>
  <c r="O342" i="2"/>
  <c r="E342" i="2"/>
  <c r="D342" i="2"/>
  <c r="C342" i="2"/>
  <c r="B342" i="2"/>
  <c r="R341" i="2"/>
  <c r="S341" i="2" s="1"/>
  <c r="Q341" i="2"/>
  <c r="O341" i="2"/>
  <c r="E341" i="2"/>
  <c r="D341" i="2"/>
  <c r="C341" i="2"/>
  <c r="B341" i="2"/>
  <c r="R340" i="2"/>
  <c r="S340" i="2" s="1"/>
  <c r="Q340" i="2"/>
  <c r="O340" i="2"/>
  <c r="E340" i="2"/>
  <c r="D340" i="2"/>
  <c r="C340" i="2"/>
  <c r="B340" i="2"/>
  <c r="R339" i="2"/>
  <c r="S339" i="2" s="1"/>
  <c r="Q339" i="2"/>
  <c r="O339" i="2"/>
  <c r="E339" i="2"/>
  <c r="D339" i="2"/>
  <c r="C339" i="2"/>
  <c r="B339" i="2"/>
  <c r="R338" i="2"/>
  <c r="S338" i="2" s="1"/>
  <c r="Q338" i="2"/>
  <c r="O338" i="2"/>
  <c r="E338" i="2"/>
  <c r="D338" i="2"/>
  <c r="C338" i="2"/>
  <c r="B338" i="2"/>
  <c r="R337" i="2"/>
  <c r="S337" i="2" s="1"/>
  <c r="Q337" i="2"/>
  <c r="O337" i="2"/>
  <c r="E337" i="2"/>
  <c r="D337" i="2"/>
  <c r="C337" i="2"/>
  <c r="B337" i="2"/>
  <c r="R336" i="2"/>
  <c r="S336" i="2" s="1"/>
  <c r="Q336" i="2"/>
  <c r="O336" i="2"/>
  <c r="E336" i="2"/>
  <c r="D336" i="2"/>
  <c r="C336" i="2"/>
  <c r="B336" i="2"/>
  <c r="R335" i="2"/>
  <c r="S335" i="2" s="1"/>
  <c r="Q335" i="2"/>
  <c r="O335" i="2"/>
  <c r="E335" i="2"/>
  <c r="D335" i="2"/>
  <c r="C335" i="2"/>
  <c r="B335" i="2"/>
  <c r="R334" i="2"/>
  <c r="S334" i="2" s="1"/>
  <c r="Q334" i="2"/>
  <c r="O334" i="2"/>
  <c r="E334" i="2"/>
  <c r="D334" i="2"/>
  <c r="C334" i="2"/>
  <c r="B334" i="2"/>
  <c r="R333" i="2"/>
  <c r="S333" i="2" s="1"/>
  <c r="Q333" i="2"/>
  <c r="O333" i="2"/>
  <c r="E333" i="2"/>
  <c r="D333" i="2"/>
  <c r="C333" i="2"/>
  <c r="B333" i="2"/>
  <c r="R332" i="2"/>
  <c r="S332" i="2" s="1"/>
  <c r="Q332" i="2"/>
  <c r="O332" i="2"/>
  <c r="E332" i="2"/>
  <c r="D332" i="2"/>
  <c r="C332" i="2"/>
  <c r="B332" i="2"/>
  <c r="R331" i="2"/>
  <c r="S331" i="2" s="1"/>
  <c r="Q331" i="2"/>
  <c r="O331" i="2"/>
  <c r="E331" i="2"/>
  <c r="D331" i="2"/>
  <c r="C331" i="2"/>
  <c r="B331" i="2"/>
  <c r="R330" i="2"/>
  <c r="S330" i="2" s="1"/>
  <c r="Q330" i="2"/>
  <c r="O330" i="2"/>
  <c r="E330" i="2"/>
  <c r="D330" i="2"/>
  <c r="C330" i="2"/>
  <c r="B330" i="2"/>
  <c r="R329" i="2"/>
  <c r="S329" i="2" s="1"/>
  <c r="Q329" i="2"/>
  <c r="O329" i="2"/>
  <c r="E329" i="2"/>
  <c r="D329" i="2"/>
  <c r="C329" i="2"/>
  <c r="B329" i="2"/>
  <c r="R328" i="2"/>
  <c r="S328" i="2" s="1"/>
  <c r="Q328" i="2"/>
  <c r="O328" i="2"/>
  <c r="E328" i="2"/>
  <c r="D328" i="2"/>
  <c r="C328" i="2"/>
  <c r="B328" i="2"/>
  <c r="R327" i="2"/>
  <c r="S327" i="2" s="1"/>
  <c r="Q327" i="2"/>
  <c r="O327" i="2"/>
  <c r="E327" i="2"/>
  <c r="D327" i="2"/>
  <c r="C327" i="2"/>
  <c r="B327" i="2"/>
  <c r="R326" i="2"/>
  <c r="S326" i="2" s="1"/>
  <c r="Q326" i="2"/>
  <c r="O326" i="2"/>
  <c r="E326" i="2"/>
  <c r="D326" i="2"/>
  <c r="C326" i="2"/>
  <c r="B326" i="2"/>
  <c r="R325" i="2"/>
  <c r="S325" i="2" s="1"/>
  <c r="Q325" i="2"/>
  <c r="O325" i="2"/>
  <c r="E325" i="2"/>
  <c r="D325" i="2"/>
  <c r="C325" i="2"/>
  <c r="B325" i="2"/>
  <c r="R324" i="2"/>
  <c r="S324" i="2" s="1"/>
  <c r="Q324" i="2"/>
  <c r="O324" i="2"/>
  <c r="E324" i="2"/>
  <c r="D324" i="2"/>
  <c r="C324" i="2"/>
  <c r="B324" i="2"/>
  <c r="R323" i="2"/>
  <c r="S323" i="2" s="1"/>
  <c r="Q323" i="2"/>
  <c r="O323" i="2"/>
  <c r="E323" i="2"/>
  <c r="D323" i="2"/>
  <c r="C323" i="2"/>
  <c r="B323" i="2"/>
  <c r="R322" i="2"/>
  <c r="S322" i="2" s="1"/>
  <c r="Q322" i="2"/>
  <c r="O322" i="2"/>
  <c r="E322" i="2"/>
  <c r="D322" i="2"/>
  <c r="C322" i="2"/>
  <c r="B322" i="2"/>
  <c r="R321" i="2"/>
  <c r="S321" i="2" s="1"/>
  <c r="Q321" i="2"/>
  <c r="O321" i="2"/>
  <c r="E321" i="2"/>
  <c r="D321" i="2"/>
  <c r="C321" i="2"/>
  <c r="B321" i="2"/>
  <c r="R320" i="2"/>
  <c r="S320" i="2" s="1"/>
  <c r="Q320" i="2"/>
  <c r="O320" i="2"/>
  <c r="E320" i="2"/>
  <c r="D320" i="2"/>
  <c r="C320" i="2"/>
  <c r="B320" i="2"/>
  <c r="R319" i="2"/>
  <c r="S319" i="2" s="1"/>
  <c r="Q319" i="2"/>
  <c r="O319" i="2"/>
  <c r="E319" i="2"/>
  <c r="D319" i="2"/>
  <c r="C319" i="2"/>
  <c r="B319" i="2"/>
  <c r="R318" i="2"/>
  <c r="S318" i="2" s="1"/>
  <c r="Q318" i="2"/>
  <c r="O318" i="2"/>
  <c r="E318" i="2"/>
  <c r="D318" i="2"/>
  <c r="C318" i="2"/>
  <c r="B318" i="2"/>
  <c r="R317" i="2"/>
  <c r="S317" i="2" s="1"/>
  <c r="Q317" i="2"/>
  <c r="O317" i="2"/>
  <c r="E317" i="2"/>
  <c r="D317" i="2"/>
  <c r="C317" i="2"/>
  <c r="B317" i="2"/>
  <c r="R316" i="2"/>
  <c r="S316" i="2" s="1"/>
  <c r="Q316" i="2"/>
  <c r="O316" i="2"/>
  <c r="E316" i="2"/>
  <c r="D316" i="2"/>
  <c r="C316" i="2"/>
  <c r="B316" i="2"/>
  <c r="R315" i="2"/>
  <c r="S315" i="2" s="1"/>
  <c r="Q315" i="2"/>
  <c r="O315" i="2"/>
  <c r="E315" i="2"/>
  <c r="D315" i="2"/>
  <c r="C315" i="2"/>
  <c r="B315" i="2"/>
  <c r="R314" i="2"/>
  <c r="S314" i="2" s="1"/>
  <c r="Q314" i="2"/>
  <c r="O314" i="2"/>
  <c r="E314" i="2"/>
  <c r="D314" i="2"/>
  <c r="C314" i="2"/>
  <c r="B314" i="2"/>
  <c r="R313" i="2"/>
  <c r="S313" i="2" s="1"/>
  <c r="Q313" i="2"/>
  <c r="O313" i="2"/>
  <c r="E313" i="2"/>
  <c r="D313" i="2"/>
  <c r="C313" i="2"/>
  <c r="B313" i="2"/>
  <c r="R312" i="2"/>
  <c r="S312" i="2" s="1"/>
  <c r="Q312" i="2"/>
  <c r="O312" i="2"/>
  <c r="E312" i="2"/>
  <c r="D312" i="2"/>
  <c r="C312" i="2"/>
  <c r="B312" i="2"/>
  <c r="R311" i="2"/>
  <c r="S311" i="2" s="1"/>
  <c r="Q311" i="2"/>
  <c r="O311" i="2"/>
  <c r="E311" i="2"/>
  <c r="D311" i="2"/>
  <c r="C311" i="2"/>
  <c r="B311" i="2"/>
  <c r="R310" i="2"/>
  <c r="S310" i="2" s="1"/>
  <c r="Q310" i="2"/>
  <c r="O310" i="2"/>
  <c r="E310" i="2"/>
  <c r="D310" i="2"/>
  <c r="C310" i="2"/>
  <c r="B310" i="2"/>
  <c r="R309" i="2"/>
  <c r="S309" i="2" s="1"/>
  <c r="Q309" i="2"/>
  <c r="O309" i="2"/>
  <c r="E309" i="2"/>
  <c r="D309" i="2"/>
  <c r="C309" i="2"/>
  <c r="B309" i="2"/>
  <c r="R308" i="2"/>
  <c r="S308" i="2" s="1"/>
  <c r="Q308" i="2"/>
  <c r="O308" i="2"/>
  <c r="E308" i="2"/>
  <c r="D308" i="2"/>
  <c r="C308" i="2"/>
  <c r="B308" i="2"/>
  <c r="R307" i="2"/>
  <c r="S307" i="2" s="1"/>
  <c r="Q307" i="2"/>
  <c r="O307" i="2"/>
  <c r="E307" i="2"/>
  <c r="D307" i="2"/>
  <c r="C307" i="2"/>
  <c r="B307" i="2"/>
  <c r="R306" i="2"/>
  <c r="S306" i="2" s="1"/>
  <c r="Q306" i="2"/>
  <c r="O306" i="2"/>
  <c r="E306" i="2"/>
  <c r="D306" i="2"/>
  <c r="C306" i="2"/>
  <c r="B306" i="2"/>
  <c r="R305" i="2"/>
  <c r="S305" i="2" s="1"/>
  <c r="Q305" i="2"/>
  <c r="O305" i="2"/>
  <c r="E305" i="2"/>
  <c r="D305" i="2"/>
  <c r="C305" i="2"/>
  <c r="B305" i="2"/>
  <c r="R304" i="2"/>
  <c r="S304" i="2" s="1"/>
  <c r="Q304" i="2"/>
  <c r="O304" i="2"/>
  <c r="E304" i="2"/>
  <c r="D304" i="2"/>
  <c r="C304" i="2"/>
  <c r="B304" i="2"/>
  <c r="R303" i="2"/>
  <c r="S303" i="2" s="1"/>
  <c r="Q303" i="2"/>
  <c r="O303" i="2"/>
  <c r="E303" i="2"/>
  <c r="D303" i="2"/>
  <c r="C303" i="2"/>
  <c r="B303" i="2"/>
  <c r="R302" i="2"/>
  <c r="S302" i="2" s="1"/>
  <c r="Q302" i="2"/>
  <c r="O302" i="2"/>
  <c r="E302" i="2"/>
  <c r="D302" i="2"/>
  <c r="C302" i="2"/>
  <c r="B302" i="2"/>
  <c r="R301" i="2"/>
  <c r="S301" i="2" s="1"/>
  <c r="Q301" i="2"/>
  <c r="O301" i="2"/>
  <c r="E301" i="2"/>
  <c r="D301" i="2"/>
  <c r="C301" i="2"/>
  <c r="B301" i="2"/>
  <c r="R300" i="2"/>
  <c r="S300" i="2" s="1"/>
  <c r="Q300" i="2"/>
  <c r="O300" i="2"/>
  <c r="E300" i="2"/>
  <c r="D300" i="2"/>
  <c r="C300" i="2"/>
  <c r="B300" i="2"/>
  <c r="R299" i="2"/>
  <c r="S299" i="2" s="1"/>
  <c r="Q299" i="2"/>
  <c r="O299" i="2"/>
  <c r="E299" i="2"/>
  <c r="D299" i="2"/>
  <c r="C299" i="2"/>
  <c r="B299" i="2"/>
  <c r="R298" i="2"/>
  <c r="S298" i="2" s="1"/>
  <c r="Q298" i="2"/>
  <c r="O298" i="2"/>
  <c r="E298" i="2"/>
  <c r="D298" i="2"/>
  <c r="C298" i="2"/>
  <c r="B298" i="2"/>
  <c r="R297" i="2"/>
  <c r="S297" i="2" s="1"/>
  <c r="Q297" i="2"/>
  <c r="O297" i="2"/>
  <c r="E297" i="2"/>
  <c r="D297" i="2"/>
  <c r="C297" i="2"/>
  <c r="B297" i="2"/>
  <c r="R296" i="2"/>
  <c r="S296" i="2" s="1"/>
  <c r="Q296" i="2"/>
  <c r="O296" i="2"/>
  <c r="E296" i="2"/>
  <c r="D296" i="2"/>
  <c r="C296" i="2"/>
  <c r="B296" i="2"/>
  <c r="R295" i="2"/>
  <c r="S295" i="2" s="1"/>
  <c r="Q295" i="2"/>
  <c r="O295" i="2"/>
  <c r="E295" i="2"/>
  <c r="D295" i="2"/>
  <c r="C295" i="2"/>
  <c r="B295" i="2"/>
  <c r="R294" i="2"/>
  <c r="S294" i="2" s="1"/>
  <c r="Q294" i="2"/>
  <c r="O294" i="2"/>
  <c r="E294" i="2"/>
  <c r="D294" i="2"/>
  <c r="C294" i="2"/>
  <c r="B294" i="2"/>
  <c r="R293" i="2"/>
  <c r="S293" i="2" s="1"/>
  <c r="Q293" i="2"/>
  <c r="O293" i="2"/>
  <c r="E293" i="2"/>
  <c r="D293" i="2"/>
  <c r="C293" i="2"/>
  <c r="B293" i="2"/>
  <c r="R292" i="2"/>
  <c r="S292" i="2" s="1"/>
  <c r="Q292" i="2"/>
  <c r="O292" i="2"/>
  <c r="E292" i="2"/>
  <c r="D292" i="2"/>
  <c r="C292" i="2"/>
  <c r="B292" i="2"/>
  <c r="R291" i="2"/>
  <c r="S291" i="2" s="1"/>
  <c r="Q291" i="2"/>
  <c r="O291" i="2"/>
  <c r="E291" i="2"/>
  <c r="D291" i="2"/>
  <c r="C291" i="2"/>
  <c r="B291" i="2"/>
  <c r="R290" i="2"/>
  <c r="S290" i="2" s="1"/>
  <c r="Q290" i="2"/>
  <c r="O290" i="2"/>
  <c r="E290" i="2"/>
  <c r="D290" i="2"/>
  <c r="C290" i="2"/>
  <c r="B290" i="2"/>
  <c r="R289" i="2"/>
  <c r="S289" i="2" s="1"/>
  <c r="Q289" i="2"/>
  <c r="O289" i="2"/>
  <c r="E289" i="2"/>
  <c r="D289" i="2"/>
  <c r="C289" i="2"/>
  <c r="B289" i="2"/>
  <c r="R288" i="2"/>
  <c r="S288" i="2" s="1"/>
  <c r="Q288" i="2"/>
  <c r="O288" i="2"/>
  <c r="E288" i="2"/>
  <c r="D288" i="2"/>
  <c r="C288" i="2"/>
  <c r="B288" i="2"/>
  <c r="R287" i="2"/>
  <c r="S287" i="2" s="1"/>
  <c r="Q287" i="2"/>
  <c r="O287" i="2"/>
  <c r="E287" i="2"/>
  <c r="D287" i="2"/>
  <c r="C287" i="2"/>
  <c r="B287" i="2"/>
  <c r="R286" i="2"/>
  <c r="S286" i="2" s="1"/>
  <c r="Q286" i="2"/>
  <c r="O286" i="2"/>
  <c r="E286" i="2"/>
  <c r="D286" i="2"/>
  <c r="C286" i="2"/>
  <c r="B286" i="2"/>
  <c r="R285" i="2"/>
  <c r="S285" i="2" s="1"/>
  <c r="Q285" i="2"/>
  <c r="O285" i="2"/>
  <c r="E285" i="2"/>
  <c r="D285" i="2"/>
  <c r="C285" i="2"/>
  <c r="B285" i="2"/>
  <c r="R284" i="2"/>
  <c r="S284" i="2" s="1"/>
  <c r="Q284" i="2"/>
  <c r="O284" i="2"/>
  <c r="E284" i="2"/>
  <c r="D284" i="2"/>
  <c r="C284" i="2"/>
  <c r="B284" i="2"/>
  <c r="R283" i="2"/>
  <c r="S283" i="2" s="1"/>
  <c r="Q283" i="2"/>
  <c r="O283" i="2"/>
  <c r="E283" i="2"/>
  <c r="D283" i="2"/>
  <c r="C283" i="2"/>
  <c r="B283" i="2"/>
  <c r="R282" i="2"/>
  <c r="S282" i="2" s="1"/>
  <c r="Q282" i="2"/>
  <c r="O282" i="2"/>
  <c r="E282" i="2"/>
  <c r="D282" i="2"/>
  <c r="C282" i="2"/>
  <c r="B282" i="2"/>
  <c r="R281" i="2"/>
  <c r="S281" i="2" s="1"/>
  <c r="Q281" i="2"/>
  <c r="O281" i="2"/>
  <c r="E281" i="2"/>
  <c r="D281" i="2"/>
  <c r="C281" i="2"/>
  <c r="B281" i="2"/>
  <c r="R280" i="2"/>
  <c r="S280" i="2" s="1"/>
  <c r="Q280" i="2"/>
  <c r="O280" i="2"/>
  <c r="E280" i="2"/>
  <c r="D280" i="2"/>
  <c r="C280" i="2"/>
  <c r="B280" i="2"/>
  <c r="R279" i="2"/>
  <c r="S279" i="2" s="1"/>
  <c r="Q279" i="2"/>
  <c r="O279" i="2"/>
  <c r="E279" i="2"/>
  <c r="D279" i="2"/>
  <c r="C279" i="2"/>
  <c r="B279" i="2"/>
  <c r="R278" i="2"/>
  <c r="S278" i="2" s="1"/>
  <c r="Q278" i="2"/>
  <c r="O278" i="2"/>
  <c r="E278" i="2"/>
  <c r="D278" i="2"/>
  <c r="C278" i="2"/>
  <c r="B278" i="2"/>
  <c r="R277" i="2"/>
  <c r="S277" i="2" s="1"/>
  <c r="Q277" i="2"/>
  <c r="O277" i="2"/>
  <c r="E277" i="2"/>
  <c r="D277" i="2"/>
  <c r="C277" i="2"/>
  <c r="B277" i="2"/>
  <c r="R276" i="2"/>
  <c r="S276" i="2" s="1"/>
  <c r="Q276" i="2"/>
  <c r="O276" i="2"/>
  <c r="E276" i="2"/>
  <c r="D276" i="2"/>
  <c r="C276" i="2"/>
  <c r="B276" i="2"/>
  <c r="R275" i="2"/>
  <c r="S275" i="2" s="1"/>
  <c r="Q275" i="2"/>
  <c r="O275" i="2"/>
  <c r="E275" i="2"/>
  <c r="D275" i="2"/>
  <c r="C275" i="2"/>
  <c r="B275" i="2"/>
  <c r="R274" i="2"/>
  <c r="S274" i="2" s="1"/>
  <c r="Q274" i="2"/>
  <c r="O274" i="2"/>
  <c r="E274" i="2"/>
  <c r="D274" i="2"/>
  <c r="C274" i="2"/>
  <c r="B274" i="2"/>
  <c r="R273" i="2"/>
  <c r="S273" i="2" s="1"/>
  <c r="Q273" i="2"/>
  <c r="O273" i="2"/>
  <c r="E273" i="2"/>
  <c r="D273" i="2"/>
  <c r="C273" i="2"/>
  <c r="B273" i="2"/>
  <c r="R272" i="2"/>
  <c r="S272" i="2" s="1"/>
  <c r="Q272" i="2"/>
  <c r="O272" i="2"/>
  <c r="E272" i="2"/>
  <c r="D272" i="2"/>
  <c r="C272" i="2"/>
  <c r="B272" i="2"/>
  <c r="R271" i="2"/>
  <c r="S271" i="2" s="1"/>
  <c r="Q271" i="2"/>
  <c r="O271" i="2"/>
  <c r="E271" i="2"/>
  <c r="D271" i="2"/>
  <c r="C271" i="2"/>
  <c r="B271" i="2"/>
  <c r="R270" i="2"/>
  <c r="S270" i="2" s="1"/>
  <c r="Q270" i="2"/>
  <c r="O270" i="2"/>
  <c r="E270" i="2"/>
  <c r="D270" i="2"/>
  <c r="C270" i="2"/>
  <c r="B270" i="2"/>
  <c r="R269" i="2"/>
  <c r="S269" i="2" s="1"/>
  <c r="Q269" i="2"/>
  <c r="O269" i="2"/>
  <c r="E269" i="2"/>
  <c r="D269" i="2"/>
  <c r="C269" i="2"/>
  <c r="B269" i="2"/>
  <c r="R268" i="2"/>
  <c r="S268" i="2" s="1"/>
  <c r="Q268" i="2"/>
  <c r="O268" i="2"/>
  <c r="E268" i="2"/>
  <c r="D268" i="2"/>
  <c r="C268" i="2"/>
  <c r="B268" i="2"/>
  <c r="R267" i="2"/>
  <c r="S267" i="2" s="1"/>
  <c r="Q267" i="2"/>
  <c r="O267" i="2"/>
  <c r="E267" i="2"/>
  <c r="D267" i="2"/>
  <c r="C267" i="2"/>
  <c r="B267" i="2"/>
  <c r="R266" i="2"/>
  <c r="S266" i="2" s="1"/>
  <c r="Q266" i="2"/>
  <c r="O266" i="2"/>
  <c r="E266" i="2"/>
  <c r="D266" i="2"/>
  <c r="C266" i="2"/>
  <c r="B266" i="2"/>
  <c r="R265" i="2"/>
  <c r="S265" i="2" s="1"/>
  <c r="Q265" i="2"/>
  <c r="O265" i="2"/>
  <c r="E265" i="2"/>
  <c r="D265" i="2"/>
  <c r="C265" i="2"/>
  <c r="B265" i="2"/>
  <c r="R264" i="2"/>
  <c r="S264" i="2" s="1"/>
  <c r="Q264" i="2"/>
  <c r="O264" i="2"/>
  <c r="E264" i="2"/>
  <c r="D264" i="2"/>
  <c r="C264" i="2"/>
  <c r="B264" i="2"/>
  <c r="R263" i="2"/>
  <c r="S263" i="2" s="1"/>
  <c r="Q263" i="2"/>
  <c r="O263" i="2"/>
  <c r="E263" i="2"/>
  <c r="D263" i="2"/>
  <c r="C263" i="2"/>
  <c r="B263" i="2"/>
  <c r="R262" i="2"/>
  <c r="S262" i="2" s="1"/>
  <c r="Q262" i="2"/>
  <c r="O262" i="2"/>
  <c r="E262" i="2"/>
  <c r="D262" i="2"/>
  <c r="C262" i="2"/>
  <c r="B262" i="2"/>
  <c r="R261" i="2"/>
  <c r="S261" i="2" s="1"/>
  <c r="Q261" i="2"/>
  <c r="O261" i="2"/>
  <c r="E261" i="2"/>
  <c r="D261" i="2"/>
  <c r="C261" i="2"/>
  <c r="B261" i="2"/>
  <c r="R260" i="2"/>
  <c r="S260" i="2" s="1"/>
  <c r="Q260" i="2"/>
  <c r="O260" i="2"/>
  <c r="E260" i="2"/>
  <c r="D260" i="2"/>
  <c r="C260" i="2"/>
  <c r="B260" i="2"/>
  <c r="R259" i="2"/>
  <c r="S259" i="2" s="1"/>
  <c r="Q259" i="2"/>
  <c r="O259" i="2"/>
  <c r="E259" i="2"/>
  <c r="D259" i="2"/>
  <c r="C259" i="2"/>
  <c r="B259" i="2"/>
  <c r="R258" i="2"/>
  <c r="S258" i="2" s="1"/>
  <c r="Q258" i="2"/>
  <c r="O258" i="2"/>
  <c r="E258" i="2"/>
  <c r="D258" i="2"/>
  <c r="C258" i="2"/>
  <c r="B258" i="2"/>
  <c r="R257" i="2"/>
  <c r="S257" i="2" s="1"/>
  <c r="Q257" i="2"/>
  <c r="O257" i="2"/>
  <c r="E257" i="2"/>
  <c r="D257" i="2"/>
  <c r="C257" i="2"/>
  <c r="B257" i="2"/>
  <c r="R256" i="2"/>
  <c r="S256" i="2" s="1"/>
  <c r="Q256" i="2"/>
  <c r="O256" i="2"/>
  <c r="E256" i="2"/>
  <c r="D256" i="2"/>
  <c r="C256" i="2"/>
  <c r="B256" i="2"/>
  <c r="R255" i="2"/>
  <c r="S255" i="2" s="1"/>
  <c r="Q255" i="2"/>
  <c r="O255" i="2"/>
  <c r="E255" i="2"/>
  <c r="D255" i="2"/>
  <c r="C255" i="2"/>
  <c r="B255" i="2"/>
  <c r="R254" i="2"/>
  <c r="S254" i="2" s="1"/>
  <c r="Q254" i="2"/>
  <c r="O254" i="2"/>
  <c r="E254" i="2"/>
  <c r="D254" i="2"/>
  <c r="C254" i="2"/>
  <c r="B254" i="2"/>
  <c r="R253" i="2"/>
  <c r="S253" i="2" s="1"/>
  <c r="Q253" i="2"/>
  <c r="O253" i="2"/>
  <c r="E253" i="2"/>
  <c r="D253" i="2"/>
  <c r="C253" i="2"/>
  <c r="B253" i="2"/>
  <c r="R252" i="2"/>
  <c r="S252" i="2" s="1"/>
  <c r="Q252" i="2"/>
  <c r="O252" i="2"/>
  <c r="E252" i="2"/>
  <c r="D252" i="2"/>
  <c r="C252" i="2"/>
  <c r="B252" i="2"/>
  <c r="R251" i="2"/>
  <c r="S251" i="2" s="1"/>
  <c r="Q251" i="2"/>
  <c r="O251" i="2"/>
  <c r="E251" i="2"/>
  <c r="D251" i="2"/>
  <c r="C251" i="2"/>
  <c r="B251" i="2"/>
  <c r="R250" i="2"/>
  <c r="S250" i="2" s="1"/>
  <c r="Q250" i="2"/>
  <c r="O250" i="2"/>
  <c r="E250" i="2"/>
  <c r="D250" i="2"/>
  <c r="C250" i="2"/>
  <c r="B250" i="2"/>
  <c r="R249" i="2"/>
  <c r="S249" i="2" s="1"/>
  <c r="Q249" i="2"/>
  <c r="O249" i="2"/>
  <c r="E249" i="2"/>
  <c r="D249" i="2"/>
  <c r="C249" i="2"/>
  <c r="B249" i="2"/>
  <c r="R248" i="2"/>
  <c r="S248" i="2" s="1"/>
  <c r="Q248" i="2"/>
  <c r="O248" i="2"/>
  <c r="E248" i="2"/>
  <c r="D248" i="2"/>
  <c r="C248" i="2"/>
  <c r="B248" i="2"/>
  <c r="R247" i="2"/>
  <c r="S247" i="2" s="1"/>
  <c r="Q247" i="2"/>
  <c r="O247" i="2"/>
  <c r="E247" i="2"/>
  <c r="D247" i="2"/>
  <c r="C247" i="2"/>
  <c r="B247" i="2"/>
  <c r="R246" i="2"/>
  <c r="S246" i="2" s="1"/>
  <c r="Q246" i="2"/>
  <c r="O246" i="2"/>
  <c r="E246" i="2"/>
  <c r="D246" i="2"/>
  <c r="C246" i="2"/>
  <c r="B246" i="2"/>
  <c r="R245" i="2"/>
  <c r="S245" i="2" s="1"/>
  <c r="Q245" i="2"/>
  <c r="O245" i="2"/>
  <c r="E245" i="2"/>
  <c r="D245" i="2"/>
  <c r="C245" i="2"/>
  <c r="B245" i="2"/>
  <c r="R244" i="2"/>
  <c r="S244" i="2" s="1"/>
  <c r="Q244" i="2"/>
  <c r="O244" i="2"/>
  <c r="E244" i="2"/>
  <c r="D244" i="2"/>
  <c r="C244" i="2"/>
  <c r="B244" i="2"/>
  <c r="R243" i="2"/>
  <c r="S243" i="2" s="1"/>
  <c r="Q243" i="2"/>
  <c r="O243" i="2"/>
  <c r="E243" i="2"/>
  <c r="D243" i="2"/>
  <c r="C243" i="2"/>
  <c r="B243" i="2"/>
  <c r="R242" i="2"/>
  <c r="S242" i="2" s="1"/>
  <c r="Q242" i="2"/>
  <c r="O242" i="2"/>
  <c r="E242" i="2"/>
  <c r="D242" i="2"/>
  <c r="C242" i="2"/>
  <c r="B242" i="2"/>
  <c r="R241" i="2"/>
  <c r="S241" i="2" s="1"/>
  <c r="Q241" i="2"/>
  <c r="O241" i="2"/>
  <c r="E241" i="2"/>
  <c r="D241" i="2"/>
  <c r="C241" i="2"/>
  <c r="B241" i="2"/>
  <c r="R240" i="2"/>
  <c r="S240" i="2" s="1"/>
  <c r="Q240" i="2"/>
  <c r="O240" i="2"/>
  <c r="E240" i="2"/>
  <c r="D240" i="2"/>
  <c r="C240" i="2"/>
  <c r="B240" i="2"/>
  <c r="R239" i="2"/>
  <c r="S239" i="2" s="1"/>
  <c r="Q239" i="2"/>
  <c r="O239" i="2"/>
  <c r="E239" i="2"/>
  <c r="D239" i="2"/>
  <c r="C239" i="2"/>
  <c r="B239" i="2"/>
  <c r="R238" i="2"/>
  <c r="S238" i="2" s="1"/>
  <c r="Q238" i="2"/>
  <c r="O238" i="2"/>
  <c r="E238" i="2"/>
  <c r="D238" i="2"/>
  <c r="C238" i="2"/>
  <c r="B238" i="2"/>
  <c r="R237" i="2"/>
  <c r="S237" i="2" s="1"/>
  <c r="Q237" i="2"/>
  <c r="O237" i="2"/>
  <c r="E237" i="2"/>
  <c r="D237" i="2"/>
  <c r="C237" i="2"/>
  <c r="B237" i="2"/>
  <c r="R236" i="2"/>
  <c r="S236" i="2" s="1"/>
  <c r="Q236" i="2"/>
  <c r="O236" i="2"/>
  <c r="E236" i="2"/>
  <c r="D236" i="2"/>
  <c r="C236" i="2"/>
  <c r="B236" i="2"/>
  <c r="R235" i="2"/>
  <c r="S235" i="2" s="1"/>
  <c r="Q235" i="2"/>
  <c r="O235" i="2"/>
  <c r="E235" i="2"/>
  <c r="D235" i="2"/>
  <c r="C235" i="2"/>
  <c r="B235" i="2"/>
  <c r="R234" i="2"/>
  <c r="S234" i="2" s="1"/>
  <c r="Q234" i="2"/>
  <c r="O234" i="2"/>
  <c r="E234" i="2"/>
  <c r="D234" i="2"/>
  <c r="C234" i="2"/>
  <c r="B234" i="2"/>
  <c r="R233" i="2"/>
  <c r="S233" i="2" s="1"/>
  <c r="Q233" i="2"/>
  <c r="O233" i="2"/>
  <c r="E233" i="2"/>
  <c r="D233" i="2"/>
  <c r="C233" i="2"/>
  <c r="B233" i="2"/>
  <c r="R232" i="2"/>
  <c r="S232" i="2" s="1"/>
  <c r="Q232" i="2"/>
  <c r="O232" i="2"/>
  <c r="E232" i="2"/>
  <c r="D232" i="2"/>
  <c r="C232" i="2"/>
  <c r="B232" i="2"/>
  <c r="R231" i="2"/>
  <c r="S231" i="2" s="1"/>
  <c r="Q231" i="2"/>
  <c r="O231" i="2"/>
  <c r="E231" i="2"/>
  <c r="D231" i="2"/>
  <c r="C231" i="2"/>
  <c r="B231" i="2"/>
  <c r="R230" i="2"/>
  <c r="S230" i="2" s="1"/>
  <c r="Q230" i="2"/>
  <c r="O230" i="2"/>
  <c r="E230" i="2"/>
  <c r="D230" i="2"/>
  <c r="C230" i="2"/>
  <c r="B230" i="2"/>
  <c r="R229" i="2"/>
  <c r="S229" i="2" s="1"/>
  <c r="Q229" i="2"/>
  <c r="O229" i="2"/>
  <c r="E229" i="2"/>
  <c r="D229" i="2"/>
  <c r="C229" i="2"/>
  <c r="B229" i="2"/>
  <c r="R228" i="2"/>
  <c r="S228" i="2" s="1"/>
  <c r="Q228" i="2"/>
  <c r="O228" i="2"/>
  <c r="E228" i="2"/>
  <c r="D228" i="2"/>
  <c r="C228" i="2"/>
  <c r="B228" i="2"/>
  <c r="R227" i="2"/>
  <c r="S227" i="2" s="1"/>
  <c r="Q227" i="2"/>
  <c r="O227" i="2"/>
  <c r="E227" i="2"/>
  <c r="D227" i="2"/>
  <c r="C227" i="2"/>
  <c r="B227" i="2"/>
  <c r="R226" i="2"/>
  <c r="S226" i="2" s="1"/>
  <c r="Q226" i="2"/>
  <c r="O226" i="2"/>
  <c r="E226" i="2"/>
  <c r="D226" i="2"/>
  <c r="C226" i="2"/>
  <c r="B226" i="2"/>
  <c r="R225" i="2"/>
  <c r="S225" i="2" s="1"/>
  <c r="Q225" i="2"/>
  <c r="O225" i="2"/>
  <c r="E225" i="2"/>
  <c r="D225" i="2"/>
  <c r="C225" i="2"/>
  <c r="B225" i="2"/>
  <c r="R224" i="2"/>
  <c r="S224" i="2" s="1"/>
  <c r="Q224" i="2"/>
  <c r="O224" i="2"/>
  <c r="E224" i="2"/>
  <c r="D224" i="2"/>
  <c r="C224" i="2"/>
  <c r="B224" i="2"/>
  <c r="R223" i="2"/>
  <c r="S223" i="2" s="1"/>
  <c r="Q223" i="2"/>
  <c r="O223" i="2"/>
  <c r="E223" i="2"/>
  <c r="D223" i="2"/>
  <c r="C223" i="2"/>
  <c r="B223" i="2"/>
  <c r="R222" i="2"/>
  <c r="S222" i="2" s="1"/>
  <c r="Q222" i="2"/>
  <c r="O222" i="2"/>
  <c r="E222" i="2"/>
  <c r="D222" i="2"/>
  <c r="C222" i="2"/>
  <c r="B222" i="2"/>
  <c r="R221" i="2"/>
  <c r="S221" i="2" s="1"/>
  <c r="Q221" i="2"/>
  <c r="O221" i="2"/>
  <c r="E221" i="2"/>
  <c r="D221" i="2"/>
  <c r="C221" i="2"/>
  <c r="B221" i="2"/>
  <c r="R220" i="2"/>
  <c r="S220" i="2" s="1"/>
  <c r="Q220" i="2"/>
  <c r="O220" i="2"/>
  <c r="E220" i="2"/>
  <c r="D220" i="2"/>
  <c r="C220" i="2"/>
  <c r="B220" i="2"/>
  <c r="R219" i="2"/>
  <c r="S219" i="2" s="1"/>
  <c r="Q219" i="2"/>
  <c r="O219" i="2"/>
  <c r="E219" i="2"/>
  <c r="D219" i="2"/>
  <c r="C219" i="2"/>
  <c r="B219" i="2"/>
  <c r="R218" i="2"/>
  <c r="S218" i="2" s="1"/>
  <c r="Q218" i="2"/>
  <c r="O218" i="2"/>
  <c r="E218" i="2"/>
  <c r="D218" i="2"/>
  <c r="C218" i="2"/>
  <c r="B218" i="2"/>
  <c r="R217" i="2"/>
  <c r="S217" i="2" s="1"/>
  <c r="Q217" i="2"/>
  <c r="O217" i="2"/>
  <c r="E217" i="2"/>
  <c r="D217" i="2"/>
  <c r="C217" i="2"/>
  <c r="B217" i="2"/>
  <c r="R216" i="2"/>
  <c r="S216" i="2" s="1"/>
  <c r="Q216" i="2"/>
  <c r="O216" i="2"/>
  <c r="E216" i="2"/>
  <c r="D216" i="2"/>
  <c r="C216" i="2"/>
  <c r="B216" i="2"/>
  <c r="R215" i="2"/>
  <c r="S215" i="2" s="1"/>
  <c r="Q215" i="2"/>
  <c r="O215" i="2"/>
  <c r="E215" i="2"/>
  <c r="D215" i="2"/>
  <c r="C215" i="2"/>
  <c r="B215" i="2"/>
  <c r="R214" i="2"/>
  <c r="S214" i="2" s="1"/>
  <c r="Q214" i="2"/>
  <c r="O214" i="2"/>
  <c r="E214" i="2"/>
  <c r="D214" i="2"/>
  <c r="C214" i="2"/>
  <c r="B214" i="2"/>
  <c r="R213" i="2"/>
  <c r="S213" i="2" s="1"/>
  <c r="Q213" i="2"/>
  <c r="O213" i="2"/>
  <c r="E213" i="2"/>
  <c r="D213" i="2"/>
  <c r="C213" i="2"/>
  <c r="B213" i="2"/>
  <c r="R212" i="2"/>
  <c r="S212" i="2" s="1"/>
  <c r="Q212" i="2"/>
  <c r="O212" i="2"/>
  <c r="E212" i="2"/>
  <c r="D212" i="2"/>
  <c r="C212" i="2"/>
  <c r="B212" i="2"/>
  <c r="R211" i="2"/>
  <c r="S211" i="2" s="1"/>
  <c r="Q211" i="2"/>
  <c r="O211" i="2"/>
  <c r="E211" i="2"/>
  <c r="D211" i="2"/>
  <c r="C211" i="2"/>
  <c r="B211" i="2"/>
  <c r="R210" i="2"/>
  <c r="S210" i="2" s="1"/>
  <c r="Q210" i="2"/>
  <c r="O210" i="2"/>
  <c r="E210" i="2"/>
  <c r="D210" i="2"/>
  <c r="C210" i="2"/>
  <c r="B210" i="2"/>
  <c r="R209" i="2"/>
  <c r="S209" i="2" s="1"/>
  <c r="Q209" i="2"/>
  <c r="O209" i="2"/>
  <c r="E209" i="2"/>
  <c r="D209" i="2"/>
  <c r="C209" i="2"/>
  <c r="B209" i="2"/>
  <c r="R208" i="2"/>
  <c r="S208" i="2" s="1"/>
  <c r="Q208" i="2"/>
  <c r="O208" i="2"/>
  <c r="E208" i="2"/>
  <c r="D208" i="2"/>
  <c r="C208" i="2"/>
  <c r="B208" i="2"/>
  <c r="R207" i="2"/>
  <c r="S207" i="2" s="1"/>
  <c r="Q207" i="2"/>
  <c r="O207" i="2"/>
  <c r="E207" i="2"/>
  <c r="D207" i="2"/>
  <c r="C207" i="2"/>
  <c r="B207" i="2"/>
  <c r="R206" i="2"/>
  <c r="S206" i="2" s="1"/>
  <c r="Q206" i="2"/>
  <c r="O206" i="2"/>
  <c r="E206" i="2"/>
  <c r="D206" i="2"/>
  <c r="C206" i="2"/>
  <c r="B206" i="2"/>
  <c r="R205" i="2"/>
  <c r="S205" i="2" s="1"/>
  <c r="Q205" i="2"/>
  <c r="O205" i="2"/>
  <c r="E205" i="2"/>
  <c r="D205" i="2"/>
  <c r="C205" i="2"/>
  <c r="B205" i="2"/>
  <c r="R204" i="2"/>
  <c r="S204" i="2" s="1"/>
  <c r="Q204" i="2"/>
  <c r="O204" i="2"/>
  <c r="E204" i="2"/>
  <c r="D204" i="2"/>
  <c r="C204" i="2"/>
  <c r="B204" i="2"/>
  <c r="R203" i="2"/>
  <c r="S203" i="2" s="1"/>
  <c r="Q203" i="2"/>
  <c r="O203" i="2"/>
  <c r="E203" i="2"/>
  <c r="D203" i="2"/>
  <c r="C203" i="2"/>
  <c r="B203" i="2"/>
  <c r="R202" i="2"/>
  <c r="S202" i="2" s="1"/>
  <c r="Q202" i="2"/>
  <c r="O202" i="2"/>
  <c r="E202" i="2"/>
  <c r="D202" i="2"/>
  <c r="C202" i="2"/>
  <c r="B202" i="2"/>
  <c r="R201" i="2"/>
  <c r="S201" i="2" s="1"/>
  <c r="Q201" i="2"/>
  <c r="O201" i="2"/>
  <c r="E201" i="2"/>
  <c r="D201" i="2"/>
  <c r="C201" i="2"/>
  <c r="B201" i="2"/>
  <c r="R200" i="2"/>
  <c r="S200" i="2" s="1"/>
  <c r="Q200" i="2"/>
  <c r="O200" i="2"/>
  <c r="E200" i="2"/>
  <c r="D200" i="2"/>
  <c r="C200" i="2"/>
  <c r="B200" i="2"/>
  <c r="R199" i="2"/>
  <c r="S199" i="2" s="1"/>
  <c r="Q199" i="2"/>
  <c r="O199" i="2"/>
  <c r="E199" i="2"/>
  <c r="D199" i="2"/>
  <c r="C199" i="2"/>
  <c r="B199" i="2"/>
  <c r="R198" i="2"/>
  <c r="S198" i="2" s="1"/>
  <c r="Q198" i="2"/>
  <c r="O198" i="2"/>
  <c r="E198" i="2"/>
  <c r="D198" i="2"/>
  <c r="C198" i="2"/>
  <c r="B198" i="2"/>
  <c r="R197" i="2"/>
  <c r="S197" i="2" s="1"/>
  <c r="Q197" i="2"/>
  <c r="O197" i="2"/>
  <c r="E197" i="2"/>
  <c r="D197" i="2"/>
  <c r="C197" i="2"/>
  <c r="B197" i="2"/>
  <c r="R196" i="2"/>
  <c r="S196" i="2" s="1"/>
  <c r="Q196" i="2"/>
  <c r="O196" i="2"/>
  <c r="E196" i="2"/>
  <c r="D196" i="2"/>
  <c r="C196" i="2"/>
  <c r="B196" i="2"/>
  <c r="R195" i="2"/>
  <c r="S195" i="2" s="1"/>
  <c r="Q195" i="2"/>
  <c r="O195" i="2"/>
  <c r="E195" i="2"/>
  <c r="D195" i="2"/>
  <c r="C195" i="2"/>
  <c r="B195" i="2"/>
  <c r="R194" i="2"/>
  <c r="S194" i="2" s="1"/>
  <c r="Q194" i="2"/>
  <c r="O194" i="2"/>
  <c r="E194" i="2"/>
  <c r="D194" i="2"/>
  <c r="C194" i="2"/>
  <c r="B194" i="2"/>
  <c r="R193" i="2"/>
  <c r="S193" i="2" s="1"/>
  <c r="Q193" i="2"/>
  <c r="O193" i="2"/>
  <c r="E193" i="2"/>
  <c r="D193" i="2"/>
  <c r="C193" i="2"/>
  <c r="B193" i="2"/>
  <c r="R192" i="2"/>
  <c r="S192" i="2" s="1"/>
  <c r="Q192" i="2"/>
  <c r="O192" i="2"/>
  <c r="E192" i="2"/>
  <c r="D192" i="2"/>
  <c r="C192" i="2"/>
  <c r="B192" i="2"/>
  <c r="R191" i="2"/>
  <c r="S191" i="2" s="1"/>
  <c r="Q191" i="2"/>
  <c r="O191" i="2"/>
  <c r="E191" i="2"/>
  <c r="D191" i="2"/>
  <c r="C191" i="2"/>
  <c r="B191" i="2"/>
  <c r="R190" i="2"/>
  <c r="S190" i="2" s="1"/>
  <c r="Q190" i="2"/>
  <c r="O190" i="2"/>
  <c r="E190" i="2"/>
  <c r="D190" i="2"/>
  <c r="C190" i="2"/>
  <c r="B190" i="2"/>
  <c r="R189" i="2"/>
  <c r="S189" i="2" s="1"/>
  <c r="Q189" i="2"/>
  <c r="O189" i="2"/>
  <c r="E189" i="2"/>
  <c r="D189" i="2"/>
  <c r="C189" i="2"/>
  <c r="B189" i="2"/>
  <c r="R188" i="2"/>
  <c r="S188" i="2" s="1"/>
  <c r="Q188" i="2"/>
  <c r="O188" i="2"/>
  <c r="E188" i="2"/>
  <c r="D188" i="2"/>
  <c r="C188" i="2"/>
  <c r="B188" i="2"/>
  <c r="R187" i="2"/>
  <c r="S187" i="2" s="1"/>
  <c r="Q187" i="2"/>
  <c r="O187" i="2"/>
  <c r="E187" i="2"/>
  <c r="D187" i="2"/>
  <c r="C187" i="2"/>
  <c r="B187" i="2"/>
  <c r="R186" i="2"/>
  <c r="S186" i="2" s="1"/>
  <c r="Q186" i="2"/>
  <c r="O186" i="2"/>
  <c r="E186" i="2"/>
  <c r="D186" i="2"/>
  <c r="C186" i="2"/>
  <c r="B186" i="2"/>
  <c r="R185" i="2"/>
  <c r="S185" i="2" s="1"/>
  <c r="Q185" i="2"/>
  <c r="O185" i="2"/>
  <c r="E185" i="2"/>
  <c r="D185" i="2"/>
  <c r="C185" i="2"/>
  <c r="B185" i="2"/>
  <c r="R184" i="2"/>
  <c r="S184" i="2" s="1"/>
  <c r="Q184" i="2"/>
  <c r="O184" i="2"/>
  <c r="E184" i="2"/>
  <c r="D184" i="2"/>
  <c r="C184" i="2"/>
  <c r="B184" i="2"/>
  <c r="R183" i="2"/>
  <c r="S183" i="2" s="1"/>
  <c r="Q183" i="2"/>
  <c r="O183" i="2"/>
  <c r="E183" i="2"/>
  <c r="D183" i="2"/>
  <c r="C183" i="2"/>
  <c r="B183" i="2"/>
  <c r="R182" i="2"/>
  <c r="S182" i="2" s="1"/>
  <c r="Q182" i="2"/>
  <c r="O182" i="2"/>
  <c r="E182" i="2"/>
  <c r="D182" i="2"/>
  <c r="C182" i="2"/>
  <c r="B182" i="2"/>
  <c r="R181" i="2"/>
  <c r="S181" i="2" s="1"/>
  <c r="Q181" i="2"/>
  <c r="O181" i="2"/>
  <c r="E181" i="2"/>
  <c r="D181" i="2"/>
  <c r="C181" i="2"/>
  <c r="B181" i="2"/>
  <c r="R180" i="2"/>
  <c r="S180" i="2" s="1"/>
  <c r="Q180" i="2"/>
  <c r="O180" i="2"/>
  <c r="E180" i="2"/>
  <c r="D180" i="2"/>
  <c r="C180" i="2"/>
  <c r="B180" i="2"/>
  <c r="R179" i="2"/>
  <c r="S179" i="2" s="1"/>
  <c r="Q179" i="2"/>
  <c r="O179" i="2"/>
  <c r="E179" i="2"/>
  <c r="D179" i="2"/>
  <c r="C179" i="2"/>
  <c r="B179" i="2"/>
  <c r="R178" i="2"/>
  <c r="S178" i="2" s="1"/>
  <c r="Q178" i="2"/>
  <c r="O178" i="2"/>
  <c r="E178" i="2"/>
  <c r="D178" i="2"/>
  <c r="C178" i="2"/>
  <c r="B178" i="2"/>
  <c r="R177" i="2"/>
  <c r="S177" i="2" s="1"/>
  <c r="Q177" i="2"/>
  <c r="O177" i="2"/>
  <c r="E177" i="2"/>
  <c r="D177" i="2"/>
  <c r="C177" i="2"/>
  <c r="B177" i="2"/>
  <c r="R176" i="2"/>
  <c r="S176" i="2" s="1"/>
  <c r="Q176" i="2"/>
  <c r="O176" i="2"/>
  <c r="E176" i="2"/>
  <c r="D176" i="2"/>
  <c r="C176" i="2"/>
  <c r="B176" i="2"/>
  <c r="R175" i="2"/>
  <c r="S175" i="2" s="1"/>
  <c r="Q175" i="2"/>
  <c r="O175" i="2"/>
  <c r="E175" i="2"/>
  <c r="D175" i="2"/>
  <c r="C175" i="2"/>
  <c r="B175" i="2"/>
  <c r="R174" i="2"/>
  <c r="S174" i="2" s="1"/>
  <c r="Q174" i="2"/>
  <c r="O174" i="2"/>
  <c r="E174" i="2"/>
  <c r="D174" i="2"/>
  <c r="C174" i="2"/>
  <c r="B174" i="2"/>
  <c r="R173" i="2"/>
  <c r="S173" i="2" s="1"/>
  <c r="Q173" i="2"/>
  <c r="O173" i="2"/>
  <c r="E173" i="2"/>
  <c r="D173" i="2"/>
  <c r="C173" i="2"/>
  <c r="B173" i="2"/>
  <c r="R172" i="2"/>
  <c r="S172" i="2" s="1"/>
  <c r="Q172" i="2"/>
  <c r="O172" i="2"/>
  <c r="E172" i="2"/>
  <c r="D172" i="2"/>
  <c r="C172" i="2"/>
  <c r="B172" i="2"/>
  <c r="R171" i="2"/>
  <c r="S171" i="2" s="1"/>
  <c r="Q171" i="2"/>
  <c r="O171" i="2"/>
  <c r="E171" i="2"/>
  <c r="D171" i="2"/>
  <c r="C171" i="2"/>
  <c r="B171" i="2"/>
  <c r="R170" i="2"/>
  <c r="S170" i="2" s="1"/>
  <c r="Q170" i="2"/>
  <c r="O170" i="2"/>
  <c r="E170" i="2"/>
  <c r="D170" i="2"/>
  <c r="C170" i="2"/>
  <c r="B170" i="2"/>
  <c r="R169" i="2"/>
  <c r="S169" i="2" s="1"/>
  <c r="Q169" i="2"/>
  <c r="O169" i="2"/>
  <c r="E169" i="2"/>
  <c r="D169" i="2"/>
  <c r="C169" i="2"/>
  <c r="B169" i="2"/>
  <c r="R168" i="2"/>
  <c r="S168" i="2" s="1"/>
  <c r="Q168" i="2"/>
  <c r="O168" i="2"/>
  <c r="E168" i="2"/>
  <c r="D168" i="2"/>
  <c r="C168" i="2"/>
  <c r="B168" i="2"/>
  <c r="R167" i="2"/>
  <c r="S167" i="2" s="1"/>
  <c r="Q167" i="2"/>
  <c r="O167" i="2"/>
  <c r="E167" i="2"/>
  <c r="D167" i="2"/>
  <c r="C167" i="2"/>
  <c r="B167" i="2"/>
  <c r="R166" i="2"/>
  <c r="S166" i="2" s="1"/>
  <c r="Q166" i="2"/>
  <c r="O166" i="2"/>
  <c r="E166" i="2"/>
  <c r="D166" i="2"/>
  <c r="C166" i="2"/>
  <c r="B166" i="2"/>
  <c r="R165" i="2"/>
  <c r="S165" i="2" s="1"/>
  <c r="Q165" i="2"/>
  <c r="O165" i="2"/>
  <c r="E165" i="2"/>
  <c r="D165" i="2"/>
  <c r="C165" i="2"/>
  <c r="B165" i="2"/>
  <c r="R164" i="2"/>
  <c r="S164" i="2" s="1"/>
  <c r="Q164" i="2"/>
  <c r="O164" i="2"/>
  <c r="E164" i="2"/>
  <c r="D164" i="2"/>
  <c r="C164" i="2"/>
  <c r="B164" i="2"/>
  <c r="R163" i="2"/>
  <c r="S163" i="2" s="1"/>
  <c r="Q163" i="2"/>
  <c r="O163" i="2"/>
  <c r="E163" i="2"/>
  <c r="D163" i="2"/>
  <c r="C163" i="2"/>
  <c r="B163" i="2"/>
  <c r="R162" i="2"/>
  <c r="S162" i="2" s="1"/>
  <c r="Q162" i="2"/>
  <c r="O162" i="2"/>
  <c r="E162" i="2"/>
  <c r="D162" i="2"/>
  <c r="C162" i="2"/>
  <c r="B162" i="2"/>
  <c r="R161" i="2"/>
  <c r="S161" i="2" s="1"/>
  <c r="Q161" i="2"/>
  <c r="O161" i="2"/>
  <c r="E161" i="2"/>
  <c r="D161" i="2"/>
  <c r="C161" i="2"/>
  <c r="B161" i="2"/>
  <c r="R160" i="2"/>
  <c r="S160" i="2" s="1"/>
  <c r="Q160" i="2"/>
  <c r="O160" i="2"/>
  <c r="E160" i="2"/>
  <c r="D160" i="2"/>
  <c r="C160" i="2"/>
  <c r="B160" i="2"/>
  <c r="R159" i="2"/>
  <c r="S159" i="2" s="1"/>
  <c r="Q159" i="2"/>
  <c r="O159" i="2"/>
  <c r="E159" i="2"/>
  <c r="D159" i="2"/>
  <c r="C159" i="2"/>
  <c r="B159" i="2"/>
  <c r="R158" i="2"/>
  <c r="S158" i="2" s="1"/>
  <c r="Q158" i="2"/>
  <c r="O158" i="2"/>
  <c r="E158" i="2"/>
  <c r="D158" i="2"/>
  <c r="C158" i="2"/>
  <c r="B158" i="2"/>
  <c r="R157" i="2"/>
  <c r="S157" i="2" s="1"/>
  <c r="Q157" i="2"/>
  <c r="O157" i="2"/>
  <c r="E157" i="2"/>
  <c r="D157" i="2"/>
  <c r="C157" i="2"/>
  <c r="B157" i="2"/>
  <c r="R156" i="2"/>
  <c r="S156" i="2" s="1"/>
  <c r="Q156" i="2"/>
  <c r="O156" i="2"/>
  <c r="E156" i="2"/>
  <c r="D156" i="2"/>
  <c r="C156" i="2"/>
  <c r="B156" i="2"/>
  <c r="R155" i="2"/>
  <c r="S155" i="2" s="1"/>
  <c r="Q155" i="2"/>
  <c r="O155" i="2"/>
  <c r="E155" i="2"/>
  <c r="D155" i="2"/>
  <c r="C155" i="2"/>
  <c r="B155" i="2"/>
  <c r="R154" i="2"/>
  <c r="S154" i="2" s="1"/>
  <c r="Q154" i="2"/>
  <c r="O154" i="2"/>
  <c r="E154" i="2"/>
  <c r="D154" i="2"/>
  <c r="C154" i="2"/>
  <c r="B154" i="2"/>
  <c r="R153" i="2"/>
  <c r="S153" i="2" s="1"/>
  <c r="Q153" i="2"/>
  <c r="O153" i="2"/>
  <c r="E153" i="2"/>
  <c r="D153" i="2"/>
  <c r="C153" i="2"/>
  <c r="B153" i="2"/>
  <c r="R152" i="2"/>
  <c r="S152" i="2" s="1"/>
  <c r="Q152" i="2"/>
  <c r="O152" i="2"/>
  <c r="E152" i="2"/>
  <c r="D152" i="2"/>
  <c r="C152" i="2"/>
  <c r="B152" i="2"/>
  <c r="R151" i="2"/>
  <c r="S151" i="2" s="1"/>
  <c r="Q151" i="2"/>
  <c r="O151" i="2"/>
  <c r="E151" i="2"/>
  <c r="D151" i="2"/>
  <c r="C151" i="2"/>
  <c r="B151" i="2"/>
  <c r="R150" i="2"/>
  <c r="S150" i="2" s="1"/>
  <c r="Q150" i="2"/>
  <c r="O150" i="2"/>
  <c r="E150" i="2"/>
  <c r="D150" i="2"/>
  <c r="C150" i="2"/>
  <c r="B150" i="2"/>
  <c r="R149" i="2"/>
  <c r="S149" i="2" s="1"/>
  <c r="Q149" i="2"/>
  <c r="O149" i="2"/>
  <c r="E149" i="2"/>
  <c r="D149" i="2"/>
  <c r="C149" i="2"/>
  <c r="B149" i="2"/>
  <c r="R148" i="2"/>
  <c r="S148" i="2" s="1"/>
  <c r="Q148" i="2"/>
  <c r="O148" i="2"/>
  <c r="E148" i="2"/>
  <c r="D148" i="2"/>
  <c r="C148" i="2"/>
  <c r="B148" i="2"/>
  <c r="R147" i="2"/>
  <c r="S147" i="2" s="1"/>
  <c r="Q147" i="2"/>
  <c r="O147" i="2"/>
  <c r="E147" i="2"/>
  <c r="D147" i="2"/>
  <c r="C147" i="2"/>
  <c r="B147" i="2"/>
  <c r="R146" i="2"/>
  <c r="S146" i="2" s="1"/>
  <c r="Q146" i="2"/>
  <c r="O146" i="2"/>
  <c r="E146" i="2"/>
  <c r="D146" i="2"/>
  <c r="C146" i="2"/>
  <c r="B146" i="2"/>
  <c r="R145" i="2"/>
  <c r="S145" i="2" s="1"/>
  <c r="Q145" i="2"/>
  <c r="O145" i="2"/>
  <c r="E145" i="2"/>
  <c r="D145" i="2"/>
  <c r="C145" i="2"/>
  <c r="B145" i="2"/>
  <c r="R144" i="2"/>
  <c r="S144" i="2" s="1"/>
  <c r="Q144" i="2"/>
  <c r="O144" i="2"/>
  <c r="E144" i="2"/>
  <c r="D144" i="2"/>
  <c r="C144" i="2"/>
  <c r="B144" i="2"/>
  <c r="R143" i="2"/>
  <c r="S143" i="2" s="1"/>
  <c r="Q143" i="2"/>
  <c r="O143" i="2"/>
  <c r="E143" i="2"/>
  <c r="D143" i="2"/>
  <c r="C143" i="2"/>
  <c r="B143" i="2"/>
  <c r="R142" i="2"/>
  <c r="S142" i="2" s="1"/>
  <c r="Q142" i="2"/>
  <c r="O142" i="2"/>
  <c r="E142" i="2"/>
  <c r="D142" i="2"/>
  <c r="C142" i="2"/>
  <c r="B142" i="2"/>
  <c r="R141" i="2"/>
  <c r="S141" i="2" s="1"/>
  <c r="Q141" i="2"/>
  <c r="O141" i="2"/>
  <c r="E141" i="2"/>
  <c r="D141" i="2"/>
  <c r="C141" i="2"/>
  <c r="B141" i="2"/>
  <c r="R140" i="2"/>
  <c r="S140" i="2" s="1"/>
  <c r="Q140" i="2"/>
  <c r="O140" i="2"/>
  <c r="E140" i="2"/>
  <c r="D140" i="2"/>
  <c r="C140" i="2"/>
  <c r="B140" i="2"/>
  <c r="R139" i="2"/>
  <c r="S139" i="2" s="1"/>
  <c r="Q139" i="2"/>
  <c r="O139" i="2"/>
  <c r="E139" i="2"/>
  <c r="D139" i="2"/>
  <c r="C139" i="2"/>
  <c r="B139" i="2"/>
  <c r="R138" i="2"/>
  <c r="S138" i="2" s="1"/>
  <c r="Q138" i="2"/>
  <c r="O138" i="2"/>
  <c r="E138" i="2"/>
  <c r="D138" i="2"/>
  <c r="C138" i="2"/>
  <c r="B138" i="2"/>
  <c r="R137" i="2"/>
  <c r="S137" i="2" s="1"/>
  <c r="Q137" i="2"/>
  <c r="O137" i="2"/>
  <c r="E137" i="2"/>
  <c r="D137" i="2"/>
  <c r="C137" i="2"/>
  <c r="B137" i="2"/>
  <c r="R136" i="2"/>
  <c r="S136" i="2" s="1"/>
  <c r="Q136" i="2"/>
  <c r="O136" i="2"/>
  <c r="E136" i="2"/>
  <c r="D136" i="2"/>
  <c r="C136" i="2"/>
  <c r="B136" i="2"/>
  <c r="R135" i="2"/>
  <c r="S135" i="2" s="1"/>
  <c r="Q135" i="2"/>
  <c r="O135" i="2"/>
  <c r="E135" i="2"/>
  <c r="D135" i="2"/>
  <c r="C135" i="2"/>
  <c r="B135" i="2"/>
  <c r="R134" i="2"/>
  <c r="S134" i="2" s="1"/>
  <c r="Q134" i="2"/>
  <c r="O134" i="2"/>
  <c r="E134" i="2"/>
  <c r="D134" i="2"/>
  <c r="C134" i="2"/>
  <c r="B134" i="2"/>
  <c r="R133" i="2"/>
  <c r="S133" i="2" s="1"/>
  <c r="Q133" i="2"/>
  <c r="O133" i="2"/>
  <c r="E133" i="2"/>
  <c r="D133" i="2"/>
  <c r="C133" i="2"/>
  <c r="B133" i="2"/>
  <c r="R132" i="2"/>
  <c r="S132" i="2" s="1"/>
  <c r="Q132" i="2"/>
  <c r="O132" i="2"/>
  <c r="E132" i="2"/>
  <c r="D132" i="2"/>
  <c r="C132" i="2"/>
  <c r="B132" i="2"/>
  <c r="R131" i="2"/>
  <c r="S131" i="2" s="1"/>
  <c r="Q131" i="2"/>
  <c r="O131" i="2"/>
  <c r="E131" i="2"/>
  <c r="D131" i="2"/>
  <c r="C131" i="2"/>
  <c r="B131" i="2"/>
  <c r="R130" i="2"/>
  <c r="S130" i="2" s="1"/>
  <c r="Q130" i="2"/>
  <c r="O130" i="2"/>
  <c r="E130" i="2"/>
  <c r="D130" i="2"/>
  <c r="C130" i="2"/>
  <c r="B130" i="2"/>
  <c r="R129" i="2"/>
  <c r="S129" i="2" s="1"/>
  <c r="Q129" i="2"/>
  <c r="O129" i="2"/>
  <c r="E129" i="2"/>
  <c r="D129" i="2"/>
  <c r="C129" i="2"/>
  <c r="B129" i="2"/>
  <c r="R128" i="2"/>
  <c r="S128" i="2" s="1"/>
  <c r="Q128" i="2"/>
  <c r="O128" i="2"/>
  <c r="E128" i="2"/>
  <c r="D128" i="2"/>
  <c r="C128" i="2"/>
  <c r="B128" i="2"/>
  <c r="R127" i="2"/>
  <c r="S127" i="2" s="1"/>
  <c r="Q127" i="2"/>
  <c r="O127" i="2"/>
  <c r="E127" i="2"/>
  <c r="D127" i="2"/>
  <c r="C127" i="2"/>
  <c r="B127" i="2"/>
  <c r="R126" i="2"/>
  <c r="S126" i="2" s="1"/>
  <c r="Q126" i="2"/>
  <c r="O126" i="2"/>
  <c r="E126" i="2"/>
  <c r="D126" i="2"/>
  <c r="C126" i="2"/>
  <c r="B126" i="2"/>
  <c r="R125" i="2"/>
  <c r="S125" i="2" s="1"/>
  <c r="Q125" i="2"/>
  <c r="O125" i="2"/>
  <c r="E125" i="2"/>
  <c r="D125" i="2"/>
  <c r="C125" i="2"/>
  <c r="B125" i="2"/>
  <c r="R124" i="2"/>
  <c r="S124" i="2" s="1"/>
  <c r="Q124" i="2"/>
  <c r="O124" i="2"/>
  <c r="E124" i="2"/>
  <c r="D124" i="2"/>
  <c r="C124" i="2"/>
  <c r="B124" i="2"/>
  <c r="R123" i="2"/>
  <c r="S123" i="2" s="1"/>
  <c r="Q123" i="2"/>
  <c r="O123" i="2"/>
  <c r="E123" i="2"/>
  <c r="D123" i="2"/>
  <c r="C123" i="2"/>
  <c r="B123" i="2"/>
  <c r="R122" i="2"/>
  <c r="S122" i="2" s="1"/>
  <c r="Q122" i="2"/>
  <c r="O122" i="2"/>
  <c r="E122" i="2"/>
  <c r="D122" i="2"/>
  <c r="C122" i="2"/>
  <c r="B122" i="2"/>
  <c r="R121" i="2"/>
  <c r="S121" i="2" s="1"/>
  <c r="Q121" i="2"/>
  <c r="O121" i="2"/>
  <c r="E121" i="2"/>
  <c r="D121" i="2"/>
  <c r="C121" i="2"/>
  <c r="B121" i="2"/>
  <c r="R120" i="2"/>
  <c r="S120" i="2" s="1"/>
  <c r="Q120" i="2"/>
  <c r="O120" i="2"/>
  <c r="E120" i="2"/>
  <c r="D120" i="2"/>
  <c r="C120" i="2"/>
  <c r="B120" i="2"/>
  <c r="R119" i="2"/>
  <c r="S119" i="2" s="1"/>
  <c r="Q119" i="2"/>
  <c r="O119" i="2"/>
  <c r="E119" i="2"/>
  <c r="D119" i="2"/>
  <c r="C119" i="2"/>
  <c r="B119" i="2"/>
  <c r="R118" i="2"/>
  <c r="S118" i="2" s="1"/>
  <c r="Q118" i="2"/>
  <c r="O118" i="2"/>
  <c r="E118" i="2"/>
  <c r="D118" i="2"/>
  <c r="C118" i="2"/>
  <c r="B118" i="2"/>
  <c r="R117" i="2"/>
  <c r="S117" i="2" s="1"/>
  <c r="Q117" i="2"/>
  <c r="O117" i="2"/>
  <c r="E117" i="2"/>
  <c r="D117" i="2"/>
  <c r="C117" i="2"/>
  <c r="B117" i="2"/>
  <c r="R116" i="2"/>
  <c r="S116" i="2" s="1"/>
  <c r="Q116" i="2"/>
  <c r="O116" i="2"/>
  <c r="E116" i="2"/>
  <c r="D116" i="2"/>
  <c r="C116" i="2"/>
  <c r="B116" i="2"/>
  <c r="R115" i="2"/>
  <c r="S115" i="2" s="1"/>
  <c r="Q115" i="2"/>
  <c r="O115" i="2"/>
  <c r="E115" i="2"/>
  <c r="D115" i="2"/>
  <c r="C115" i="2"/>
  <c r="B115" i="2"/>
  <c r="R114" i="2"/>
  <c r="S114" i="2" s="1"/>
  <c r="Q114" i="2"/>
  <c r="O114" i="2"/>
  <c r="E114" i="2"/>
  <c r="D114" i="2"/>
  <c r="C114" i="2"/>
  <c r="B114" i="2"/>
  <c r="R113" i="2"/>
  <c r="S113" i="2" s="1"/>
  <c r="Q113" i="2"/>
  <c r="O113" i="2"/>
  <c r="E113" i="2"/>
  <c r="D113" i="2"/>
  <c r="C113" i="2"/>
  <c r="B113" i="2"/>
  <c r="R112" i="2"/>
  <c r="S112" i="2" s="1"/>
  <c r="Q112" i="2"/>
  <c r="O112" i="2"/>
  <c r="E112" i="2"/>
  <c r="D112" i="2"/>
  <c r="C112" i="2"/>
  <c r="B112" i="2"/>
  <c r="S111" i="2"/>
  <c r="R111" i="2"/>
  <c r="Q111" i="2"/>
  <c r="O111" i="2"/>
  <c r="E111" i="2"/>
  <c r="D111" i="2"/>
  <c r="C111" i="2"/>
  <c r="B111" i="2"/>
  <c r="S110" i="2"/>
  <c r="R110" i="2"/>
  <c r="Q110" i="2"/>
  <c r="O110" i="2"/>
  <c r="E110" i="2"/>
  <c r="D110" i="2"/>
  <c r="C110" i="2"/>
  <c r="B110" i="2"/>
  <c r="S109" i="2"/>
  <c r="R109" i="2"/>
  <c r="Q109" i="2"/>
  <c r="O109" i="2"/>
  <c r="E109" i="2"/>
  <c r="D109" i="2"/>
  <c r="C109" i="2"/>
  <c r="B109" i="2"/>
  <c r="S108" i="2"/>
  <c r="R108" i="2"/>
  <c r="Q108" i="2"/>
  <c r="O108" i="2"/>
  <c r="E108" i="2"/>
  <c r="D108" i="2"/>
  <c r="C108" i="2"/>
  <c r="B108" i="2"/>
  <c r="S107" i="2"/>
  <c r="R107" i="2"/>
  <c r="Q107" i="2"/>
  <c r="O107" i="2"/>
  <c r="E107" i="2"/>
  <c r="D107" i="2"/>
  <c r="C107" i="2"/>
  <c r="B107" i="2"/>
  <c r="S106" i="2"/>
  <c r="R106" i="2"/>
  <c r="Q106" i="2"/>
  <c r="O106" i="2"/>
  <c r="E106" i="2"/>
  <c r="D106" i="2"/>
  <c r="C106" i="2"/>
  <c r="B106" i="2"/>
  <c r="S105" i="2"/>
  <c r="R105" i="2"/>
  <c r="Q105" i="2"/>
  <c r="O105" i="2"/>
  <c r="E105" i="2"/>
  <c r="D105" i="2"/>
  <c r="C105" i="2"/>
  <c r="B105" i="2"/>
  <c r="S104" i="2"/>
  <c r="R104" i="2"/>
  <c r="Q104" i="2"/>
  <c r="O104" i="2"/>
  <c r="E104" i="2"/>
  <c r="D104" i="2"/>
  <c r="C104" i="2"/>
  <c r="B104" i="2"/>
  <c r="S103" i="2"/>
  <c r="R103" i="2"/>
  <c r="Q103" i="2"/>
  <c r="O103" i="2"/>
  <c r="E103" i="2"/>
  <c r="D103" i="2"/>
  <c r="C103" i="2"/>
  <c r="B103" i="2"/>
  <c r="S102" i="2"/>
  <c r="R102" i="2"/>
  <c r="Q102" i="2"/>
  <c r="O102" i="2"/>
  <c r="E102" i="2"/>
  <c r="D102" i="2"/>
  <c r="C102" i="2"/>
  <c r="B102" i="2"/>
  <c r="S101" i="2"/>
  <c r="R101" i="2"/>
  <c r="Q101" i="2"/>
  <c r="O101" i="2"/>
  <c r="E101" i="2"/>
  <c r="D101" i="2"/>
  <c r="C101" i="2"/>
  <c r="B101" i="2"/>
  <c r="S100" i="2"/>
  <c r="R100" i="2"/>
  <c r="Q100" i="2"/>
  <c r="O100" i="2"/>
  <c r="E100" i="2"/>
  <c r="D100" i="2"/>
  <c r="C100" i="2"/>
  <c r="B100" i="2"/>
  <c r="S99" i="2"/>
  <c r="R99" i="2"/>
  <c r="Q99" i="2"/>
  <c r="O99" i="2"/>
  <c r="E99" i="2"/>
  <c r="D99" i="2"/>
  <c r="C99" i="2"/>
  <c r="B99" i="2"/>
  <c r="S98" i="2"/>
  <c r="R98" i="2"/>
  <c r="Q98" i="2"/>
  <c r="O98" i="2"/>
  <c r="E98" i="2"/>
  <c r="D98" i="2"/>
  <c r="C98" i="2"/>
  <c r="B98" i="2"/>
  <c r="S97" i="2"/>
  <c r="R97" i="2"/>
  <c r="Q97" i="2"/>
  <c r="O97" i="2"/>
  <c r="E97" i="2"/>
  <c r="D97" i="2"/>
  <c r="C97" i="2"/>
  <c r="B97" i="2"/>
  <c r="S96" i="2"/>
  <c r="R96" i="2"/>
  <c r="Q96" i="2"/>
  <c r="O96" i="2"/>
  <c r="E96" i="2"/>
  <c r="D96" i="2"/>
  <c r="C96" i="2"/>
  <c r="B96" i="2"/>
  <c r="S95" i="2"/>
  <c r="R95" i="2"/>
  <c r="Q95" i="2"/>
  <c r="O95" i="2"/>
  <c r="E95" i="2"/>
  <c r="D95" i="2"/>
  <c r="C95" i="2"/>
  <c r="B95" i="2"/>
  <c r="S94" i="2"/>
  <c r="R94" i="2"/>
  <c r="Q94" i="2"/>
  <c r="O94" i="2"/>
  <c r="E94" i="2"/>
  <c r="D94" i="2"/>
  <c r="C94" i="2"/>
  <c r="B94" i="2"/>
  <c r="S93" i="2"/>
  <c r="R93" i="2"/>
  <c r="Q93" i="2"/>
  <c r="O93" i="2"/>
  <c r="E93" i="2"/>
  <c r="D93" i="2"/>
  <c r="C93" i="2"/>
  <c r="B93" i="2"/>
  <c r="S92" i="2"/>
  <c r="R92" i="2"/>
  <c r="Q92" i="2"/>
  <c r="O92" i="2"/>
  <c r="E92" i="2"/>
  <c r="D92" i="2"/>
  <c r="C92" i="2"/>
  <c r="B92" i="2"/>
  <c r="S91" i="2"/>
  <c r="R91" i="2"/>
  <c r="Q91" i="2"/>
  <c r="O91" i="2"/>
  <c r="E91" i="2"/>
  <c r="D91" i="2"/>
  <c r="C91" i="2"/>
  <c r="B91" i="2"/>
  <c r="S90" i="2"/>
  <c r="R90" i="2"/>
  <c r="Q90" i="2"/>
  <c r="O90" i="2"/>
  <c r="E90" i="2"/>
  <c r="D90" i="2"/>
  <c r="C90" i="2"/>
  <c r="B90" i="2"/>
  <c r="S89" i="2"/>
  <c r="R89" i="2"/>
  <c r="Q89" i="2"/>
  <c r="O89" i="2"/>
  <c r="E89" i="2"/>
  <c r="D89" i="2"/>
  <c r="C89" i="2"/>
  <c r="B89" i="2"/>
  <c r="S88" i="2"/>
  <c r="R88" i="2"/>
  <c r="Q88" i="2"/>
  <c r="O88" i="2"/>
  <c r="E88" i="2"/>
  <c r="D88" i="2"/>
  <c r="C88" i="2"/>
  <c r="B88" i="2"/>
  <c r="S87" i="2"/>
  <c r="R87" i="2"/>
  <c r="Q87" i="2"/>
  <c r="O87" i="2"/>
  <c r="E87" i="2"/>
  <c r="D87" i="2"/>
  <c r="C87" i="2"/>
  <c r="B87" i="2"/>
  <c r="S86" i="2"/>
  <c r="R86" i="2"/>
  <c r="Q86" i="2"/>
  <c r="O86" i="2"/>
  <c r="E86" i="2"/>
  <c r="D86" i="2"/>
  <c r="C86" i="2"/>
  <c r="B86" i="2"/>
  <c r="S85" i="2"/>
  <c r="R85" i="2"/>
  <c r="Q85" i="2"/>
  <c r="O85" i="2"/>
  <c r="E85" i="2"/>
  <c r="D85" i="2"/>
  <c r="C85" i="2"/>
  <c r="B85" i="2"/>
  <c r="S84" i="2"/>
  <c r="R84" i="2"/>
  <c r="Q84" i="2"/>
  <c r="O84" i="2"/>
  <c r="E84" i="2"/>
  <c r="D84" i="2"/>
  <c r="C84" i="2"/>
  <c r="B84" i="2"/>
  <c r="S83" i="2"/>
  <c r="R83" i="2"/>
  <c r="Q83" i="2"/>
  <c r="O83" i="2"/>
  <c r="E83" i="2"/>
  <c r="D83" i="2"/>
  <c r="C83" i="2"/>
  <c r="B83" i="2"/>
  <c r="S82" i="2"/>
  <c r="R82" i="2"/>
  <c r="Q82" i="2"/>
  <c r="O82" i="2"/>
  <c r="E82" i="2"/>
  <c r="D82" i="2"/>
  <c r="C82" i="2"/>
  <c r="B82" i="2"/>
  <c r="S81" i="2"/>
  <c r="R81" i="2"/>
  <c r="Q81" i="2"/>
  <c r="O81" i="2"/>
  <c r="E81" i="2"/>
  <c r="D81" i="2"/>
  <c r="C81" i="2"/>
  <c r="B81" i="2"/>
  <c r="S80" i="2"/>
  <c r="R80" i="2"/>
  <c r="Q80" i="2"/>
  <c r="O80" i="2"/>
  <c r="E80" i="2"/>
  <c r="D80" i="2"/>
  <c r="C80" i="2"/>
  <c r="B80" i="2"/>
  <c r="S79" i="2"/>
  <c r="R79" i="2"/>
  <c r="Q79" i="2"/>
  <c r="O79" i="2"/>
  <c r="E79" i="2"/>
  <c r="D79" i="2"/>
  <c r="C79" i="2"/>
  <c r="B79" i="2"/>
  <c r="S78" i="2"/>
  <c r="R78" i="2"/>
  <c r="Q78" i="2"/>
  <c r="O78" i="2"/>
  <c r="E78" i="2"/>
  <c r="D78" i="2"/>
  <c r="C78" i="2"/>
  <c r="B78" i="2"/>
  <c r="S77" i="2"/>
  <c r="R77" i="2"/>
  <c r="Q77" i="2"/>
  <c r="O77" i="2"/>
  <c r="E77" i="2"/>
  <c r="D77" i="2"/>
  <c r="C77" i="2"/>
  <c r="B77" i="2"/>
  <c r="S76" i="2"/>
  <c r="R76" i="2"/>
  <c r="Q76" i="2"/>
  <c r="O76" i="2"/>
  <c r="E76" i="2"/>
  <c r="D76" i="2"/>
  <c r="C76" i="2"/>
  <c r="B76" i="2"/>
  <c r="S75" i="2"/>
  <c r="R75" i="2"/>
  <c r="Q75" i="2"/>
  <c r="O75" i="2"/>
  <c r="E75" i="2"/>
  <c r="D75" i="2"/>
  <c r="C75" i="2"/>
  <c r="B75" i="2"/>
  <c r="S74" i="2"/>
  <c r="R74" i="2"/>
  <c r="Q74" i="2"/>
  <c r="O74" i="2"/>
  <c r="E74" i="2"/>
  <c r="D74" i="2"/>
  <c r="C74" i="2"/>
  <c r="B74" i="2"/>
  <c r="S73" i="2"/>
  <c r="R73" i="2"/>
  <c r="Q73" i="2"/>
  <c r="O73" i="2"/>
  <c r="E73" i="2"/>
  <c r="D73" i="2"/>
  <c r="C73" i="2"/>
  <c r="B73" i="2"/>
  <c r="S72" i="2"/>
  <c r="R72" i="2"/>
  <c r="Q72" i="2"/>
  <c r="O72" i="2"/>
  <c r="E72" i="2"/>
  <c r="D72" i="2"/>
  <c r="C72" i="2"/>
  <c r="B72" i="2"/>
  <c r="S71" i="2"/>
  <c r="R71" i="2"/>
  <c r="Q71" i="2"/>
  <c r="O71" i="2"/>
  <c r="E71" i="2"/>
  <c r="D71" i="2"/>
  <c r="C71" i="2"/>
  <c r="B71" i="2"/>
  <c r="S70" i="2"/>
  <c r="R70" i="2"/>
  <c r="Q70" i="2"/>
  <c r="O70" i="2"/>
  <c r="E70" i="2"/>
  <c r="D70" i="2"/>
  <c r="C70" i="2"/>
  <c r="B70" i="2"/>
  <c r="S69" i="2"/>
  <c r="R69" i="2"/>
  <c r="Q69" i="2"/>
  <c r="O69" i="2"/>
  <c r="E69" i="2"/>
  <c r="D69" i="2"/>
  <c r="C69" i="2"/>
  <c r="B69" i="2"/>
  <c r="S68" i="2"/>
  <c r="R68" i="2"/>
  <c r="Q68" i="2"/>
  <c r="O68" i="2"/>
  <c r="E68" i="2"/>
  <c r="D68" i="2"/>
  <c r="C68" i="2"/>
  <c r="B68" i="2"/>
  <c r="S67" i="2"/>
  <c r="R67" i="2"/>
  <c r="Q67" i="2"/>
  <c r="O67" i="2"/>
  <c r="E67" i="2"/>
  <c r="D67" i="2"/>
  <c r="C67" i="2"/>
  <c r="B67" i="2"/>
  <c r="S66" i="2"/>
  <c r="R66" i="2"/>
  <c r="Q66" i="2"/>
  <c r="O66" i="2"/>
  <c r="E66" i="2"/>
  <c r="D66" i="2"/>
  <c r="C66" i="2"/>
  <c r="B66" i="2"/>
  <c r="S65" i="2"/>
  <c r="R65" i="2"/>
  <c r="Q65" i="2"/>
  <c r="O65" i="2"/>
  <c r="E65" i="2"/>
  <c r="D65" i="2"/>
  <c r="C65" i="2"/>
  <c r="B65" i="2"/>
  <c r="S64" i="2"/>
  <c r="R64" i="2"/>
  <c r="Q64" i="2"/>
  <c r="O64" i="2"/>
  <c r="E64" i="2"/>
  <c r="D64" i="2"/>
  <c r="C64" i="2"/>
  <c r="B64" i="2"/>
  <c r="S63" i="2"/>
  <c r="R63" i="2"/>
  <c r="Q63" i="2"/>
  <c r="O63" i="2"/>
  <c r="E63" i="2"/>
  <c r="D63" i="2"/>
  <c r="C63" i="2"/>
  <c r="B63" i="2"/>
  <c r="S62" i="2"/>
  <c r="R62" i="2"/>
  <c r="Q62" i="2"/>
  <c r="O62" i="2"/>
  <c r="E62" i="2"/>
  <c r="D62" i="2"/>
  <c r="C62" i="2"/>
  <c r="B62" i="2"/>
  <c r="S61" i="2"/>
  <c r="R61" i="2"/>
  <c r="Q61" i="2"/>
  <c r="O61" i="2"/>
  <c r="E61" i="2"/>
  <c r="D61" i="2"/>
  <c r="C61" i="2"/>
  <c r="B61" i="2"/>
  <c r="S60" i="2"/>
  <c r="R60" i="2"/>
  <c r="Q60" i="2"/>
  <c r="O60" i="2"/>
  <c r="E60" i="2"/>
  <c r="D60" i="2"/>
  <c r="C60" i="2"/>
  <c r="B60" i="2"/>
  <c r="S59" i="2"/>
  <c r="R59" i="2"/>
  <c r="Q59" i="2"/>
  <c r="O59" i="2"/>
  <c r="E59" i="2"/>
  <c r="D59" i="2"/>
  <c r="C59" i="2"/>
  <c r="B59" i="2"/>
  <c r="S58" i="2"/>
  <c r="R58" i="2"/>
  <c r="Q58" i="2"/>
  <c r="O58" i="2"/>
  <c r="E58" i="2"/>
  <c r="D58" i="2"/>
  <c r="C58" i="2"/>
  <c r="B58" i="2"/>
  <c r="S57" i="2"/>
  <c r="R57" i="2"/>
  <c r="Q57" i="2"/>
  <c r="O57" i="2"/>
  <c r="E57" i="2"/>
  <c r="D57" i="2"/>
  <c r="C57" i="2"/>
  <c r="B57" i="2"/>
  <c r="S56" i="2"/>
  <c r="R56" i="2"/>
  <c r="Q56" i="2"/>
  <c r="O56" i="2"/>
  <c r="E56" i="2"/>
  <c r="D56" i="2"/>
  <c r="C56" i="2"/>
  <c r="B56" i="2"/>
  <c r="S55" i="2"/>
  <c r="R55" i="2"/>
  <c r="Q55" i="2"/>
  <c r="O55" i="2"/>
  <c r="E55" i="2"/>
  <c r="D55" i="2"/>
  <c r="C55" i="2"/>
  <c r="B55" i="2"/>
  <c r="S54" i="2"/>
  <c r="R54" i="2"/>
  <c r="Q54" i="2"/>
  <c r="O54" i="2"/>
  <c r="E54" i="2"/>
  <c r="D54" i="2"/>
  <c r="C54" i="2"/>
  <c r="B54" i="2"/>
  <c r="S53" i="2"/>
  <c r="R53" i="2"/>
  <c r="Q53" i="2"/>
  <c r="O53" i="2"/>
  <c r="E53" i="2"/>
  <c r="D53" i="2"/>
  <c r="C53" i="2"/>
  <c r="B53" i="2"/>
  <c r="S52" i="2"/>
  <c r="R52" i="2"/>
  <c r="Q52" i="2"/>
  <c r="O52" i="2"/>
  <c r="E52" i="2"/>
  <c r="D52" i="2"/>
  <c r="C52" i="2"/>
  <c r="B52" i="2"/>
  <c r="S51" i="2"/>
  <c r="R51" i="2"/>
  <c r="Q51" i="2"/>
  <c r="O51" i="2"/>
  <c r="E51" i="2"/>
  <c r="D51" i="2"/>
  <c r="C51" i="2"/>
  <c r="B51" i="2"/>
  <c r="S50" i="2"/>
  <c r="R50" i="2"/>
  <c r="Q50" i="2"/>
  <c r="O50" i="2"/>
  <c r="E50" i="2"/>
  <c r="D50" i="2"/>
  <c r="C50" i="2"/>
  <c r="B50" i="2"/>
  <c r="S49" i="2"/>
  <c r="R49" i="2"/>
  <c r="Q49" i="2"/>
  <c r="O49" i="2"/>
  <c r="E49" i="2"/>
  <c r="D49" i="2"/>
  <c r="C49" i="2"/>
  <c r="B49" i="2"/>
  <c r="S48" i="2"/>
  <c r="R48" i="2"/>
  <c r="Q48" i="2"/>
  <c r="O48" i="2"/>
  <c r="E48" i="2"/>
  <c r="D48" i="2"/>
  <c r="C48" i="2"/>
  <c r="B48" i="2"/>
  <c r="S47" i="2"/>
  <c r="R47" i="2"/>
  <c r="Q47" i="2"/>
  <c r="O47" i="2"/>
  <c r="E47" i="2"/>
  <c r="D47" i="2"/>
  <c r="C47" i="2"/>
  <c r="B47" i="2"/>
  <c r="S46" i="2"/>
  <c r="R46" i="2"/>
  <c r="Q46" i="2"/>
  <c r="O46" i="2"/>
  <c r="E46" i="2"/>
  <c r="D46" i="2"/>
  <c r="C46" i="2"/>
  <c r="B46" i="2"/>
  <c r="S45" i="2"/>
  <c r="R45" i="2"/>
  <c r="Q45" i="2"/>
  <c r="O45" i="2"/>
  <c r="E45" i="2"/>
  <c r="D45" i="2"/>
  <c r="C45" i="2"/>
  <c r="B45" i="2"/>
  <c r="S44" i="2"/>
  <c r="R44" i="2"/>
  <c r="Q44" i="2"/>
  <c r="O44" i="2"/>
  <c r="E44" i="2"/>
  <c r="D44" i="2"/>
  <c r="C44" i="2"/>
  <c r="B44" i="2"/>
  <c r="S43" i="2"/>
  <c r="R43" i="2"/>
  <c r="Q43" i="2"/>
  <c r="O43" i="2"/>
  <c r="E43" i="2"/>
  <c r="D43" i="2"/>
  <c r="C43" i="2"/>
  <c r="B43" i="2"/>
  <c r="S42" i="2"/>
  <c r="R42" i="2"/>
  <c r="Q42" i="2"/>
  <c r="O42" i="2"/>
  <c r="E42" i="2"/>
  <c r="D42" i="2"/>
  <c r="C42" i="2"/>
  <c r="B42" i="2"/>
  <c r="S41" i="2"/>
  <c r="R41" i="2"/>
  <c r="Q41" i="2"/>
  <c r="O41" i="2"/>
  <c r="E41" i="2"/>
  <c r="D41" i="2"/>
  <c r="C41" i="2"/>
  <c r="B41" i="2"/>
  <c r="S40" i="2"/>
  <c r="R40" i="2"/>
  <c r="Q40" i="2"/>
  <c r="O40" i="2"/>
  <c r="E40" i="2"/>
  <c r="D40" i="2"/>
  <c r="C40" i="2"/>
  <c r="B40" i="2"/>
  <c r="S39" i="2"/>
  <c r="R39" i="2"/>
  <c r="Q39" i="2"/>
  <c r="O39" i="2"/>
  <c r="E39" i="2"/>
  <c r="D39" i="2"/>
  <c r="C39" i="2"/>
  <c r="B39" i="2"/>
  <c r="S38" i="2"/>
  <c r="R38" i="2"/>
  <c r="Q38" i="2"/>
  <c r="O38" i="2"/>
  <c r="E38" i="2"/>
  <c r="D38" i="2"/>
  <c r="C38" i="2"/>
  <c r="B38" i="2"/>
  <c r="S37" i="2"/>
  <c r="R37" i="2"/>
  <c r="Q37" i="2"/>
  <c r="O37" i="2"/>
  <c r="E37" i="2"/>
  <c r="D37" i="2"/>
  <c r="C37" i="2"/>
  <c r="B37" i="2"/>
  <c r="S36" i="2"/>
  <c r="R36" i="2"/>
  <c r="Q36" i="2"/>
  <c r="O36" i="2"/>
  <c r="E36" i="2"/>
  <c r="D36" i="2"/>
  <c r="C36" i="2"/>
  <c r="B36" i="2"/>
  <c r="S35" i="2"/>
  <c r="R35" i="2"/>
  <c r="Q35" i="2"/>
  <c r="O35" i="2"/>
  <c r="E35" i="2"/>
  <c r="D35" i="2"/>
  <c r="C35" i="2"/>
  <c r="B35" i="2"/>
  <c r="S34" i="2"/>
  <c r="R34" i="2"/>
  <c r="Q34" i="2"/>
  <c r="O34" i="2"/>
  <c r="E34" i="2"/>
  <c r="D34" i="2"/>
  <c r="C34" i="2"/>
  <c r="B34" i="2"/>
  <c r="S33" i="2"/>
  <c r="R33" i="2"/>
  <c r="Q33" i="2"/>
  <c r="O33" i="2"/>
  <c r="E33" i="2"/>
  <c r="D33" i="2"/>
  <c r="C33" i="2"/>
  <c r="B33" i="2"/>
  <c r="S32" i="2"/>
  <c r="R32" i="2"/>
  <c r="Q32" i="2"/>
  <c r="O32" i="2"/>
  <c r="E32" i="2"/>
  <c r="D32" i="2"/>
  <c r="C32" i="2"/>
  <c r="B32" i="2"/>
  <c r="S31" i="2"/>
  <c r="R31" i="2"/>
  <c r="Q31" i="2"/>
  <c r="O31" i="2"/>
  <c r="E31" i="2"/>
  <c r="D31" i="2"/>
  <c r="C31" i="2"/>
  <c r="B31" i="2"/>
  <c r="S30" i="2"/>
  <c r="R30" i="2"/>
  <c r="Q30" i="2"/>
  <c r="O30" i="2"/>
  <c r="E30" i="2"/>
  <c r="D30" i="2"/>
  <c r="C30" i="2"/>
  <c r="B30" i="2"/>
  <c r="S29" i="2"/>
  <c r="R29" i="2"/>
  <c r="Q29" i="2"/>
  <c r="O29" i="2"/>
  <c r="E29" i="2"/>
  <c r="D29" i="2"/>
  <c r="C29" i="2"/>
  <c r="B29" i="2"/>
  <c r="S28" i="2"/>
  <c r="R28" i="2"/>
  <c r="Q28" i="2"/>
  <c r="O28" i="2"/>
  <c r="E28" i="2"/>
  <c r="D28" i="2"/>
  <c r="C28" i="2"/>
  <c r="B28" i="2"/>
  <c r="S27" i="2"/>
  <c r="R27" i="2"/>
  <c r="Q27" i="2"/>
  <c r="O27" i="2"/>
  <c r="E27" i="2"/>
  <c r="D27" i="2"/>
  <c r="C27" i="2"/>
  <c r="B27" i="2"/>
  <c r="S26" i="2"/>
  <c r="R26" i="2"/>
  <c r="Q26" i="2"/>
  <c r="O26" i="2"/>
  <c r="E26" i="2"/>
  <c r="D26" i="2"/>
  <c r="C26" i="2"/>
  <c r="B26" i="2"/>
  <c r="S25" i="2"/>
  <c r="R25" i="2"/>
  <c r="Q25" i="2"/>
  <c r="O25" i="2"/>
  <c r="E25" i="2"/>
  <c r="D25" i="2"/>
  <c r="C25" i="2"/>
  <c r="B25" i="2"/>
  <c r="S24" i="2"/>
  <c r="R24" i="2"/>
  <c r="Q24" i="2"/>
  <c r="O24" i="2"/>
  <c r="E24" i="2"/>
  <c r="D24" i="2"/>
  <c r="C24" i="2"/>
  <c r="B24" i="2"/>
  <c r="S23" i="2"/>
  <c r="R23" i="2"/>
  <c r="Q23" i="2"/>
  <c r="O23" i="2"/>
  <c r="E23" i="2"/>
  <c r="D23" i="2"/>
  <c r="C23" i="2"/>
  <c r="B23" i="2"/>
  <c r="S22" i="2"/>
  <c r="R22" i="2"/>
  <c r="Q22" i="2"/>
  <c r="O22" i="2"/>
  <c r="E22" i="2"/>
  <c r="D22" i="2"/>
  <c r="C22" i="2"/>
  <c r="B22" i="2"/>
  <c r="S21" i="2"/>
  <c r="R21" i="2"/>
  <c r="Q21" i="2"/>
  <c r="O21" i="2"/>
  <c r="E21" i="2"/>
  <c r="D21" i="2"/>
  <c r="C21" i="2"/>
  <c r="B21" i="2"/>
  <c r="S20" i="2"/>
  <c r="R20" i="2"/>
  <c r="Q20" i="2"/>
  <c r="O20" i="2"/>
  <c r="E20" i="2"/>
  <c r="D20" i="2"/>
  <c r="C20" i="2"/>
  <c r="B20" i="2"/>
  <c r="S19" i="2"/>
  <c r="R19" i="2"/>
  <c r="Q19" i="2"/>
  <c r="O19" i="2"/>
  <c r="E19" i="2"/>
  <c r="D19" i="2"/>
  <c r="C19" i="2"/>
  <c r="B19" i="2"/>
  <c r="S18" i="2"/>
  <c r="R18" i="2"/>
  <c r="Q18" i="2"/>
  <c r="O18" i="2"/>
  <c r="E18" i="2"/>
  <c r="D18" i="2"/>
  <c r="C18" i="2"/>
  <c r="B18" i="2"/>
  <c r="S17" i="2"/>
  <c r="R17" i="2"/>
  <c r="Q17" i="2"/>
  <c r="O17" i="2"/>
  <c r="E17" i="2"/>
  <c r="D17" i="2"/>
  <c r="C17" i="2"/>
  <c r="B17" i="2"/>
  <c r="S16" i="2"/>
  <c r="R16" i="2"/>
  <c r="Q16" i="2"/>
  <c r="O16" i="2"/>
  <c r="E16" i="2"/>
  <c r="D16" i="2"/>
  <c r="C16" i="2"/>
  <c r="B16" i="2"/>
  <c r="S15" i="2"/>
  <c r="R15" i="2"/>
  <c r="Q15" i="2"/>
  <c r="O15" i="2"/>
  <c r="E15" i="2"/>
  <c r="D15" i="2"/>
  <c r="C15" i="2"/>
  <c r="B15" i="2"/>
  <c r="S14" i="2"/>
  <c r="R14" i="2"/>
  <c r="Q14" i="2"/>
  <c r="O14" i="2"/>
  <c r="E14" i="2"/>
  <c r="D14" i="2"/>
  <c r="C14" i="2"/>
  <c r="B14" i="2"/>
  <c r="S13" i="2"/>
  <c r="R13" i="2"/>
  <c r="Q13" i="2"/>
  <c r="O13" i="2"/>
  <c r="E13" i="2"/>
  <c r="D13" i="2"/>
  <c r="C13" i="2"/>
  <c r="B13" i="2"/>
  <c r="S12" i="2"/>
  <c r="R12" i="2"/>
  <c r="Q12" i="2"/>
  <c r="O12" i="2"/>
  <c r="E12" i="2"/>
  <c r="D12" i="2"/>
  <c r="C12" i="2"/>
  <c r="B12" i="2"/>
  <c r="S11" i="2"/>
  <c r="R11" i="2"/>
  <c r="Q11" i="2"/>
  <c r="O11" i="2"/>
  <c r="E11" i="2"/>
  <c r="D11" i="2"/>
  <c r="C11" i="2"/>
  <c r="B11" i="2"/>
  <c r="S10" i="2"/>
  <c r="R10" i="2"/>
  <c r="Q10" i="2"/>
  <c r="O10" i="2"/>
  <c r="E10" i="2"/>
  <c r="D10" i="2"/>
  <c r="C10" i="2"/>
  <c r="B10" i="2"/>
  <c r="S9" i="2"/>
  <c r="R9" i="2"/>
  <c r="Q9" i="2"/>
  <c r="O9" i="2"/>
  <c r="E9" i="2"/>
  <c r="D9" i="2"/>
  <c r="C9" i="2"/>
  <c r="B9" i="2"/>
  <c r="S8" i="2"/>
  <c r="R8" i="2"/>
  <c r="Q8" i="2"/>
  <c r="O8" i="2"/>
  <c r="E8" i="2"/>
  <c r="D8" i="2"/>
  <c r="C8" i="2"/>
  <c r="B8" i="2"/>
  <c r="S7" i="2"/>
  <c r="R7" i="2"/>
  <c r="Q7" i="2"/>
  <c r="O7" i="2"/>
  <c r="E7" i="2"/>
  <c r="D7" i="2"/>
  <c r="C7" i="2"/>
  <c r="B7" i="2"/>
  <c r="S6" i="2"/>
  <c r="R6" i="2"/>
  <c r="Q6" i="2"/>
  <c r="O6" i="2"/>
  <c r="E6" i="2"/>
  <c r="D6" i="2"/>
  <c r="C6" i="2"/>
  <c r="B6" i="2"/>
  <c r="S5" i="2"/>
  <c r="R5" i="2"/>
  <c r="Q5" i="2"/>
  <c r="O5" i="2"/>
  <c r="E5" i="2"/>
  <c r="D5" i="2"/>
  <c r="C5" i="2"/>
  <c r="B5" i="2"/>
  <c r="S4" i="2"/>
  <c r="R4" i="2"/>
  <c r="Q4" i="2"/>
  <c r="O4" i="2"/>
  <c r="E4" i="2"/>
  <c r="D4" i="2"/>
  <c r="C4" i="2"/>
  <c r="B4" i="2"/>
  <c r="S3" i="2"/>
  <c r="R3" i="2"/>
  <c r="Q3" i="2"/>
  <c r="O3" i="2"/>
  <c r="E3" i="2"/>
  <c r="D3" i="2"/>
  <c r="C3" i="2"/>
  <c r="B3" i="2"/>
  <c r="S2" i="2"/>
  <c r="R2" i="2"/>
  <c r="Q2" i="2"/>
  <c r="O2" i="2"/>
  <c r="E2" i="2"/>
  <c r="D2" i="2"/>
  <c r="C2" i="2"/>
  <c r="B2" i="2"/>
  <c r="H36" i="3" l="1"/>
  <c r="C5" i="3"/>
  <c r="C3" i="3"/>
  <c r="F39" i="3"/>
  <c r="F33" i="3"/>
  <c r="F37" i="3"/>
  <c r="F43" i="3"/>
  <c r="F32" i="3"/>
  <c r="H37" i="3"/>
  <c r="F40" i="3"/>
  <c r="H45" i="3"/>
  <c r="R2051" i="2"/>
  <c r="S2051" i="2" s="1"/>
  <c r="R2059" i="2"/>
  <c r="S2059" i="2" s="1"/>
  <c r="R2067" i="2"/>
  <c r="S2067" i="2" s="1"/>
  <c r="R2075" i="2"/>
  <c r="S2075" i="2" s="1"/>
  <c r="R2083" i="2"/>
  <c r="S2083" i="2" s="1"/>
  <c r="H32" i="3"/>
  <c r="F35" i="3"/>
  <c r="H40" i="3"/>
  <c r="R2058" i="2"/>
  <c r="S2058" i="2" s="1"/>
  <c r="R2066" i="2"/>
  <c r="S2066" i="2" s="1"/>
  <c r="R2074" i="2"/>
  <c r="S2074" i="2" s="1"/>
  <c r="R2082" i="2"/>
  <c r="S2082" i="2" s="1"/>
  <c r="E47" i="3"/>
  <c r="E43" i="3"/>
  <c r="E39" i="3"/>
  <c r="E35" i="3"/>
  <c r="H49" i="3"/>
  <c r="F48" i="3"/>
  <c r="E48" i="3"/>
  <c r="E44" i="3"/>
  <c r="E40" i="3"/>
  <c r="E36" i="3"/>
  <c r="I36" i="3" s="1"/>
  <c r="E32" i="3"/>
  <c r="I32" i="3" s="1"/>
  <c r="F49" i="3"/>
  <c r="G49" i="3" s="1"/>
  <c r="E49" i="3"/>
  <c r="I49" i="3" s="1"/>
  <c r="E45" i="3"/>
  <c r="I45" i="3" s="1"/>
  <c r="E41" i="3"/>
  <c r="E37" i="3"/>
  <c r="I37" i="3" s="1"/>
  <c r="E33" i="3"/>
  <c r="E46" i="3"/>
  <c r="E42" i="3"/>
  <c r="E38" i="3"/>
  <c r="E34" i="3"/>
  <c r="I34" i="3" s="1"/>
  <c r="H48" i="3"/>
  <c r="F47" i="3"/>
  <c r="G47" i="3" s="1"/>
  <c r="H35" i="3"/>
  <c r="F38" i="3"/>
  <c r="H43" i="3"/>
  <c r="F46" i="3"/>
  <c r="H38" i="3"/>
  <c r="F41" i="3"/>
  <c r="H46" i="3"/>
  <c r="R2056" i="2"/>
  <c r="S2056" i="2" s="1"/>
  <c r="R2064" i="2"/>
  <c r="S2064" i="2" s="1"/>
  <c r="R2072" i="2"/>
  <c r="S2072" i="2" s="1"/>
  <c r="R2080" i="2"/>
  <c r="S2080" i="2" s="1"/>
  <c r="R2088" i="2"/>
  <c r="S2088" i="2" s="1"/>
  <c r="H33" i="3"/>
  <c r="F36" i="3"/>
  <c r="H41" i="3"/>
  <c r="F44" i="3"/>
  <c r="G44" i="3" s="1"/>
  <c r="H44" i="3"/>
  <c r="H47" i="3"/>
  <c r="R2054" i="2"/>
  <c r="S2054" i="2" s="1"/>
  <c r="R2062" i="2"/>
  <c r="S2062" i="2" s="1"/>
  <c r="R2070" i="2"/>
  <c r="S2070" i="2" s="1"/>
  <c r="R2078" i="2"/>
  <c r="S2078" i="2" s="1"/>
  <c r="R2086" i="2"/>
  <c r="S2086" i="2" s="1"/>
  <c r="F34" i="3"/>
  <c r="G34" i="3" s="1"/>
  <c r="H39" i="3"/>
  <c r="F42" i="3"/>
  <c r="H42" i="3"/>
  <c r="F45" i="3"/>
  <c r="I40" i="3" l="1"/>
  <c r="G43" i="3"/>
  <c r="G41" i="3"/>
  <c r="G45" i="3"/>
  <c r="G46" i="3"/>
  <c r="G35" i="3"/>
  <c r="G36" i="3"/>
  <c r="I38" i="3"/>
  <c r="I42" i="3"/>
  <c r="I39" i="3"/>
  <c r="G40" i="3"/>
  <c r="I46" i="3"/>
  <c r="I43" i="3"/>
  <c r="G42" i="3"/>
  <c r="G38" i="3"/>
  <c r="I33" i="3"/>
  <c r="I47" i="3"/>
  <c r="G32" i="3"/>
  <c r="I44" i="3"/>
  <c r="I41" i="3"/>
  <c r="I48" i="3"/>
  <c r="G37" i="3"/>
  <c r="G48" i="3"/>
  <c r="G33" i="3"/>
  <c r="G39" i="3"/>
  <c r="I35" i="3"/>
  <c r="C96" i="3"/>
  <c r="F89" i="3"/>
  <c r="C88" i="3"/>
  <c r="K81" i="3"/>
  <c r="K77" i="3"/>
  <c r="K73" i="3"/>
  <c r="J65" i="3"/>
  <c r="C63" i="3"/>
  <c r="J53" i="3"/>
  <c r="C24" i="3"/>
  <c r="F92" i="3"/>
  <c r="C91" i="3"/>
  <c r="J81" i="3"/>
  <c r="D79" i="3"/>
  <c r="J77" i="3"/>
  <c r="D75" i="3"/>
  <c r="J73" i="3"/>
  <c r="J64" i="3"/>
  <c r="C55" i="3"/>
  <c r="F95" i="3"/>
  <c r="C94" i="3"/>
  <c r="F87" i="3"/>
  <c r="C86" i="3"/>
  <c r="K78" i="3"/>
  <c r="K74" i="3"/>
  <c r="J63" i="3"/>
  <c r="F63" i="3" s="1"/>
  <c r="J55" i="3"/>
  <c r="F55" i="3" s="1"/>
  <c r="C98" i="3"/>
  <c r="F90" i="3"/>
  <c r="C89" i="3"/>
  <c r="D80" i="3"/>
  <c r="J78" i="3"/>
  <c r="D76" i="3"/>
  <c r="J74" i="3"/>
  <c r="D72" i="3"/>
  <c r="D67" i="3"/>
  <c r="C57" i="3"/>
  <c r="F93" i="3"/>
  <c r="C92" i="3"/>
  <c r="F85" i="3"/>
  <c r="K79" i="3"/>
  <c r="K75" i="3"/>
  <c r="C67" i="3"/>
  <c r="D66" i="3"/>
  <c r="J57" i="3"/>
  <c r="F57" i="3" s="1"/>
  <c r="C54" i="3"/>
  <c r="C12" i="3"/>
  <c r="F96" i="3"/>
  <c r="C95" i="3"/>
  <c r="F88" i="3"/>
  <c r="C87" i="3"/>
  <c r="D81" i="3"/>
  <c r="J79" i="3"/>
  <c r="D77" i="3"/>
  <c r="J75" i="3"/>
  <c r="E75" i="3" s="1"/>
  <c r="D73" i="3"/>
  <c r="C66" i="3"/>
  <c r="D65" i="3"/>
  <c r="J54" i="3"/>
  <c r="F91" i="3"/>
  <c r="C90" i="3"/>
  <c r="K80" i="3"/>
  <c r="K76" i="3"/>
  <c r="K72" i="3"/>
  <c r="J67" i="3"/>
  <c r="C65" i="3"/>
  <c r="D64" i="3"/>
  <c r="C56" i="3"/>
  <c r="F94" i="3"/>
  <c r="C93" i="3"/>
  <c r="F86" i="3"/>
  <c r="C85" i="3"/>
  <c r="J80" i="3"/>
  <c r="E80" i="3" s="1"/>
  <c r="D78" i="3"/>
  <c r="J76" i="3"/>
  <c r="E76" i="3" s="1"/>
  <c r="D74" i="3"/>
  <c r="J72" i="3"/>
  <c r="J66" i="3"/>
  <c r="C64" i="3"/>
  <c r="D63" i="3"/>
  <c r="J56" i="3"/>
  <c r="C53" i="3"/>
  <c r="C27" i="3"/>
  <c r="C23" i="3"/>
  <c r="C15" i="3"/>
  <c r="C4" i="3"/>
  <c r="C21" i="3"/>
  <c r="D91" i="3"/>
  <c r="E86" i="3"/>
  <c r="D94" i="3"/>
  <c r="E89" i="3"/>
  <c r="D86" i="3"/>
  <c r="D89" i="3"/>
  <c r="D92" i="3"/>
  <c r="E87" i="3"/>
  <c r="D95" i="3"/>
  <c r="E90" i="3"/>
  <c r="D87" i="3"/>
  <c r="D90" i="3"/>
  <c r="E85" i="3"/>
  <c r="D93" i="3"/>
  <c r="E88" i="3"/>
  <c r="D85" i="3"/>
  <c r="D96" i="3"/>
  <c r="D88" i="3"/>
  <c r="C6" i="3"/>
  <c r="E79" i="3" l="1"/>
  <c r="F56" i="3"/>
  <c r="F67" i="3"/>
  <c r="F66" i="3"/>
  <c r="E72" i="3"/>
  <c r="G76" i="3"/>
  <c r="F76" i="3"/>
  <c r="E73" i="3"/>
  <c r="F53" i="3"/>
  <c r="H66" i="3"/>
  <c r="E66" i="3"/>
  <c r="L66" i="3" s="1"/>
  <c r="C109" i="3"/>
  <c r="G73" i="3"/>
  <c r="F73" i="3"/>
  <c r="E78" i="3"/>
  <c r="G75" i="3"/>
  <c r="F75" i="3"/>
  <c r="H63" i="3"/>
  <c r="E63" i="3"/>
  <c r="L63" i="3" s="1"/>
  <c r="H64" i="3"/>
  <c r="E64" i="3"/>
  <c r="L64" i="3" s="1"/>
  <c r="C22" i="3"/>
  <c r="C110" i="3"/>
  <c r="M5" i="1" s="1"/>
  <c r="C25" i="3"/>
  <c r="B8" i="1"/>
  <c r="G80" i="3"/>
  <c r="F80" i="3"/>
  <c r="E77" i="3"/>
  <c r="F65" i="3"/>
  <c r="G77" i="3"/>
  <c r="F77" i="3"/>
  <c r="G79" i="3"/>
  <c r="F79" i="3"/>
  <c r="E81" i="3"/>
  <c r="C17" i="3"/>
  <c r="E8" i="1"/>
  <c r="G81" i="3"/>
  <c r="F81" i="3"/>
  <c r="F54" i="3"/>
  <c r="E67" i="3"/>
  <c r="L67" i="3" s="1"/>
  <c r="H67" i="3"/>
  <c r="G72" i="3"/>
  <c r="F72" i="3"/>
  <c r="K64" i="3"/>
  <c r="G64" i="3" s="1"/>
  <c r="D55" i="3"/>
  <c r="E55" i="3" s="1"/>
  <c r="L55" i="3" s="1"/>
  <c r="C16" i="3"/>
  <c r="K63" i="3"/>
  <c r="G63" i="3" s="1"/>
  <c r="K55" i="3"/>
  <c r="C121" i="3"/>
  <c r="C99" i="3"/>
  <c r="G92" i="3" s="1"/>
  <c r="E92" i="3" s="1"/>
  <c r="D57" i="3"/>
  <c r="I57" i="3" s="1"/>
  <c r="K57" i="3"/>
  <c r="D54" i="3"/>
  <c r="E54" i="3" s="1"/>
  <c r="L54" i="3" s="1"/>
  <c r="G88" i="3"/>
  <c r="K54" i="3"/>
  <c r="G91" i="3"/>
  <c r="E91" i="3" s="1"/>
  <c r="K67" i="3"/>
  <c r="G67" i="3" s="1"/>
  <c r="D56" i="3"/>
  <c r="E56" i="3" s="1"/>
  <c r="L56" i="3" s="1"/>
  <c r="K66" i="3"/>
  <c r="G66" i="3" s="1"/>
  <c r="K56" i="3"/>
  <c r="D53" i="3"/>
  <c r="I53" i="3" s="1"/>
  <c r="G89" i="3"/>
  <c r="K65" i="3"/>
  <c r="G65" i="3" s="1"/>
  <c r="K53" i="3"/>
  <c r="G53" i="3" s="1"/>
  <c r="C13" i="3"/>
  <c r="G74" i="3"/>
  <c r="F74" i="3"/>
  <c r="G78" i="3"/>
  <c r="F78" i="3"/>
  <c r="H65" i="3"/>
  <c r="E65" i="3"/>
  <c r="L65" i="3"/>
  <c r="E74" i="3"/>
  <c r="F64" i="3"/>
  <c r="G90" i="3" l="1"/>
  <c r="E57" i="3"/>
  <c r="L57" i="3" s="1"/>
  <c r="G57" i="3"/>
  <c r="H57" i="3" s="1"/>
  <c r="M57" i="3" s="1"/>
  <c r="G87" i="3"/>
  <c r="G86" i="3"/>
  <c r="C122" i="3"/>
  <c r="G94" i="3"/>
  <c r="E94" i="3" s="1"/>
  <c r="G85" i="3"/>
  <c r="I55" i="3"/>
  <c r="G93" i="3"/>
  <c r="E93" i="3" s="1"/>
  <c r="G95" i="3"/>
  <c r="E95" i="3" s="1"/>
  <c r="E53" i="3"/>
  <c r="L53" i="3" s="1"/>
  <c r="C18" i="3"/>
  <c r="C19" i="3"/>
  <c r="H9" i="1" s="1"/>
  <c r="H8" i="1"/>
  <c r="G54" i="3"/>
  <c r="H54" i="3" s="1"/>
  <c r="M54" i="3" s="1"/>
  <c r="C20" i="3"/>
  <c r="E9" i="1" s="1"/>
  <c r="H53" i="3"/>
  <c r="M53" i="3" s="1"/>
  <c r="Q64" i="1"/>
  <c r="N64" i="1"/>
  <c r="N62" i="1"/>
  <c r="R63" i="1"/>
  <c r="Q61" i="1"/>
  <c r="Q59" i="1"/>
  <c r="Q57" i="1"/>
  <c r="Q55" i="1"/>
  <c r="N63" i="1"/>
  <c r="R60" i="1"/>
  <c r="Q58" i="1"/>
  <c r="N56" i="1"/>
  <c r="R64" i="1"/>
  <c r="N61" i="1"/>
  <c r="R58" i="1"/>
  <c r="S55" i="1"/>
  <c r="S62" i="1"/>
  <c r="N60" i="1"/>
  <c r="R57" i="1"/>
  <c r="S63" i="1"/>
  <c r="S60" i="1"/>
  <c r="N58" i="1"/>
  <c r="R55" i="1"/>
  <c r="R56" i="1"/>
  <c r="Q63" i="1"/>
  <c r="Q60" i="1"/>
  <c r="S57" i="1"/>
  <c r="N55" i="1"/>
  <c r="R61" i="1"/>
  <c r="Q56" i="1"/>
  <c r="R62" i="1"/>
  <c r="S59" i="1"/>
  <c r="N57" i="1"/>
  <c r="N59" i="1"/>
  <c r="S64" i="1"/>
  <c r="Q62" i="1"/>
  <c r="R59" i="1"/>
  <c r="S56" i="1"/>
  <c r="S61" i="1"/>
  <c r="S58" i="1"/>
  <c r="I54" i="3"/>
  <c r="C14" i="3"/>
  <c r="I56" i="3"/>
  <c r="C123" i="3"/>
  <c r="N9" i="1" s="1"/>
  <c r="N8" i="1"/>
  <c r="C120" i="3"/>
  <c r="C119" i="3"/>
  <c r="C107" i="3" s="1"/>
  <c r="L32" i="1" s="1"/>
  <c r="G56" i="3"/>
  <c r="H56" i="3" s="1"/>
  <c r="M56" i="3" s="1"/>
  <c r="G96" i="3"/>
  <c r="E96" i="3" s="1"/>
  <c r="K8" i="1"/>
  <c r="K9" i="1"/>
  <c r="G55" i="3"/>
  <c r="H55" i="3" s="1"/>
  <c r="M55" i="3" s="1"/>
  <c r="C114" i="3" l="1"/>
  <c r="C26" i="3"/>
  <c r="C28" i="3"/>
  <c r="Q8" i="1"/>
  <c r="B9" i="1"/>
  <c r="C104" i="3"/>
  <c r="B13" i="1" s="1"/>
  <c r="C115" i="3"/>
  <c r="C116" i="3"/>
  <c r="C118" i="3"/>
  <c r="C117" i="3"/>
  <c r="C113" i="3"/>
  <c r="C105" i="3" s="1"/>
  <c r="L13" i="1" s="1"/>
  <c r="C106" i="3" l="1"/>
  <c r="B32" i="1" s="1"/>
  <c r="Q9" i="1"/>
  <c r="C108" i="3"/>
  <c r="B52" i="1" s="1"/>
</calcChain>
</file>

<file path=xl/sharedStrings.xml><?xml version="1.0" encoding="utf-8"?>
<sst xmlns="http://schemas.openxmlformats.org/spreadsheetml/2006/main" count="18577" uniqueCount="2406">
  <si>
    <t>RETAIL ANDINA S.A.  ·  TABLERO EJECUTIVO DE VENTAS Y RENTABILIDAD</t>
  </si>
  <si>
    <t>FILTROS</t>
  </si>
  <si>
    <t>CATEGORÍA</t>
  </si>
  <si>
    <t>REGIÓN</t>
  </si>
  <si>
    <t>SUCURSAL</t>
  </si>
  <si>
    <t>Todas</t>
  </si>
  <si>
    <t>VENTAS YTD</t>
  </si>
  <si>
    <t>MARGEN BRUTO YTD</t>
  </si>
  <si>
    <t>MARGEN %</t>
  </si>
  <si>
    <t>CUMPLIMIENTO OBJETIVO</t>
  </si>
  <si>
    <t>TICKET PROMEDIO</t>
  </si>
  <si>
    <t>PROYECCIÓN DE CIERRE</t>
  </si>
  <si>
    <t>vs. mismo período año anterior</t>
  </si>
  <si>
    <t>variación del margen en $</t>
  </si>
  <si>
    <t>desvío contra el objetivo YTD</t>
  </si>
  <si>
    <t>vs. objetivo anual</t>
  </si>
  <si>
    <t>EVOLUCIÓN Y COMPOSICIÓN DEL RESULTADO</t>
  </si>
  <si>
    <t>Ventas mensuales (columnas, eje izquierdo) y margen % (línea, eje derecho) · últimos 18 meses</t>
  </si>
  <si>
    <t>Ventas YTD por categoría: año en curso vs. mismo período del año anterior</t>
  </si>
  <si>
    <t>Margen % por categoría: año en curso vs. mismo período del año anterior · en puntos porcentuales</t>
  </si>
  <si>
    <t>Ventas reales vs. objetivo YTD por región</t>
  </si>
  <si>
    <t>PROYECCIÓN DE CIERRE Y RANKING OPERATIVO</t>
  </si>
  <si>
    <t>Ranking de sucursales por ventas YTD</t>
  </si>
  <si>
    <t>Ventas reales acumuladas + proyección de los meses pendientes, contra el objetivo mensual</t>
  </si>
  <si>
    <t>Ordenado de mayor a menor · margen % y cumplimiento de objetivo</t>
  </si>
  <si>
    <t>#</t>
  </si>
  <si>
    <t>Sucursal</t>
  </si>
  <si>
    <t>Ventas YTD</t>
  </si>
  <si>
    <t>Margen %</t>
  </si>
  <si>
    <t>Cumpl. %</t>
  </si>
  <si>
    <t>• Fuente: hoja Datos (dataset sintético, 2.088 operaciones entre enero 2025 y junio 2026). Empresa ficticia con fines académicos.</t>
  </si>
  <si>
    <t>• YTD = acumulado de enero al último mes cerrado del año en curso. Todas las comparaciones usan el mismo corte del año anterior.</t>
  </si>
  <si>
    <t>• Proyección = promedio de los últimos 3 meses cerrados × índice de estacionalidad del mismo mes del año anterior. No incorpora decisiones comerciales futuras.</t>
  </si>
  <si>
    <t>• Los tres filtros afectan simultáneamente a KPIs, gráficos y ranking. Si se combina una sucursal con una región a la que no pertenece, el tablero avisa que no hay datos.</t>
  </si>
  <si>
    <t>• Ejes truncados y declarados: margen % del gráfico de evolución entre 20% y 35%, cumplimiento por región entre 60% y 120%, para hacer visible la variación.</t>
  </si>
  <si>
    <t>Fecha</t>
  </si>
  <si>
    <t>Año</t>
  </si>
  <si>
    <t>Mes</t>
  </si>
  <si>
    <t>Nombre_Mes</t>
  </si>
  <si>
    <t>Trimestre</t>
  </si>
  <si>
    <t>ID_Venta</t>
  </si>
  <si>
    <t>Producto</t>
  </si>
  <si>
    <t>Categoría</t>
  </si>
  <si>
    <t>Subcategoría</t>
  </si>
  <si>
    <t>Región</t>
  </si>
  <si>
    <t>Vendedor</t>
  </si>
  <si>
    <t>Unidades</t>
  </si>
  <si>
    <t>Precio_Unitario</t>
  </si>
  <si>
    <t>Facturación</t>
  </si>
  <si>
    <t>Costo_Unitario</t>
  </si>
  <si>
    <t>Costo_Total</t>
  </si>
  <si>
    <t>Margen_Bruto</t>
  </si>
  <si>
    <t>Margen_%</t>
  </si>
  <si>
    <t>V-100013</t>
  </si>
  <si>
    <t>Auriculares Bluetooth</t>
  </si>
  <si>
    <t>Tecnología</t>
  </si>
  <si>
    <t>Audio y Video</t>
  </si>
  <si>
    <t>Litoral</t>
  </si>
  <si>
    <t>Sucursal Paraná</t>
  </si>
  <si>
    <t>A. Molina</t>
  </si>
  <si>
    <t>V-100025</t>
  </si>
  <si>
    <t>Vino Malbec 750ml</t>
  </si>
  <si>
    <t>Alimentos</t>
  </si>
  <si>
    <t>Bebidas</t>
  </si>
  <si>
    <t>AMBA</t>
  </si>
  <si>
    <t>Sucursal Palermo</t>
  </si>
  <si>
    <t>J. Benítez</t>
  </si>
  <si>
    <t>V-100046</t>
  </si>
  <si>
    <t>Aceite de Girasol 1,5L</t>
  </si>
  <si>
    <t>Almacén</t>
  </si>
  <si>
    <t>Patagonia</t>
  </si>
  <si>
    <t>Sucursal Bariloche</t>
  </si>
  <si>
    <t>O. Uriarte</t>
  </si>
  <si>
    <t>V-100055</t>
  </si>
  <si>
    <t>Juego de Sábanas Queen</t>
  </si>
  <si>
    <t>Hogar</t>
  </si>
  <si>
    <t>Textil Hogar</t>
  </si>
  <si>
    <t>Centro</t>
  </si>
  <si>
    <t>Sucursal Río Cuarto</t>
  </si>
  <si>
    <t>C. Ibarra</t>
  </si>
  <si>
    <t>V-100057</t>
  </si>
  <si>
    <t>Sucursal Rosario</t>
  </si>
  <si>
    <t>D. Ledesma</t>
  </si>
  <si>
    <t>V-100067</t>
  </si>
  <si>
    <t>Sucursal Neuquén</t>
  </si>
  <si>
    <t>H. Sosa</t>
  </si>
  <si>
    <t>V-100091</t>
  </si>
  <si>
    <t>Calzado Urbano</t>
  </si>
  <si>
    <t>Indumentaria</t>
  </si>
  <si>
    <t>Calzado</t>
  </si>
  <si>
    <t>K. Vera</t>
  </si>
  <si>
    <t>V-100094</t>
  </si>
  <si>
    <t>Pelota de Fútbol Nº5</t>
  </si>
  <si>
    <t>Deportes</t>
  </si>
  <si>
    <t>Accesorios</t>
  </si>
  <si>
    <t>V-100097</t>
  </si>
  <si>
    <t>Sucursal Avellaneda</t>
  </si>
  <si>
    <t>L. Correa</t>
  </si>
  <si>
    <t>V-100070</t>
  </si>
  <si>
    <t>V-100078</t>
  </si>
  <si>
    <t>Jean Clásico</t>
  </si>
  <si>
    <t>Pantalones</t>
  </si>
  <si>
    <t>V-100028</t>
  </si>
  <si>
    <t>P. Domínguez</t>
  </si>
  <si>
    <t>V-100030</t>
  </si>
  <si>
    <t>Snacks Mix 200g</t>
  </si>
  <si>
    <t>Snacks</t>
  </si>
  <si>
    <t>Sucursal Córdoba Centro</t>
  </si>
  <si>
    <t>N. Gutiérrez</t>
  </si>
  <si>
    <t>V-100036</t>
  </si>
  <si>
    <t>Café Molido 500g</t>
  </si>
  <si>
    <t>V-100053</t>
  </si>
  <si>
    <t>S. Ferreyra</t>
  </si>
  <si>
    <t>V-100054</t>
  </si>
  <si>
    <t>Set de Ollas x6</t>
  </si>
  <si>
    <t>Bazar</t>
  </si>
  <si>
    <t>V-100102</t>
  </si>
  <si>
    <t>R. Herrera</t>
  </si>
  <si>
    <t>V-100114</t>
  </si>
  <si>
    <t>V-100008</t>
  </si>
  <si>
    <t>V-100048</t>
  </si>
  <si>
    <t>Sillón 2 Cuerpos</t>
  </si>
  <si>
    <t>Muebles</t>
  </si>
  <si>
    <t>M. Álvarez</t>
  </si>
  <si>
    <t>V-100065</t>
  </si>
  <si>
    <t>Cuyo</t>
  </si>
  <si>
    <t>Sucursal San Juan</t>
  </si>
  <si>
    <t>B. Quiroga</t>
  </si>
  <si>
    <t>V-100082</t>
  </si>
  <si>
    <t>V. Juárez</t>
  </si>
  <si>
    <t>V-100042</t>
  </si>
  <si>
    <t>E. Ramírez</t>
  </si>
  <si>
    <t>V-100050</t>
  </si>
  <si>
    <t>V-100056</t>
  </si>
  <si>
    <t>V-100060</t>
  </si>
  <si>
    <t>V-100020</t>
  </si>
  <si>
    <t>V-100032</t>
  </si>
  <si>
    <t>V-100038</t>
  </si>
  <si>
    <t>Sucursal Mendoza</t>
  </si>
  <si>
    <t>G. Ojeda</t>
  </si>
  <si>
    <t>V-100071</t>
  </si>
  <si>
    <t>V-100061</t>
  </si>
  <si>
    <t>T. Peralta</t>
  </si>
  <si>
    <t>V-100081</t>
  </si>
  <si>
    <t>Remera Básica</t>
  </si>
  <si>
    <t>Remeras</t>
  </si>
  <si>
    <t>V-100089</t>
  </si>
  <si>
    <t>I. Tapia</t>
  </si>
  <si>
    <t>V-100095</t>
  </si>
  <si>
    <t>Mancuernas 10kg</t>
  </si>
  <si>
    <t>Fitness</t>
  </si>
  <si>
    <t>V-100104</t>
  </si>
  <si>
    <t>V-100007</t>
  </si>
  <si>
    <t>V-100023</t>
  </si>
  <si>
    <t>V-100075</t>
  </si>
  <si>
    <t>V-100087</t>
  </si>
  <si>
    <t>V-100115</t>
  </si>
  <si>
    <t>V-100014</t>
  </si>
  <si>
    <t>V-100088</t>
  </si>
  <si>
    <t>V-100099</t>
  </si>
  <si>
    <t>V-100109</t>
  </si>
  <si>
    <t>V-100015</t>
  </si>
  <si>
    <t>F. Navarro</t>
  </si>
  <si>
    <t>V-100033</t>
  </si>
  <si>
    <t>V-100039</t>
  </si>
  <si>
    <t>V-100040</t>
  </si>
  <si>
    <t>V-100092</t>
  </si>
  <si>
    <t>V-100103</t>
  </si>
  <si>
    <t>V-100107</t>
  </si>
  <si>
    <t>V-100016</t>
  </si>
  <si>
    <t>V-100017</t>
  </si>
  <si>
    <t>V-100019</t>
  </si>
  <si>
    <t>V-100045</t>
  </si>
  <si>
    <t>V-100106</t>
  </si>
  <si>
    <t>V-100022</t>
  </si>
  <si>
    <t>V-100024</t>
  </si>
  <si>
    <t>V-100037</t>
  </si>
  <si>
    <t>V-100052</t>
  </si>
  <si>
    <t>V-100086</t>
  </si>
  <si>
    <t>V-100105</t>
  </si>
  <si>
    <t>V-100018</t>
  </si>
  <si>
    <t>V-100069</t>
  </si>
  <si>
    <t>V-100004</t>
  </si>
  <si>
    <t>Smartphone Serie X</t>
  </si>
  <si>
    <t>Telefonía</t>
  </si>
  <si>
    <t>V-100006</t>
  </si>
  <si>
    <t>V-100068</t>
  </si>
  <si>
    <t>V-100077</t>
  </si>
  <si>
    <t>Campera Puffer</t>
  </si>
  <si>
    <t>Abrigo</t>
  </si>
  <si>
    <t>V-100003</t>
  </si>
  <si>
    <t>V-100021</t>
  </si>
  <si>
    <t>V-100027</t>
  </si>
  <si>
    <t>V-100090</t>
  </si>
  <si>
    <t>V-100110</t>
  </si>
  <si>
    <t>V-100047</t>
  </si>
  <si>
    <t>V-100073</t>
  </si>
  <si>
    <t>V-100098</t>
  </si>
  <si>
    <t>V-100031</t>
  </si>
  <si>
    <t>V-100011</t>
  </si>
  <si>
    <t>V-100043</t>
  </si>
  <si>
    <t>V-100101</t>
  </si>
  <si>
    <t>V-100112</t>
  </si>
  <si>
    <t>V-100064</t>
  </si>
  <si>
    <t>V-100066</t>
  </si>
  <si>
    <t>V-100096</t>
  </si>
  <si>
    <t>Zapatillas Running</t>
  </si>
  <si>
    <t>Calzado Deportivo</t>
  </si>
  <si>
    <t>V-100002</t>
  </si>
  <si>
    <t>V-100044</t>
  </si>
  <si>
    <t>V-100001</t>
  </si>
  <si>
    <t>V-100005</t>
  </si>
  <si>
    <t>V-100059</t>
  </si>
  <si>
    <t>V-100084</t>
  </si>
  <si>
    <t>V-100034</t>
  </si>
  <si>
    <t>V-100074</t>
  </si>
  <si>
    <t>V-100083</t>
  </si>
  <si>
    <t>V-100093</t>
  </si>
  <si>
    <t>V-100100</t>
  </si>
  <si>
    <t>V-100012</t>
  </si>
  <si>
    <t>V-100051</t>
  </si>
  <si>
    <t>V-100010</t>
  </si>
  <si>
    <t>V-100041</t>
  </si>
  <si>
    <t>V-100062</t>
  </si>
  <si>
    <t>V-100076</t>
  </si>
  <si>
    <t>V-100111</t>
  </si>
  <si>
    <t>V-100029</t>
  </si>
  <si>
    <t>V-100035</t>
  </si>
  <si>
    <t>V-100049</t>
  </si>
  <si>
    <t>V-100072</t>
  </si>
  <si>
    <t>V-100079</t>
  </si>
  <si>
    <t>V-100085</t>
  </si>
  <si>
    <t>V-100108</t>
  </si>
  <si>
    <t>V-100117</t>
  </si>
  <si>
    <t>V-100009</t>
  </si>
  <si>
    <t>V-100026</t>
  </si>
  <si>
    <t>V-100113</t>
  </si>
  <si>
    <t>V-100058</t>
  </si>
  <si>
    <t>V-100063</t>
  </si>
  <si>
    <t>V-100080</t>
  </si>
  <si>
    <t>V-100116</t>
  </si>
  <si>
    <t>V-100128</t>
  </si>
  <si>
    <t>V-100130</t>
  </si>
  <si>
    <t>V-100166</t>
  </si>
  <si>
    <t>V-100232</t>
  </si>
  <si>
    <t>V-100233</t>
  </si>
  <si>
    <t>V-100137</t>
  </si>
  <si>
    <t>V-100158</t>
  </si>
  <si>
    <t>V-100182</t>
  </si>
  <si>
    <t>V-100194</t>
  </si>
  <si>
    <t>V-100214</t>
  </si>
  <si>
    <t>V-100129</t>
  </si>
  <si>
    <t>V-100135</t>
  </si>
  <si>
    <t>V-100148</t>
  </si>
  <si>
    <t>V-100150</t>
  </si>
  <si>
    <t>V-100171</t>
  </si>
  <si>
    <t>V-100174</t>
  </si>
  <si>
    <t>V-100215</t>
  </si>
  <si>
    <t>V-100134</t>
  </si>
  <si>
    <t>V-100147</t>
  </si>
  <si>
    <t>V-100154</t>
  </si>
  <si>
    <t>V-100168</t>
  </si>
  <si>
    <t>V-100170</t>
  </si>
  <si>
    <t>V-100203</t>
  </si>
  <si>
    <t>V-100231</t>
  </si>
  <si>
    <t>V-100235</t>
  </si>
  <si>
    <t>V-100143</t>
  </si>
  <si>
    <t>V-100156</t>
  </si>
  <si>
    <t>V-100178</t>
  </si>
  <si>
    <t>V-100196</t>
  </si>
  <si>
    <t>V-100201</t>
  </si>
  <si>
    <t>V-100209</t>
  </si>
  <si>
    <t>V-100228</t>
  </si>
  <si>
    <t>V-100234</t>
  </si>
  <si>
    <t>V-100131</t>
  </si>
  <si>
    <t>V-100151</t>
  </si>
  <si>
    <t>V-100167</t>
  </si>
  <si>
    <t>V-100177</t>
  </si>
  <si>
    <t>V-100180</t>
  </si>
  <si>
    <t>V-100223</t>
  </si>
  <si>
    <t>V-100119</t>
  </si>
  <si>
    <t>V-100121</t>
  </si>
  <si>
    <t>Smart TV 55"</t>
  </si>
  <si>
    <t>V-100176</t>
  </si>
  <si>
    <t>V-100123</t>
  </si>
  <si>
    <t>V-100162</t>
  </si>
  <si>
    <t>V-100195</t>
  </si>
  <si>
    <t>V-100200</t>
  </si>
  <si>
    <t>V-100122</t>
  </si>
  <si>
    <t>V-100152</t>
  </si>
  <si>
    <t>V-100183</t>
  </si>
  <si>
    <t>V-100144</t>
  </si>
  <si>
    <t>V-100184</t>
  </si>
  <si>
    <t>V-100187</t>
  </si>
  <si>
    <t>V-100198</t>
  </si>
  <si>
    <t>V-100181</t>
  </si>
  <si>
    <t>V-100225</t>
  </si>
  <si>
    <t>V-100160</t>
  </si>
  <si>
    <t>V-100179</t>
  </si>
  <si>
    <t>V-100190</t>
  </si>
  <si>
    <t>V-100207</t>
  </si>
  <si>
    <t>V-100229</t>
  </si>
  <si>
    <t>V-100155</t>
  </si>
  <si>
    <t>V-100159</t>
  </si>
  <si>
    <t>V-100172</t>
  </si>
  <si>
    <t>V-100191</t>
  </si>
  <si>
    <t>V-100199</t>
  </si>
  <si>
    <t>V-100126</t>
  </si>
  <si>
    <t>V-100204</t>
  </si>
  <si>
    <t>V-100217</t>
  </si>
  <si>
    <t>V-100224</t>
  </si>
  <si>
    <t>V-100206</t>
  </si>
  <si>
    <t>V-100208</t>
  </si>
  <si>
    <t>V-100219</t>
  </si>
  <si>
    <t>V-100149</t>
  </si>
  <si>
    <t>V-100164</t>
  </si>
  <si>
    <t>V-100185</t>
  </si>
  <si>
    <t>V-100236</t>
  </si>
  <si>
    <t>V-100138</t>
  </si>
  <si>
    <t>V-100161</t>
  </si>
  <si>
    <t>V-100163</t>
  </si>
  <si>
    <t>V-100157</t>
  </si>
  <si>
    <t>V-100173</t>
  </si>
  <si>
    <t>V-100210</t>
  </si>
  <si>
    <t>V-100220</t>
  </si>
  <si>
    <t>V-100125</t>
  </si>
  <si>
    <t>V-100145</t>
  </si>
  <si>
    <t>V-100218</t>
  </si>
  <si>
    <t>V-100132</t>
  </si>
  <si>
    <t>V-100133</t>
  </si>
  <si>
    <t>V-100193</t>
  </si>
  <si>
    <t>V-100202</t>
  </si>
  <si>
    <t>V-100211</t>
  </si>
  <si>
    <t>V-100212</t>
  </si>
  <si>
    <t>V-100165</t>
  </si>
  <si>
    <t>V-100216</t>
  </si>
  <si>
    <t>V-100226</t>
  </si>
  <si>
    <t>V-100141</t>
  </si>
  <si>
    <t>V-100192</t>
  </si>
  <si>
    <t>V-100205</t>
  </si>
  <si>
    <t>V-100118</t>
  </si>
  <si>
    <t>V-100136</t>
  </si>
  <si>
    <t>V-100175</t>
  </si>
  <si>
    <t>V-100186</t>
  </si>
  <si>
    <t>V-100188</t>
  </si>
  <si>
    <t>V-100221</t>
  </si>
  <si>
    <t>V-100120</t>
  </si>
  <si>
    <t>V-100140</t>
  </si>
  <si>
    <t>V-100142</t>
  </si>
  <si>
    <t>V-100146</t>
  </si>
  <si>
    <t>V-100169</t>
  </si>
  <si>
    <t>V-100197</t>
  </si>
  <si>
    <t>V-100230</t>
  </si>
  <si>
    <t>V-100189</t>
  </si>
  <si>
    <t>V-100222</t>
  </si>
  <si>
    <t>V-100227</t>
  </si>
  <si>
    <t>V-100237</t>
  </si>
  <si>
    <t>V-100153</t>
  </si>
  <si>
    <t>V-100213</t>
  </si>
  <si>
    <t>V-100124</t>
  </si>
  <si>
    <t>V-100127</t>
  </si>
  <si>
    <t>V-100139</t>
  </si>
  <si>
    <t>V-100258</t>
  </si>
  <si>
    <t>V-100262</t>
  </si>
  <si>
    <t>V-100263</t>
  </si>
  <si>
    <t>V-100267</t>
  </si>
  <si>
    <t>V-100282</t>
  </si>
  <si>
    <t>V-100341</t>
  </si>
  <si>
    <t>V-100249</t>
  </si>
  <si>
    <t>V-100251</t>
  </si>
  <si>
    <t>V-100320</t>
  </si>
  <si>
    <t>V-100330</t>
  </si>
  <si>
    <t>V-100334</t>
  </si>
  <si>
    <t>V-100344</t>
  </si>
  <si>
    <t>V-100295</t>
  </si>
  <si>
    <t>V-100353</t>
  </si>
  <si>
    <t>V-100261</t>
  </si>
  <si>
    <t>V-100286</t>
  </si>
  <si>
    <t>V-100304</t>
  </si>
  <si>
    <t>V-100339</t>
  </si>
  <si>
    <t>V-100241</t>
  </si>
  <si>
    <t>V-100264</t>
  </si>
  <si>
    <t>V-100280</t>
  </si>
  <si>
    <t>V-100253</t>
  </si>
  <si>
    <t>V-100310</t>
  </si>
  <si>
    <t>V-100343</t>
  </si>
  <si>
    <t>V-100245</t>
  </si>
  <si>
    <t>V-100303</t>
  </si>
  <si>
    <t>V-100321</t>
  </si>
  <si>
    <t>V-100327</t>
  </si>
  <si>
    <t>V-100354</t>
  </si>
  <si>
    <t>V-100246</t>
  </si>
  <si>
    <t>V-100256</t>
  </si>
  <si>
    <t>V-100285</t>
  </si>
  <si>
    <t>V-100287</t>
  </si>
  <si>
    <t>V-100311</t>
  </si>
  <si>
    <t>V-100317</t>
  </si>
  <si>
    <t>V-100352</t>
  </si>
  <si>
    <t>V-100288</t>
  </si>
  <si>
    <t>V-100301</t>
  </si>
  <si>
    <t>V-100312</t>
  </si>
  <si>
    <t>V-100337</t>
  </si>
  <si>
    <t>V-100338</t>
  </si>
  <si>
    <t>V-100350</t>
  </si>
  <si>
    <t>V-100255</t>
  </si>
  <si>
    <t>V-100276</t>
  </si>
  <si>
    <t>V-100293</t>
  </si>
  <si>
    <t>V-100297</t>
  </si>
  <si>
    <t>V-100351</t>
  </si>
  <si>
    <t>V-100270</t>
  </si>
  <si>
    <t>V-100277</t>
  </si>
  <si>
    <t>V-100291</t>
  </si>
  <si>
    <t>V-100314</t>
  </si>
  <si>
    <t>V-100252</t>
  </si>
  <si>
    <t>V-100278</t>
  </si>
  <si>
    <t>V-100299</t>
  </si>
  <si>
    <t>V-100248</t>
  </si>
  <si>
    <t>V-100271</t>
  </si>
  <si>
    <t>V-100306</t>
  </si>
  <si>
    <t>V-100307</t>
  </si>
  <si>
    <t>V-100315</t>
  </si>
  <si>
    <t>V-100355</t>
  </si>
  <si>
    <t>V-100259</t>
  </si>
  <si>
    <t>V-100332</t>
  </si>
  <si>
    <t>V-100336</t>
  </si>
  <si>
    <t>V-100347</t>
  </si>
  <si>
    <t>V-100250</t>
  </si>
  <si>
    <t>V-100289</t>
  </si>
  <si>
    <t>V-100326</t>
  </si>
  <si>
    <t>V-100349</t>
  </si>
  <si>
    <t>V-100239</t>
  </si>
  <si>
    <t>V-100242</t>
  </si>
  <si>
    <t>V-100296</t>
  </si>
  <si>
    <t>V-100274</t>
  </si>
  <si>
    <t>V-100279</t>
  </si>
  <si>
    <t>V-100333</t>
  </si>
  <si>
    <t>V-100240</t>
  </si>
  <si>
    <t>V-100243</t>
  </si>
  <si>
    <t>V-100260</t>
  </si>
  <si>
    <t>V-100275</t>
  </si>
  <si>
    <t>V-100316</t>
  </si>
  <si>
    <t>V-100335</t>
  </si>
  <si>
    <t>V-100257</t>
  </si>
  <si>
    <t>V-100265</t>
  </si>
  <si>
    <t>V-100284</t>
  </si>
  <si>
    <t>V-100322</t>
  </si>
  <si>
    <t>V-100324</t>
  </si>
  <si>
    <t>V-100340</t>
  </si>
  <si>
    <t>V-100348</t>
  </si>
  <si>
    <t>V-100247</t>
  </si>
  <si>
    <t>V-100302</t>
  </si>
  <si>
    <t>V-100323</t>
  </si>
  <si>
    <t>V-100345</t>
  </si>
  <si>
    <t>V-100272</t>
  </si>
  <si>
    <t>V-100292</t>
  </si>
  <si>
    <t>V-100308</t>
  </si>
  <si>
    <t>V-100328</t>
  </si>
  <si>
    <t>V-100356</t>
  </si>
  <si>
    <t>V-100268</t>
  </si>
  <si>
    <t>V-100273</t>
  </si>
  <si>
    <t>V-100254</t>
  </si>
  <si>
    <t>V-100281</t>
  </si>
  <si>
    <t>V-100290</t>
  </si>
  <si>
    <t>V-100313</t>
  </si>
  <si>
    <t>V-100318</t>
  </si>
  <si>
    <t>V-100319</t>
  </si>
  <si>
    <t>V-100329</t>
  </si>
  <si>
    <t>V-100238</t>
  </si>
  <si>
    <t>V-100300</t>
  </si>
  <si>
    <t>V-100309</t>
  </si>
  <si>
    <t>V-100331</t>
  </si>
  <si>
    <t>V-100346</t>
  </si>
  <si>
    <t>V-100244</t>
  </si>
  <si>
    <t>V-100269</t>
  </si>
  <si>
    <t>V-100283</t>
  </si>
  <si>
    <t>V-100325</t>
  </si>
  <si>
    <t>V-100342</t>
  </si>
  <si>
    <t>V-100266</t>
  </si>
  <si>
    <t>V-100294</t>
  </si>
  <si>
    <t>V-100298</t>
  </si>
  <si>
    <t>V-100305</t>
  </si>
  <si>
    <t>V-100362</t>
  </si>
  <si>
    <t>V-100379</t>
  </si>
  <si>
    <t>V-100419</t>
  </si>
  <si>
    <t>V-100435</t>
  </si>
  <si>
    <t>V-100444</t>
  </si>
  <si>
    <t>V-100357</t>
  </si>
  <si>
    <t>V-100446</t>
  </si>
  <si>
    <t>V-100381</t>
  </si>
  <si>
    <t>V-100434</t>
  </si>
  <si>
    <t>V-100452</t>
  </si>
  <si>
    <t>V-100463</t>
  </si>
  <si>
    <t>V-100367</t>
  </si>
  <si>
    <t>V-100374</t>
  </si>
  <si>
    <t>V-100378</t>
  </si>
  <si>
    <t>V-100453</t>
  </si>
  <si>
    <t>V-100421</t>
  </si>
  <si>
    <t>V-100438</t>
  </si>
  <si>
    <t>V-100441</t>
  </si>
  <si>
    <t>V-100358</t>
  </si>
  <si>
    <t>V-100384</t>
  </si>
  <si>
    <t>V-100393</t>
  </si>
  <si>
    <t>V-100432</t>
  </si>
  <si>
    <t>V-100450</t>
  </si>
  <si>
    <t>V-100372</t>
  </si>
  <si>
    <t>V-100387</t>
  </si>
  <si>
    <t>V-100389</t>
  </si>
  <si>
    <t>V-100401</t>
  </si>
  <si>
    <t>V-100411</t>
  </si>
  <si>
    <t>V-100436</t>
  </si>
  <si>
    <t>V-100380</t>
  </si>
  <si>
    <t>V-100412</t>
  </si>
  <si>
    <t>V-100414</t>
  </si>
  <si>
    <t>V-100429</t>
  </si>
  <si>
    <t>V-100464</t>
  </si>
  <si>
    <t>V-100376</t>
  </si>
  <si>
    <t>V-100402</t>
  </si>
  <si>
    <t>V-100398</t>
  </si>
  <si>
    <t>V-100437</t>
  </si>
  <si>
    <t>V-100465</t>
  </si>
  <si>
    <t>V-100371</t>
  </si>
  <si>
    <t>V-100394</t>
  </si>
  <si>
    <t>V-100417</t>
  </si>
  <si>
    <t>V-100431</t>
  </si>
  <si>
    <t>V-100459</t>
  </si>
  <si>
    <t>V-100469</t>
  </si>
  <si>
    <t>V-100359</t>
  </si>
  <si>
    <t>V-100400</t>
  </si>
  <si>
    <t>V-100468</t>
  </si>
  <si>
    <t>V-100366</t>
  </si>
  <si>
    <t>V-100368</t>
  </si>
  <si>
    <t>V-100377</t>
  </si>
  <si>
    <t>V-100395</t>
  </si>
  <si>
    <t>V-100427</t>
  </si>
  <si>
    <t>V-100445</t>
  </si>
  <si>
    <t>V-100403</t>
  </si>
  <si>
    <t>V-100423</t>
  </si>
  <si>
    <t>V-100470</t>
  </si>
  <si>
    <t>V-100364</t>
  </si>
  <si>
    <t>V-100385</t>
  </si>
  <si>
    <t>V-100458</t>
  </si>
  <si>
    <t>V-100388</t>
  </si>
  <si>
    <t>V-100397</t>
  </si>
  <si>
    <t>V-100426</t>
  </si>
  <si>
    <t>V-100440</t>
  </si>
  <si>
    <t>V-100456</t>
  </si>
  <si>
    <t>V-100365</t>
  </si>
  <si>
    <t>V-100406</t>
  </si>
  <si>
    <t>V-100415</t>
  </si>
  <si>
    <t>V-100425</t>
  </si>
  <si>
    <t>V-100430</t>
  </si>
  <si>
    <t>V-100466</t>
  </si>
  <si>
    <t>V-100373</t>
  </si>
  <si>
    <t>V-100396</t>
  </si>
  <si>
    <t>V-100413</t>
  </si>
  <si>
    <t>V-100390</t>
  </si>
  <si>
    <t>V-100433</t>
  </si>
  <si>
    <t>V-100457</t>
  </si>
  <si>
    <t>V-100375</t>
  </si>
  <si>
    <t>V-100391</t>
  </si>
  <si>
    <t>V-100409</t>
  </si>
  <si>
    <t>V-100443</t>
  </si>
  <si>
    <t>V-100447</t>
  </si>
  <si>
    <t>V-100460</t>
  </si>
  <si>
    <t>V-100361</t>
  </si>
  <si>
    <t>V-100363</t>
  </si>
  <si>
    <t>V-100428</t>
  </si>
  <si>
    <t>V-100449</t>
  </si>
  <si>
    <t>V-100461</t>
  </si>
  <si>
    <t>V-100462</t>
  </si>
  <si>
    <t>V-100370</t>
  </si>
  <si>
    <t>V-100404</t>
  </si>
  <si>
    <t>V-100386</t>
  </si>
  <si>
    <t>V-100418</t>
  </si>
  <si>
    <t>V-100442</t>
  </si>
  <si>
    <t>V-100455</t>
  </si>
  <si>
    <t>V-100369</t>
  </si>
  <si>
    <t>V-100410</t>
  </si>
  <si>
    <t>V-100439</t>
  </si>
  <si>
    <t>V-100382</t>
  </si>
  <si>
    <t>V-100416</t>
  </si>
  <si>
    <t>V-100408</t>
  </si>
  <si>
    <t>V-100422</t>
  </si>
  <si>
    <t>V-100424</t>
  </si>
  <si>
    <t>V-100448</t>
  </si>
  <si>
    <t>V-100360</t>
  </si>
  <si>
    <t>V-100383</t>
  </si>
  <si>
    <t>V-100392</t>
  </si>
  <si>
    <t>V-100399</t>
  </si>
  <si>
    <t>V-100405</t>
  </si>
  <si>
    <t>V-100407</t>
  </si>
  <si>
    <t>V-100420</t>
  </si>
  <si>
    <t>V-100451</t>
  </si>
  <si>
    <t>V-100454</t>
  </si>
  <si>
    <t>V-100467</t>
  </si>
  <si>
    <t>V-100512</t>
  </si>
  <si>
    <t>V-100472</t>
  </si>
  <si>
    <t>V-100516</t>
  </si>
  <si>
    <t>V-100560</t>
  </si>
  <si>
    <t>V-100567</t>
  </si>
  <si>
    <t>V-100574</t>
  </si>
  <si>
    <t>V-100474</t>
  </si>
  <si>
    <t>V-100480</t>
  </si>
  <si>
    <t>V-100488</t>
  </si>
  <si>
    <t>V-100493</t>
  </si>
  <si>
    <t>V-100508</t>
  </si>
  <si>
    <t>V-100527</t>
  </si>
  <si>
    <t>V-100532</t>
  </si>
  <si>
    <t>V-100529</t>
  </si>
  <si>
    <t>V-100554</t>
  </si>
  <si>
    <t>V-100571</t>
  </si>
  <si>
    <t>V-100485</t>
  </si>
  <si>
    <t>V-100514</t>
  </si>
  <si>
    <t>V-100531</t>
  </si>
  <si>
    <t>V-100536</t>
  </si>
  <si>
    <t>V-100548</t>
  </si>
  <si>
    <t>V-100561</t>
  </si>
  <si>
    <t>V-100526</t>
  </si>
  <si>
    <t>V-100540</t>
  </si>
  <si>
    <t>V-100581</t>
  </si>
  <si>
    <t>V-100505</t>
  </si>
  <si>
    <t>V-100518</t>
  </si>
  <si>
    <t>V-100522</t>
  </si>
  <si>
    <t>V-100555</t>
  </si>
  <si>
    <t>V-100569</t>
  </si>
  <si>
    <t>V-100482</t>
  </si>
  <si>
    <t>V-100503</t>
  </si>
  <si>
    <t>V-100525</t>
  </si>
  <si>
    <t>V-100552</t>
  </si>
  <si>
    <t>V-100556</t>
  </si>
  <si>
    <t>V-100477</t>
  </si>
  <si>
    <t>V-100562</t>
  </si>
  <si>
    <t>V-100566</t>
  </si>
  <si>
    <t>V-100511</t>
  </si>
  <si>
    <t>V-100549</t>
  </si>
  <si>
    <t>V-100553</t>
  </si>
  <si>
    <t>V-100568</t>
  </si>
  <si>
    <t>V-100572</t>
  </si>
  <si>
    <t>V-100478</t>
  </si>
  <si>
    <t>V-100483</t>
  </si>
  <si>
    <t>V-100506</t>
  </si>
  <si>
    <t>V-100570</t>
  </si>
  <si>
    <t>V-100578</t>
  </si>
  <si>
    <t>V-100473</t>
  </si>
  <si>
    <t>V-100496</t>
  </si>
  <si>
    <t>V-100501</t>
  </si>
  <si>
    <t>V-100537</t>
  </si>
  <si>
    <t>V-100538</t>
  </si>
  <si>
    <t>V-100547</t>
  </si>
  <si>
    <t>V-100519</t>
  </si>
  <si>
    <t>V-100544</t>
  </si>
  <si>
    <t>V-100563</t>
  </si>
  <si>
    <t>V-100484</t>
  </si>
  <si>
    <t>V-100492</t>
  </si>
  <si>
    <t>V-100498</t>
  </si>
  <si>
    <t>V-100550</t>
  </si>
  <si>
    <t>V-100565</t>
  </si>
  <si>
    <t>V-100576</t>
  </si>
  <si>
    <t>V-100486</t>
  </si>
  <si>
    <t>V-100541</t>
  </si>
  <si>
    <t>V-100577</t>
  </si>
  <si>
    <t>V-100487</t>
  </si>
  <si>
    <t>V-100491</t>
  </si>
  <si>
    <t>V-100494</t>
  </si>
  <si>
    <t>V-100502</t>
  </si>
  <si>
    <t>V-100513</t>
  </si>
  <si>
    <t>V-100521</t>
  </si>
  <si>
    <t>V-100471</t>
  </si>
  <si>
    <t>V-100497</t>
  </si>
  <si>
    <t>V-100504</t>
  </si>
  <si>
    <t>V-100542</t>
  </si>
  <si>
    <t>V-100557</t>
  </si>
  <si>
    <t>V-100517</t>
  </si>
  <si>
    <t>V-100535</t>
  </si>
  <si>
    <t>V-100545</t>
  </si>
  <si>
    <t>V-100559</t>
  </si>
  <si>
    <t>V-100546</t>
  </si>
  <si>
    <t>V-100564</t>
  </si>
  <si>
    <t>V-100573</t>
  </si>
  <si>
    <t>V-100475</t>
  </si>
  <si>
    <t>V-100530</t>
  </si>
  <si>
    <t>V-100533</t>
  </si>
  <si>
    <t>V-100500</t>
  </si>
  <si>
    <t>V-100543</t>
  </si>
  <si>
    <t>V-100551</t>
  </si>
  <si>
    <t>V-100575</t>
  </si>
  <si>
    <t>V-100476</t>
  </si>
  <si>
    <t>V-100499</t>
  </si>
  <si>
    <t>V-100507</t>
  </si>
  <si>
    <t>V-100479</t>
  </si>
  <si>
    <t>V-100489</t>
  </si>
  <si>
    <t>V-100524</t>
  </si>
  <si>
    <t>V-100528</t>
  </si>
  <si>
    <t>V-100558</t>
  </si>
  <si>
    <t>V-100495</t>
  </si>
  <si>
    <t>V-100515</t>
  </si>
  <si>
    <t>V-100534</t>
  </si>
  <si>
    <t>V-100580</t>
  </si>
  <si>
    <t>V-100481</t>
  </si>
  <si>
    <t>V-100520</t>
  </si>
  <si>
    <t>V-100539</t>
  </si>
  <si>
    <t>V-100509</t>
  </si>
  <si>
    <t>V-100490</t>
  </si>
  <si>
    <t>V-100510</t>
  </si>
  <si>
    <t>V-100523</t>
  </si>
  <si>
    <t>V-100579</t>
  </si>
  <si>
    <t>V-100593</t>
  </si>
  <si>
    <t>V-100595</t>
  </si>
  <si>
    <t>V-100626</t>
  </si>
  <si>
    <t>V-100596</t>
  </si>
  <si>
    <t>V-100601</t>
  </si>
  <si>
    <t>V-100612</t>
  </si>
  <si>
    <t>V-100662</t>
  </si>
  <si>
    <t>V-100670</t>
  </si>
  <si>
    <t>V-100592</t>
  </si>
  <si>
    <t>V-100607</t>
  </si>
  <si>
    <t>V-100658</t>
  </si>
  <si>
    <t>V-100674</t>
  </si>
  <si>
    <t>V-100686</t>
  </si>
  <si>
    <t>V-100630</t>
  </si>
  <si>
    <t>V-100646</t>
  </si>
  <si>
    <t>V-100656</t>
  </si>
  <si>
    <t>V-100634</t>
  </si>
  <si>
    <t>V-100665</t>
  </si>
  <si>
    <t>V-100692</t>
  </si>
  <si>
    <t>V-100598</t>
  </si>
  <si>
    <t>V-100655</t>
  </si>
  <si>
    <t>V-100664</t>
  </si>
  <si>
    <t>V-100609</t>
  </si>
  <si>
    <t>V-100633</t>
  </si>
  <si>
    <t>V-100640</t>
  </si>
  <si>
    <t>V-100661</t>
  </si>
  <si>
    <t>V-100680</t>
  </si>
  <si>
    <t>V-100629</t>
  </si>
  <si>
    <t>V-100678</t>
  </si>
  <si>
    <t>V-100651</t>
  </si>
  <si>
    <t>V-100660</t>
  </si>
  <si>
    <t>V-100681</t>
  </si>
  <si>
    <t>V-100597</t>
  </si>
  <si>
    <t>V-100617</t>
  </si>
  <si>
    <t>V-100650</t>
  </si>
  <si>
    <t>V-100659</t>
  </si>
  <si>
    <t>V-100698</t>
  </si>
  <si>
    <t>V-100632</t>
  </si>
  <si>
    <t>V-100635</t>
  </si>
  <si>
    <t>V-100667</t>
  </si>
  <si>
    <t>V-100693</t>
  </si>
  <si>
    <t>V-100696</t>
  </si>
  <si>
    <t>V-100621</t>
  </si>
  <si>
    <t>V-100623</t>
  </si>
  <si>
    <t>V-100638</t>
  </si>
  <si>
    <t>V-100675</t>
  </si>
  <si>
    <t>V-100682</t>
  </si>
  <si>
    <t>V-100586</t>
  </si>
  <si>
    <t>V-100643</t>
  </si>
  <si>
    <t>V-100654</t>
  </si>
  <si>
    <t>V-100676</t>
  </si>
  <si>
    <t>V-100688</t>
  </si>
  <si>
    <t>V-100582</t>
  </si>
  <si>
    <t>V-100615</t>
  </si>
  <si>
    <t>V-100631</t>
  </si>
  <si>
    <t>V-100672</t>
  </si>
  <si>
    <t>V-100628</t>
  </si>
  <si>
    <t>V-100679</t>
  </si>
  <si>
    <t>V-100589</t>
  </si>
  <si>
    <t>V-100645</t>
  </si>
  <si>
    <t>V-100666</t>
  </si>
  <si>
    <t>V-100606</t>
  </si>
  <si>
    <t>V-100610</t>
  </si>
  <si>
    <t>V-100616</t>
  </si>
  <si>
    <t>V-100619</t>
  </si>
  <si>
    <t>V-100657</t>
  </si>
  <si>
    <t>V-100663</t>
  </si>
  <si>
    <t>V-100604</t>
  </si>
  <si>
    <t>V-100699</t>
  </si>
  <si>
    <t>V-100636</t>
  </si>
  <si>
    <t>V-100641</t>
  </si>
  <si>
    <t>V-100649</t>
  </si>
  <si>
    <t>V-100653</t>
  </si>
  <si>
    <t>V-100683</t>
  </si>
  <si>
    <t>V-100691</t>
  </si>
  <si>
    <t>V-100700</t>
  </si>
  <si>
    <t>V-100583</t>
  </si>
  <si>
    <t>V-100622</t>
  </si>
  <si>
    <t>V-100648</t>
  </si>
  <si>
    <t>V-100677</t>
  </si>
  <si>
    <t>V-100591</t>
  </si>
  <si>
    <t>V-100599</t>
  </si>
  <si>
    <t>V-100611</t>
  </si>
  <si>
    <t>V-100685</t>
  </si>
  <si>
    <t>V-100584</t>
  </si>
  <si>
    <t>V-100587</t>
  </si>
  <si>
    <t>V-100588</t>
  </si>
  <si>
    <t>V-100600</t>
  </si>
  <si>
    <t>V-100644</t>
  </si>
  <si>
    <t>V-100668</t>
  </si>
  <si>
    <t>V-100671</t>
  </si>
  <si>
    <t>V-100684</t>
  </si>
  <si>
    <t>V-100694</t>
  </si>
  <si>
    <t>V-100701</t>
  </si>
  <si>
    <t>V-100590</t>
  </si>
  <si>
    <t>V-100613</t>
  </si>
  <si>
    <t>V-100652</t>
  </si>
  <si>
    <t>V-100673</t>
  </si>
  <si>
    <t>V-100687</t>
  </si>
  <si>
    <t>V-100625</t>
  </si>
  <si>
    <t>V-100639</t>
  </si>
  <si>
    <t>V-100669</t>
  </si>
  <si>
    <t>V-100594</t>
  </si>
  <si>
    <t>V-100614</t>
  </si>
  <si>
    <t>V-100620</t>
  </si>
  <si>
    <t>V-100642</t>
  </si>
  <si>
    <t>V-100647</t>
  </si>
  <si>
    <t>V-100608</t>
  </si>
  <si>
    <t>V-100602</t>
  </si>
  <si>
    <t>V-100603</t>
  </si>
  <si>
    <t>V-100605</t>
  </si>
  <si>
    <t>V-100618</t>
  </si>
  <si>
    <t>V-100624</t>
  </si>
  <si>
    <t>V-100637</t>
  </si>
  <si>
    <t>V-100697</t>
  </si>
  <si>
    <t>V-100585</t>
  </si>
  <si>
    <t>V-100627</t>
  </si>
  <si>
    <t>V-100689</t>
  </si>
  <si>
    <t>V-100690</t>
  </si>
  <si>
    <t>V-100695</t>
  </si>
  <si>
    <t>V-100784</t>
  </si>
  <si>
    <t>V-100789</t>
  </si>
  <si>
    <t>V-100729</t>
  </si>
  <si>
    <t>V-100745</t>
  </si>
  <si>
    <t>V-100787</t>
  </si>
  <si>
    <t>V-100812</t>
  </si>
  <si>
    <t>V-100710</t>
  </si>
  <si>
    <t>V-100786</t>
  </si>
  <si>
    <t>V-100808</t>
  </si>
  <si>
    <t>V-100811</t>
  </si>
  <si>
    <t>V-100708</t>
  </si>
  <si>
    <t>V-100731</t>
  </si>
  <si>
    <t>V-100768</t>
  </si>
  <si>
    <t>V-100799</t>
  </si>
  <si>
    <t>V-100800</t>
  </si>
  <si>
    <t>V-100807</t>
  </si>
  <si>
    <t>V-100815</t>
  </si>
  <si>
    <t>V-100706</t>
  </si>
  <si>
    <t>V-100715</t>
  </si>
  <si>
    <t>V-100748</t>
  </si>
  <si>
    <t>V-100775</t>
  </si>
  <si>
    <t>V-100703</t>
  </si>
  <si>
    <t>V-100735</t>
  </si>
  <si>
    <t>V-100781</t>
  </si>
  <si>
    <t>V-100798</t>
  </si>
  <si>
    <t>V-100709</t>
  </si>
  <si>
    <t>V-100719</t>
  </si>
  <si>
    <t>V-100740</t>
  </si>
  <si>
    <t>V-100751</t>
  </si>
  <si>
    <t>V-100765</t>
  </si>
  <si>
    <t>V-100803</t>
  </si>
  <si>
    <t>V-100717</t>
  </si>
  <si>
    <t>V-100752</t>
  </si>
  <si>
    <t>V-100776</t>
  </si>
  <si>
    <t>V-100788</t>
  </si>
  <si>
    <t>V-100792</t>
  </si>
  <si>
    <t>V-100802</t>
  </si>
  <si>
    <t>V-100727</t>
  </si>
  <si>
    <t>V-100758</t>
  </si>
  <si>
    <t>V-100762</t>
  </si>
  <si>
    <t>V-100724</t>
  </si>
  <si>
    <t>V-100728</t>
  </si>
  <si>
    <t>V-100777</t>
  </si>
  <si>
    <t>V-100702</t>
  </si>
  <si>
    <t>V-100720</t>
  </si>
  <si>
    <t>V-100741</t>
  </si>
  <si>
    <t>V-100743</t>
  </si>
  <si>
    <t>V-100738</t>
  </si>
  <si>
    <t>V-100742</t>
  </si>
  <si>
    <t>V-100753</t>
  </si>
  <si>
    <t>V-100757</t>
  </si>
  <si>
    <t>V-100761</t>
  </si>
  <si>
    <t>V-100770</t>
  </si>
  <si>
    <t>V-100773</t>
  </si>
  <si>
    <t>V-100782</t>
  </si>
  <si>
    <t>V-100793</t>
  </si>
  <si>
    <t>V-100795</t>
  </si>
  <si>
    <t>V-100806</t>
  </si>
  <si>
    <t>V-100726</t>
  </si>
  <si>
    <t>V-100732</t>
  </si>
  <si>
    <t>V-100774</t>
  </si>
  <si>
    <t>V-100707</t>
  </si>
  <si>
    <t>V-100712</t>
  </si>
  <si>
    <t>V-100721</t>
  </si>
  <si>
    <t>V-100759</t>
  </si>
  <si>
    <t>V-100778</t>
  </si>
  <si>
    <t>V-100704</t>
  </si>
  <si>
    <t>V-100714</t>
  </si>
  <si>
    <t>V-100722</t>
  </si>
  <si>
    <t>V-100747</t>
  </si>
  <si>
    <t>V-100755</t>
  </si>
  <si>
    <t>V-100779</t>
  </si>
  <si>
    <t>V-100785</t>
  </si>
  <si>
    <t>V-100813</t>
  </si>
  <si>
    <t>V-100730</t>
  </si>
  <si>
    <t>V-100760</t>
  </si>
  <si>
    <t>V-100810</t>
  </si>
  <si>
    <t>V-100723</t>
  </si>
  <si>
    <t>V-100737</t>
  </si>
  <si>
    <t>V-100766</t>
  </si>
  <si>
    <t>V-100767</t>
  </si>
  <si>
    <t>V-100794</t>
  </si>
  <si>
    <t>V-100797</t>
  </si>
  <si>
    <t>V-100705</t>
  </si>
  <si>
    <t>V-100716</t>
  </si>
  <si>
    <t>V-100744</t>
  </si>
  <si>
    <t>V-100801</t>
  </si>
  <si>
    <t>V-100805</t>
  </si>
  <si>
    <t>V-100713</t>
  </si>
  <si>
    <t>V-100718</t>
  </si>
  <si>
    <t>V-100734</t>
  </si>
  <si>
    <t>V-100750</t>
  </si>
  <si>
    <t>V-100754</t>
  </si>
  <si>
    <t>V-100739</t>
  </si>
  <si>
    <t>V-100749</t>
  </si>
  <si>
    <t>V-100769</t>
  </si>
  <si>
    <t>V-100783</t>
  </si>
  <si>
    <t>V-100814</t>
  </si>
  <si>
    <t>V-100736</t>
  </si>
  <si>
    <t>V-100772</t>
  </si>
  <si>
    <t>V-100790</t>
  </si>
  <si>
    <t>V-100796</t>
  </si>
  <si>
    <t>V-100725</t>
  </si>
  <si>
    <t>V-100756</t>
  </si>
  <si>
    <t>V-100764</t>
  </si>
  <si>
    <t>V-100791</t>
  </si>
  <si>
    <t>V-100804</t>
  </si>
  <si>
    <t>V-100809</t>
  </si>
  <si>
    <t>V-100711</t>
  </si>
  <si>
    <t>V-100733</t>
  </si>
  <si>
    <t>V-100746</t>
  </si>
  <si>
    <t>V-100763</t>
  </si>
  <si>
    <t>V-100771</t>
  </si>
  <si>
    <t>V-100780</t>
  </si>
  <si>
    <t>V-100816</t>
  </si>
  <si>
    <t>V-100847</t>
  </si>
  <si>
    <t>V-100881</t>
  </si>
  <si>
    <t>V-100887</t>
  </si>
  <si>
    <t>V-100905</t>
  </si>
  <si>
    <t>V-100915</t>
  </si>
  <si>
    <t>V-100926</t>
  </si>
  <si>
    <t>V-100840</t>
  </si>
  <si>
    <t>V-100841</t>
  </si>
  <si>
    <t>V-100859</t>
  </si>
  <si>
    <t>V-100885</t>
  </si>
  <si>
    <t>V-100917</t>
  </si>
  <si>
    <t>V-100918</t>
  </si>
  <si>
    <t>V-100924</t>
  </si>
  <si>
    <t>V-100929</t>
  </si>
  <si>
    <t>V-100828</t>
  </si>
  <si>
    <t>V-100842</t>
  </si>
  <si>
    <t>V-100846</t>
  </si>
  <si>
    <t>V-100865</t>
  </si>
  <si>
    <t>V-100897</t>
  </si>
  <si>
    <t>V-100850</t>
  </si>
  <si>
    <t>V-100844</t>
  </si>
  <si>
    <t>V-100880</t>
  </si>
  <si>
    <t>V-100898</t>
  </si>
  <si>
    <t>V-100914</t>
  </si>
  <si>
    <t>V-100883</t>
  </si>
  <si>
    <t>V-100895</t>
  </si>
  <si>
    <t>V-100826</t>
  </si>
  <si>
    <t>V-100839</t>
  </si>
  <si>
    <t>V-100858</t>
  </si>
  <si>
    <t>V-100884</t>
  </si>
  <si>
    <t>V-100891</t>
  </si>
  <si>
    <t>V-100894</t>
  </si>
  <si>
    <t>V-100925</t>
  </si>
  <si>
    <t>V-100819</t>
  </si>
  <si>
    <t>V-100830</t>
  </si>
  <si>
    <t>V-100870</t>
  </si>
  <si>
    <t>V-100911</t>
  </si>
  <si>
    <t>V-100920</t>
  </si>
  <si>
    <t>V-100928</t>
  </si>
  <si>
    <t>V-100857</t>
  </si>
  <si>
    <t>V-100862</t>
  </si>
  <si>
    <t>V-100867</t>
  </si>
  <si>
    <t>V-100902</t>
  </si>
  <si>
    <t>V-100904</t>
  </si>
  <si>
    <t>V-100932</t>
  </si>
  <si>
    <t>V-100832</t>
  </si>
  <si>
    <t>V-100843</t>
  </si>
  <si>
    <t>V-100874</t>
  </si>
  <si>
    <t>V-100889</t>
  </si>
  <si>
    <t>V-100892</t>
  </si>
  <si>
    <t>V-100901</t>
  </si>
  <si>
    <t>V-100907</t>
  </si>
  <si>
    <t>V-100822</t>
  </si>
  <si>
    <t>V-100848</t>
  </si>
  <si>
    <t>V-100851</t>
  </si>
  <si>
    <t>V-100863</t>
  </si>
  <si>
    <t>V-100888</t>
  </si>
  <si>
    <t>V-100890</t>
  </si>
  <si>
    <t>V-100922</t>
  </si>
  <si>
    <t>V-100933</t>
  </si>
  <si>
    <t>V-100854</t>
  </si>
  <si>
    <t>V-100896</t>
  </si>
  <si>
    <t>V-100913</t>
  </si>
  <si>
    <t>V-100916</t>
  </si>
  <si>
    <t>V-100919</t>
  </si>
  <si>
    <t>V-100821</t>
  </si>
  <si>
    <t>V-100824</t>
  </si>
  <si>
    <t>V-100827</t>
  </si>
  <si>
    <t>V-100861</t>
  </si>
  <si>
    <t>V-100900</t>
  </si>
  <si>
    <t>V-100908</t>
  </si>
  <si>
    <t>V-100910</t>
  </si>
  <si>
    <t>V-100825</t>
  </si>
  <si>
    <t>V-100869</t>
  </si>
  <si>
    <t>V-100878</t>
  </si>
  <si>
    <t>V-100882</t>
  </si>
  <si>
    <t>V-100903</t>
  </si>
  <si>
    <t>V-100906</t>
  </si>
  <si>
    <t>V-100838</t>
  </si>
  <si>
    <t>V-100886</t>
  </si>
  <si>
    <t>V-100912</t>
  </si>
  <si>
    <t>V-100930</t>
  </si>
  <si>
    <t>V-100852</t>
  </si>
  <si>
    <t>V-100855</t>
  </si>
  <si>
    <t>V-100864</t>
  </si>
  <si>
    <t>V-100860</t>
  </si>
  <si>
    <t>V-100871</t>
  </si>
  <si>
    <t>V-100873</t>
  </si>
  <si>
    <t>V-100927</t>
  </si>
  <si>
    <t>V-100835</t>
  </si>
  <si>
    <t>V-100875</t>
  </si>
  <si>
    <t>V-100921</t>
  </si>
  <si>
    <t>V-100931</t>
  </si>
  <si>
    <t>V-100818</t>
  </si>
  <si>
    <t>Notebook Pro 14"</t>
  </si>
  <si>
    <t>Informática</t>
  </si>
  <si>
    <t>V-100836</t>
  </si>
  <si>
    <t>V-100845</t>
  </si>
  <si>
    <t>V-100853</t>
  </si>
  <si>
    <t>V-100829</t>
  </si>
  <si>
    <t>V-100817</t>
  </si>
  <si>
    <t>V-100820</t>
  </si>
  <si>
    <t>V-100834</t>
  </si>
  <si>
    <t>V-100837</t>
  </si>
  <si>
    <t>V-100893</t>
  </si>
  <si>
    <t>V-100909</t>
  </si>
  <si>
    <t>V-100833</t>
  </si>
  <si>
    <t>V-100856</t>
  </si>
  <si>
    <t>V-100868</t>
  </si>
  <si>
    <t>V-100923</t>
  </si>
  <si>
    <t>V-100866</t>
  </si>
  <si>
    <t>V-100876</t>
  </si>
  <si>
    <t>V-100879</t>
  </si>
  <si>
    <t>V-100823</t>
  </si>
  <si>
    <t>V-100831</t>
  </si>
  <si>
    <t>V-100849</t>
  </si>
  <si>
    <t>V-100872</t>
  </si>
  <si>
    <t>V-100877</t>
  </si>
  <si>
    <t>V-100899</t>
  </si>
  <si>
    <t>V-100977</t>
  </si>
  <si>
    <t>V-101007</t>
  </si>
  <si>
    <t>V-101038</t>
  </si>
  <si>
    <t>V-101001</t>
  </si>
  <si>
    <t>V-101016</t>
  </si>
  <si>
    <t>V-101014</t>
  </si>
  <si>
    <t>V-101022</t>
  </si>
  <si>
    <t>V-100936</t>
  </si>
  <si>
    <t>V-100968</t>
  </si>
  <si>
    <t>V-100988</t>
  </si>
  <si>
    <t>V-100991</t>
  </si>
  <si>
    <t>V-100938</t>
  </si>
  <si>
    <t>V-100974</t>
  </si>
  <si>
    <t>V-101035</t>
  </si>
  <si>
    <t>V-100943</t>
  </si>
  <si>
    <t>V-100945</t>
  </si>
  <si>
    <t>V-100997</t>
  </si>
  <si>
    <t>V-101032</t>
  </si>
  <si>
    <t>V-101037</t>
  </si>
  <si>
    <t>V-100942</t>
  </si>
  <si>
    <t>V-101009</t>
  </si>
  <si>
    <t>V-101044</t>
  </si>
  <si>
    <t>V-100972</t>
  </si>
  <si>
    <t>V-100993</t>
  </si>
  <si>
    <t>V-101031</t>
  </si>
  <si>
    <t>V-100944</t>
  </si>
  <si>
    <t>V-100984</t>
  </si>
  <si>
    <t>V-101033</t>
  </si>
  <si>
    <t>V-100969</t>
  </si>
  <si>
    <t>V-100994</t>
  </si>
  <si>
    <t>V-101012</t>
  </si>
  <si>
    <t>V-100954</t>
  </si>
  <si>
    <t>V-100983</t>
  </si>
  <si>
    <t>V-100951</t>
  </si>
  <si>
    <t>V-101003</t>
  </si>
  <si>
    <t>V-100958</t>
  </si>
  <si>
    <t>V-100963</t>
  </si>
  <si>
    <t>V-100964</t>
  </si>
  <si>
    <t>V-100980</t>
  </si>
  <si>
    <t>V-100978</t>
  </si>
  <si>
    <t>V-101024</t>
  </si>
  <si>
    <t>V-101046</t>
  </si>
  <si>
    <t>V-100937</t>
  </si>
  <si>
    <t>V-100941</t>
  </si>
  <si>
    <t>V-100967</t>
  </si>
  <si>
    <t>V-100973</t>
  </si>
  <si>
    <t>V-100950</t>
  </si>
  <si>
    <t>V-100955</t>
  </si>
  <si>
    <t>V-100956</t>
  </si>
  <si>
    <t>V-100986</t>
  </si>
  <si>
    <t>V-100992</t>
  </si>
  <si>
    <t>V-100996</t>
  </si>
  <si>
    <t>V-101002</t>
  </si>
  <si>
    <t>V-100952</t>
  </si>
  <si>
    <t>V-100976</t>
  </si>
  <si>
    <t>V-101036</t>
  </si>
  <si>
    <t>V-100948</t>
  </si>
  <si>
    <t>V-100957</t>
  </si>
  <si>
    <t>V-100965</t>
  </si>
  <si>
    <t>V-100966</t>
  </si>
  <si>
    <t>V-100975</t>
  </si>
  <si>
    <t>V-100979</t>
  </si>
  <si>
    <t>V-100989</t>
  </si>
  <si>
    <t>V-101030</t>
  </si>
  <si>
    <t>V-101034</t>
  </si>
  <si>
    <t>V-101041</t>
  </si>
  <si>
    <t>V-101043</t>
  </si>
  <si>
    <t>V-100961</t>
  </si>
  <si>
    <t>V-101000</t>
  </si>
  <si>
    <t>V-101026</t>
  </si>
  <si>
    <t>V-101028</t>
  </si>
  <si>
    <t>V-100953</t>
  </si>
  <si>
    <t>V-100970</t>
  </si>
  <si>
    <t>V-100971</t>
  </si>
  <si>
    <t>V-100982</t>
  </si>
  <si>
    <t>V-101021</t>
  </si>
  <si>
    <t>V-100949</t>
  </si>
  <si>
    <t>V-100990</t>
  </si>
  <si>
    <t>V-100995</t>
  </si>
  <si>
    <t>V-100999</t>
  </si>
  <si>
    <t>V-101018</t>
  </si>
  <si>
    <t>V-101010</t>
  </si>
  <si>
    <t>V-101020</t>
  </si>
  <si>
    <t>V-101027</t>
  </si>
  <si>
    <t>V-100998</t>
  </si>
  <si>
    <t>V-101006</t>
  </si>
  <si>
    <t>V-101015</t>
  </si>
  <si>
    <t>V-101039</t>
  </si>
  <si>
    <t>V-100934</t>
  </si>
  <si>
    <t>V-100947</t>
  </si>
  <si>
    <t>V-100959</t>
  </si>
  <si>
    <t>V-101008</t>
  </si>
  <si>
    <t>V-101029</t>
  </si>
  <si>
    <t>V-101040</t>
  </si>
  <si>
    <t>V-100962</t>
  </si>
  <si>
    <t>V-100985</t>
  </si>
  <si>
    <t>V-100987</t>
  </si>
  <si>
    <t>V-101017</t>
  </si>
  <si>
    <t>V-101025</t>
  </si>
  <si>
    <t>V-101045</t>
  </si>
  <si>
    <t>V-100939</t>
  </si>
  <si>
    <t>V-100946</t>
  </si>
  <si>
    <t>V-101004</t>
  </si>
  <si>
    <t>V-101023</t>
  </si>
  <si>
    <t>V-100935</t>
  </si>
  <si>
    <t>V-100960</t>
  </si>
  <si>
    <t>V-100981</t>
  </si>
  <si>
    <t>V-101005</t>
  </si>
  <si>
    <t>V-101011</t>
  </si>
  <si>
    <t>V-101019</t>
  </si>
  <si>
    <t>V-101042</t>
  </si>
  <si>
    <t>V-100940</t>
  </si>
  <si>
    <t>V-101013</t>
  </si>
  <si>
    <t>V-101050</t>
  </si>
  <si>
    <t>V-101054</t>
  </si>
  <si>
    <t>V-101090</t>
  </si>
  <si>
    <t>V-101121</t>
  </si>
  <si>
    <t>V-101131</t>
  </si>
  <si>
    <t>V-101152</t>
  </si>
  <si>
    <t>V-101153</t>
  </si>
  <si>
    <t>V-101089</t>
  </si>
  <si>
    <t>V-101092</t>
  </si>
  <si>
    <t>V-101100</t>
  </si>
  <si>
    <t>V-101125</t>
  </si>
  <si>
    <t>V-101145</t>
  </si>
  <si>
    <t>V-101099</t>
  </si>
  <si>
    <t>V-101138</t>
  </si>
  <si>
    <t>V-101154</t>
  </si>
  <si>
    <t>V-101071</t>
  </si>
  <si>
    <t>V-101074</t>
  </si>
  <si>
    <t>V-101078</t>
  </si>
  <si>
    <t>V-101137</t>
  </si>
  <si>
    <t>V-101155</t>
  </si>
  <si>
    <t>V-101051</t>
  </si>
  <si>
    <t>V-101056</t>
  </si>
  <si>
    <t>V-101063</t>
  </si>
  <si>
    <t>V-101117</t>
  </si>
  <si>
    <t>V-101070</t>
  </si>
  <si>
    <t>V-101111</t>
  </si>
  <si>
    <t>V-101146</t>
  </si>
  <si>
    <t>V-101055</t>
  </si>
  <si>
    <t>V-101079</t>
  </si>
  <si>
    <t>V-101134</t>
  </si>
  <si>
    <t>V-101097</t>
  </si>
  <si>
    <t>V-101118</t>
  </si>
  <si>
    <t>V-101135</t>
  </si>
  <si>
    <t>V-101049</t>
  </si>
  <si>
    <t>V-101096</t>
  </si>
  <si>
    <t>V-101087</t>
  </si>
  <si>
    <t>V-101095</t>
  </si>
  <si>
    <t>V-101124</t>
  </si>
  <si>
    <t>V-101069</t>
  </si>
  <si>
    <t>V-101072</t>
  </si>
  <si>
    <t>V-101073</t>
  </si>
  <si>
    <t>V-101109</t>
  </si>
  <si>
    <t>V-101113</t>
  </si>
  <si>
    <t>V-101119</t>
  </si>
  <si>
    <t>V-101064</t>
  </si>
  <si>
    <t>V-101067</t>
  </si>
  <si>
    <t>V-101080</t>
  </si>
  <si>
    <t>V-101140</t>
  </si>
  <si>
    <t>V-101148</t>
  </si>
  <si>
    <t>V-101053</t>
  </si>
  <si>
    <t>V-101082</t>
  </si>
  <si>
    <t>V-101143</t>
  </si>
  <si>
    <t>V-101144</t>
  </si>
  <si>
    <t>V-101059</t>
  </si>
  <si>
    <t>V-101083</t>
  </si>
  <si>
    <t>V-101085</t>
  </si>
  <si>
    <t>V-101156</t>
  </si>
  <si>
    <t>V-101058</t>
  </si>
  <si>
    <t>V-101068</t>
  </si>
  <si>
    <t>V-101088</t>
  </si>
  <si>
    <t>V-101104</t>
  </si>
  <si>
    <t>V-101105</t>
  </si>
  <si>
    <t>V-101112</t>
  </si>
  <si>
    <t>V-101116</t>
  </si>
  <si>
    <t>V-101120</t>
  </si>
  <si>
    <t>V-101129</t>
  </si>
  <si>
    <t>V-101061</t>
  </si>
  <si>
    <t>V-101075</t>
  </si>
  <si>
    <t>V-101077</t>
  </si>
  <si>
    <t>V-101107</t>
  </si>
  <si>
    <t>V-101108</t>
  </si>
  <si>
    <t>V-101115</t>
  </si>
  <si>
    <t>V-101127</t>
  </si>
  <si>
    <t>V-101130</t>
  </si>
  <si>
    <t>V-101139</t>
  </si>
  <si>
    <t>V-101158</t>
  </si>
  <si>
    <t>V-101159</t>
  </si>
  <si>
    <t>V-101060</t>
  </si>
  <si>
    <t>V-101062</t>
  </si>
  <si>
    <t>V-101106</t>
  </si>
  <si>
    <t>V-101076</t>
  </si>
  <si>
    <t>V-101114</t>
  </si>
  <si>
    <t>V-101133</t>
  </si>
  <si>
    <t>V-101150</t>
  </si>
  <si>
    <t>V-101057</t>
  </si>
  <si>
    <t>V-101047</t>
  </si>
  <si>
    <t>V-101065</t>
  </si>
  <si>
    <t>V-101081</t>
  </si>
  <si>
    <t>V-101091</t>
  </si>
  <si>
    <t>V-101093</t>
  </si>
  <si>
    <t>V-101122</t>
  </si>
  <si>
    <t>V-101132</t>
  </si>
  <si>
    <t>V-101136</t>
  </si>
  <si>
    <t>V-101149</t>
  </si>
  <si>
    <t>V-101048</t>
  </si>
  <si>
    <t>V-101086</t>
  </si>
  <si>
    <t>V-101141</t>
  </si>
  <si>
    <t>V-101151</t>
  </si>
  <si>
    <t>V-101084</t>
  </si>
  <si>
    <t>V-101110</t>
  </si>
  <si>
    <t>V-101052</t>
  </si>
  <si>
    <t>V-101066</t>
  </si>
  <si>
    <t>V-101094</t>
  </si>
  <si>
    <t>V-101103</t>
  </si>
  <si>
    <t>V-101147</t>
  </si>
  <si>
    <t>V-101157</t>
  </si>
  <si>
    <t>V-101123</t>
  </si>
  <si>
    <t>V-101098</t>
  </si>
  <si>
    <t>V-101101</t>
  </si>
  <si>
    <t>V-101102</t>
  </si>
  <si>
    <t>V-101126</t>
  </si>
  <si>
    <t>V-101128</t>
  </si>
  <si>
    <t>V-101142</t>
  </si>
  <si>
    <t>V-101160</t>
  </si>
  <si>
    <t>V-101168</t>
  </si>
  <si>
    <t>V-101177</t>
  </si>
  <si>
    <t>V-101251</t>
  </si>
  <si>
    <t>V-101182</t>
  </si>
  <si>
    <t>V-101237</t>
  </si>
  <si>
    <t>V-101227</t>
  </si>
  <si>
    <t>V-101247</t>
  </si>
  <si>
    <t>V-101259</t>
  </si>
  <si>
    <t>V-101270</t>
  </si>
  <si>
    <t>V-101166</t>
  </si>
  <si>
    <t>V-101203</t>
  </si>
  <si>
    <t>V-101206</t>
  </si>
  <si>
    <t>V-101224</t>
  </si>
  <si>
    <t>V-101165</t>
  </si>
  <si>
    <t>V-101222</t>
  </si>
  <si>
    <t>V-101230</t>
  </si>
  <si>
    <t>V-101240</t>
  </si>
  <si>
    <t>V-101242</t>
  </si>
  <si>
    <t>V-101246</t>
  </si>
  <si>
    <t>V-101274</t>
  </si>
  <si>
    <t>V-101188</t>
  </si>
  <si>
    <t>V-101193</t>
  </si>
  <si>
    <t>V-101195</t>
  </si>
  <si>
    <t>V-101204</t>
  </si>
  <si>
    <t>V-101231</t>
  </si>
  <si>
    <t>V-101232</t>
  </si>
  <si>
    <t>V-101241</t>
  </si>
  <si>
    <t>V-101163</t>
  </si>
  <si>
    <t>V-101173</t>
  </si>
  <si>
    <t>V-101175</t>
  </si>
  <si>
    <t>V-101181</t>
  </si>
  <si>
    <t>V-101187</t>
  </si>
  <si>
    <t>V-101209</t>
  </si>
  <si>
    <t>V-101262</t>
  </si>
  <si>
    <t>V-101269</t>
  </si>
  <si>
    <t>V-101162</t>
  </si>
  <si>
    <t>V-101205</t>
  </si>
  <si>
    <t>V-101213</t>
  </si>
  <si>
    <t>V-101228</t>
  </si>
  <si>
    <t>V-101233</t>
  </si>
  <si>
    <t>V-101169</t>
  </si>
  <si>
    <t>V-101186</t>
  </si>
  <si>
    <t>V-101220</t>
  </si>
  <si>
    <t>V-101243</t>
  </si>
  <si>
    <t>V-101248</t>
  </si>
  <si>
    <t>V-101239</t>
  </si>
  <si>
    <t>V-101253</t>
  </si>
  <si>
    <t>V-101176</t>
  </si>
  <si>
    <t>V-101198</t>
  </si>
  <si>
    <t>V-101212</t>
  </si>
  <si>
    <t>V-101164</t>
  </si>
  <si>
    <t>V-101185</t>
  </si>
  <si>
    <t>V-101210</t>
  </si>
  <si>
    <t>V-101236</t>
  </si>
  <si>
    <t>V-101255</t>
  </si>
  <si>
    <t>V-101271</t>
  </si>
  <si>
    <t>V-101180</t>
  </si>
  <si>
    <t>V-101235</t>
  </si>
  <si>
    <t>V-101252</t>
  </si>
  <si>
    <t>V-101260</t>
  </si>
  <si>
    <t>V-101178</t>
  </si>
  <si>
    <t>V-101223</t>
  </si>
  <si>
    <t>V-101234</t>
  </si>
  <si>
    <t>V-101249</t>
  </si>
  <si>
    <t>V-101161</t>
  </si>
  <si>
    <t>V-101183</t>
  </si>
  <si>
    <t>V-101190</t>
  </si>
  <si>
    <t>V-101192</t>
  </si>
  <si>
    <t>V-101208</t>
  </si>
  <si>
    <t>V-101216</t>
  </si>
  <si>
    <t>V-101225</t>
  </si>
  <si>
    <t>V-101196</t>
  </si>
  <si>
    <t>V-101215</t>
  </si>
  <si>
    <t>V-101245</t>
  </si>
  <si>
    <t>V-101256</t>
  </si>
  <si>
    <t>V-101258</t>
  </si>
  <si>
    <t>V-101267</t>
  </si>
  <si>
    <t>V-101275</t>
  </si>
  <si>
    <t>V-101167</t>
  </si>
  <si>
    <t>V-101171</t>
  </si>
  <si>
    <t>V-101174</t>
  </si>
  <si>
    <t>V-101200</t>
  </si>
  <si>
    <t>V-101268</t>
  </si>
  <si>
    <t>V-101184</t>
  </si>
  <si>
    <t>V-101221</t>
  </si>
  <si>
    <t>V-101272</t>
  </si>
  <si>
    <t>V-101257</t>
  </si>
  <si>
    <t>V-101264</t>
  </si>
  <si>
    <t>V-101266</t>
  </si>
  <si>
    <t>V-101197</t>
  </si>
  <si>
    <t>V-101214</t>
  </si>
  <si>
    <t>V-101265</t>
  </si>
  <si>
    <t>V-101201</t>
  </si>
  <si>
    <t>V-101226</t>
  </si>
  <si>
    <t>V-101254</t>
  </si>
  <si>
    <t>V-101273</t>
  </si>
  <si>
    <t>V-101172</t>
  </si>
  <si>
    <t>V-101199</t>
  </si>
  <si>
    <t>V-101202</t>
  </si>
  <si>
    <t>V-101218</t>
  </si>
  <si>
    <t>V-101229</t>
  </si>
  <si>
    <t>V-101179</t>
  </si>
  <si>
    <t>V-101207</t>
  </si>
  <si>
    <t>V-101261</t>
  </si>
  <si>
    <t>V-101170</t>
  </si>
  <si>
    <t>V-101219</t>
  </si>
  <si>
    <t>V-101238</t>
  </si>
  <si>
    <t>V-101244</t>
  </si>
  <si>
    <t>V-101250</t>
  </si>
  <si>
    <t>V-101189</t>
  </si>
  <si>
    <t>V-101194</t>
  </si>
  <si>
    <t>V-101211</t>
  </si>
  <si>
    <t>V-101217</t>
  </si>
  <si>
    <t>V-101263</t>
  </si>
  <si>
    <t>V-101191</t>
  </si>
  <si>
    <t>V-101312</t>
  </si>
  <si>
    <t>V-101333</t>
  </si>
  <si>
    <t>V-101357</t>
  </si>
  <si>
    <t>V-101324</t>
  </si>
  <si>
    <t>V-101373</t>
  </si>
  <si>
    <t>V-101382</t>
  </si>
  <si>
    <t>V-101284</t>
  </si>
  <si>
    <t>V-101318</t>
  </si>
  <si>
    <t>V-101334</t>
  </si>
  <si>
    <t>V-101381</t>
  </si>
  <si>
    <t>V-101323</t>
  </si>
  <si>
    <t>V-101330</t>
  </si>
  <si>
    <t>V-101335</t>
  </si>
  <si>
    <t>V-101287</t>
  </si>
  <si>
    <t>V-101321</t>
  </si>
  <si>
    <t>V-101322</t>
  </si>
  <si>
    <t>V-101331</t>
  </si>
  <si>
    <t>V-101354</t>
  </si>
  <si>
    <t>V-101276</t>
  </si>
  <si>
    <t>V-101279</t>
  </si>
  <si>
    <t>V-101293</t>
  </si>
  <si>
    <t>V-101301</t>
  </si>
  <si>
    <t>V-101342</t>
  </si>
  <si>
    <t>V-101351</t>
  </si>
  <si>
    <t>V-101347</t>
  </si>
  <si>
    <t>V-101352</t>
  </si>
  <si>
    <t>V-101358</t>
  </si>
  <si>
    <t>V-101299</t>
  </si>
  <si>
    <t>V-101308</t>
  </si>
  <si>
    <t>V-101326</t>
  </si>
  <si>
    <t>Heladera No Frost</t>
  </si>
  <si>
    <t>Línea Blanca</t>
  </si>
  <si>
    <t>V-101332</t>
  </si>
  <si>
    <t>V-101345</t>
  </si>
  <si>
    <t>V-101346</t>
  </si>
  <si>
    <t>V-101286</t>
  </si>
  <si>
    <t>V-101375</t>
  </si>
  <si>
    <t>V-101280</t>
  </si>
  <si>
    <t>V-101291</t>
  </si>
  <si>
    <t>V-101306</t>
  </si>
  <si>
    <t>V-101315</t>
  </si>
  <si>
    <t>V-101363</t>
  </si>
  <si>
    <t>V-101365</t>
  </si>
  <si>
    <t>V-101367</t>
  </si>
  <si>
    <t>V-101388</t>
  </si>
  <si>
    <t>V-101298</t>
  </si>
  <si>
    <t>V-101302</t>
  </si>
  <si>
    <t>V-101372</t>
  </si>
  <si>
    <t>V-101374</t>
  </si>
  <si>
    <t>V-101278</t>
  </si>
  <si>
    <t>V-101317</t>
  </si>
  <si>
    <t>V-101336</t>
  </si>
  <si>
    <t>V-101343</t>
  </si>
  <si>
    <t>V-101338</t>
  </si>
  <si>
    <t>V-101349</t>
  </si>
  <si>
    <t>V-101362</t>
  </si>
  <si>
    <t>V-101377</t>
  </si>
  <si>
    <t>V-101386</t>
  </si>
  <si>
    <t>V-101281</t>
  </si>
  <si>
    <t>V-101297</t>
  </si>
  <si>
    <t>V-101341</t>
  </si>
  <si>
    <t>V-101348</t>
  </si>
  <si>
    <t>V-101350</t>
  </si>
  <si>
    <t>V-101359</t>
  </si>
  <si>
    <t>V-101361</t>
  </si>
  <si>
    <t>V-101364</t>
  </si>
  <si>
    <t>V-101290</t>
  </si>
  <si>
    <t>V-101303</t>
  </si>
  <si>
    <t>V-101282</t>
  </si>
  <si>
    <t>V-101307</t>
  </si>
  <si>
    <t>V-101314</t>
  </si>
  <si>
    <t>V-101339</t>
  </si>
  <si>
    <t>V-101385</t>
  </si>
  <si>
    <t>V-101283</t>
  </si>
  <si>
    <t>V-101305</t>
  </si>
  <si>
    <t>V-101309</t>
  </si>
  <si>
    <t>V-101344</t>
  </si>
  <si>
    <t>V-101378</t>
  </si>
  <si>
    <t>V-101380</t>
  </si>
  <si>
    <t>V-101311</t>
  </si>
  <si>
    <t>V-101316</t>
  </si>
  <si>
    <t>V-101328</t>
  </si>
  <si>
    <t>V-101329</t>
  </si>
  <si>
    <t>V-101337</t>
  </si>
  <si>
    <t>V-101368</t>
  </si>
  <si>
    <t>V-101370</t>
  </si>
  <si>
    <t>V-101288</t>
  </si>
  <si>
    <t>V-101310</t>
  </si>
  <si>
    <t>V-101320</t>
  </si>
  <si>
    <t>V-101327</t>
  </si>
  <si>
    <t>V-101356</t>
  </si>
  <si>
    <t>V-101360</t>
  </si>
  <si>
    <t>V-101383</t>
  </si>
  <si>
    <t>V-101294</t>
  </si>
  <si>
    <t>V-101296</t>
  </si>
  <si>
    <t>V-101313</t>
  </si>
  <si>
    <t>V-101319</t>
  </si>
  <si>
    <t>V-101325</t>
  </si>
  <si>
    <t>V-101353</t>
  </si>
  <si>
    <t>V-101355</t>
  </si>
  <si>
    <t>V-101369</t>
  </si>
  <si>
    <t>V-101292</t>
  </si>
  <si>
    <t>V-101295</t>
  </si>
  <si>
    <t>V-101340</t>
  </si>
  <si>
    <t>V-101277</t>
  </si>
  <si>
    <t>V-101366</t>
  </si>
  <si>
    <t>V-101376</t>
  </si>
  <si>
    <t>V-101379</t>
  </si>
  <si>
    <t>V-101285</t>
  </si>
  <si>
    <t>V-101304</t>
  </si>
  <si>
    <t>V-101389</t>
  </si>
  <si>
    <t>V-101289</t>
  </si>
  <si>
    <t>V-101300</t>
  </si>
  <si>
    <t>V-101384</t>
  </si>
  <si>
    <t>V-101387</t>
  </si>
  <si>
    <t>V-101371</t>
  </si>
  <si>
    <t>V-101396</t>
  </si>
  <si>
    <t>V-101427</t>
  </si>
  <si>
    <t>V-101434</t>
  </si>
  <si>
    <t>V-101446</t>
  </si>
  <si>
    <t>V-101456</t>
  </si>
  <si>
    <t>V-101476</t>
  </si>
  <si>
    <t>V-101403</t>
  </si>
  <si>
    <t>V-101445</t>
  </si>
  <si>
    <t>V-101454</t>
  </si>
  <si>
    <t>V-101457</t>
  </si>
  <si>
    <t>V-101462</t>
  </si>
  <si>
    <t>V-101492</t>
  </si>
  <si>
    <t>V-101502</t>
  </si>
  <si>
    <t>V-101474</t>
  </si>
  <si>
    <t>V-101467</t>
  </si>
  <si>
    <t>V-101390</t>
  </si>
  <si>
    <t>V-101399</t>
  </si>
  <si>
    <t>V-101410</t>
  </si>
  <si>
    <t>V-101412</t>
  </si>
  <si>
    <t>V-101422</t>
  </si>
  <si>
    <t>V-101424</t>
  </si>
  <si>
    <t>V-101425</t>
  </si>
  <si>
    <t>V-101438</t>
  </si>
  <si>
    <t>V-101443</t>
  </si>
  <si>
    <t>V-101486</t>
  </si>
  <si>
    <t>V-101490</t>
  </si>
  <si>
    <t>V-101418</t>
  </si>
  <si>
    <t>V-101441</t>
  </si>
  <si>
    <t>V-101482</t>
  </si>
  <si>
    <t>V-101500</t>
  </si>
  <si>
    <t>V-101406</t>
  </si>
  <si>
    <t>V-101426</t>
  </si>
  <si>
    <t>V-101429</t>
  </si>
  <si>
    <t>V-101460</t>
  </si>
  <si>
    <t>V-101473</t>
  </si>
  <si>
    <t>V-101483</t>
  </si>
  <si>
    <t>V-101404</t>
  </si>
  <si>
    <t>V-101436</t>
  </si>
  <si>
    <t>V-101444</t>
  </si>
  <si>
    <t>V-101488</t>
  </si>
  <si>
    <t>V-101497</t>
  </si>
  <si>
    <t>V-101400</t>
  </si>
  <si>
    <t>V-101413</t>
  </si>
  <si>
    <t>V-101475</t>
  </si>
  <si>
    <t>V-101505</t>
  </si>
  <si>
    <t>V-101421</t>
  </si>
  <si>
    <t>V-101440</t>
  </si>
  <si>
    <t>V-101472</t>
  </si>
  <si>
    <t>V-101491</t>
  </si>
  <si>
    <t>V-101391</t>
  </si>
  <si>
    <t>V-101393</t>
  </si>
  <si>
    <t>V-101405</t>
  </si>
  <si>
    <t>V-101409</t>
  </si>
  <si>
    <t>V-101439</t>
  </si>
  <si>
    <t>V-101408</t>
  </si>
  <si>
    <t>V-101432</t>
  </si>
  <si>
    <t>V-101451</t>
  </si>
  <si>
    <t>V-101471</t>
  </si>
  <si>
    <t>V-101411</t>
  </si>
  <si>
    <t>V-101414</t>
  </si>
  <si>
    <t>V-101428</t>
  </si>
  <si>
    <t>V-101431</t>
  </si>
  <si>
    <t>V-101437</t>
  </si>
  <si>
    <t>V-101484</t>
  </si>
  <si>
    <t>V-101504</t>
  </si>
  <si>
    <t>V-101394</t>
  </si>
  <si>
    <t>V-101415</t>
  </si>
  <si>
    <t>V-101423</t>
  </si>
  <si>
    <t>V-101430</t>
  </si>
  <si>
    <t>V-101466</t>
  </si>
  <si>
    <t>V-101498</t>
  </si>
  <si>
    <t>V-101417</t>
  </si>
  <si>
    <t>V-101442</t>
  </si>
  <si>
    <t>V-101398</t>
  </si>
  <si>
    <t>V-101449</t>
  </si>
  <si>
    <t>V-101452</t>
  </si>
  <si>
    <t>V-101464</t>
  </si>
  <si>
    <t>V-101395</t>
  </si>
  <si>
    <t>V-101448</t>
  </si>
  <si>
    <t>V-101477</t>
  </si>
  <si>
    <t>V-101458</t>
  </si>
  <si>
    <t>V-101461</t>
  </si>
  <si>
    <t>V-101463</t>
  </si>
  <si>
    <t>V-101465</t>
  </si>
  <si>
    <t>V-101489</t>
  </si>
  <si>
    <t>V-101496</t>
  </si>
  <si>
    <t>V-101501</t>
  </si>
  <si>
    <t>V-101416</t>
  </si>
  <si>
    <t>V-101420</t>
  </si>
  <si>
    <t>V-101468</t>
  </si>
  <si>
    <t>V-101478</t>
  </si>
  <si>
    <t>V-101499</t>
  </si>
  <si>
    <t>V-101419</t>
  </si>
  <si>
    <t>V-101453</t>
  </si>
  <si>
    <t>V-101455</t>
  </si>
  <si>
    <t>V-101481</t>
  </si>
  <si>
    <t>V-101397</t>
  </si>
  <si>
    <t>V-101407</t>
  </si>
  <si>
    <t>V-101435</t>
  </si>
  <si>
    <t>V-101479</t>
  </si>
  <si>
    <t>V-101392</t>
  </si>
  <si>
    <t>V-101459</t>
  </si>
  <si>
    <t>V-101470</t>
  </si>
  <si>
    <t>V-101480</t>
  </si>
  <si>
    <t>V-101493</t>
  </si>
  <si>
    <t>V-101503</t>
  </si>
  <si>
    <t>V-101401</t>
  </si>
  <si>
    <t>V-101402</t>
  </si>
  <si>
    <t>V-101433</t>
  </si>
  <si>
    <t>V-101447</t>
  </si>
  <si>
    <t>V-101450</t>
  </si>
  <si>
    <t>V-101485</t>
  </si>
  <si>
    <t>V-101487</t>
  </si>
  <si>
    <t>V-101495</t>
  </si>
  <si>
    <t>V-101469</t>
  </si>
  <si>
    <t>V-101494</t>
  </si>
  <si>
    <t>V-101526</t>
  </si>
  <si>
    <t>V-101553</t>
  </si>
  <si>
    <t>V-101590</t>
  </si>
  <si>
    <t>V-101608</t>
  </si>
  <si>
    <t>V-101609</t>
  </si>
  <si>
    <t>V-101534</t>
  </si>
  <si>
    <t>V-101554</t>
  </si>
  <si>
    <t>V-101586</t>
  </si>
  <si>
    <t>V-101517</t>
  </si>
  <si>
    <t>V-101524</t>
  </si>
  <si>
    <t>V-101549</t>
  </si>
  <si>
    <t>V-101560</t>
  </si>
  <si>
    <t>V-101592</t>
  </si>
  <si>
    <t>V-101515</t>
  </si>
  <si>
    <t>V-101547</t>
  </si>
  <si>
    <t>V-101572</t>
  </si>
  <si>
    <t>V-101581</t>
  </si>
  <si>
    <t>V-101585</t>
  </si>
  <si>
    <t>V-101525</t>
  </si>
  <si>
    <t>V-101573</t>
  </si>
  <si>
    <t>V-101584</t>
  </si>
  <si>
    <t>V-101587</t>
  </si>
  <si>
    <t>V-101536</t>
  </si>
  <si>
    <t>V-101591</t>
  </si>
  <si>
    <t>V-101523</t>
  </si>
  <si>
    <t>V-101531</t>
  </si>
  <si>
    <t>V-101567</t>
  </si>
  <si>
    <t>V-101580</t>
  </si>
  <si>
    <t>V-101611</t>
  </si>
  <si>
    <t>V-101614</t>
  </si>
  <si>
    <t>V-101532</t>
  </si>
  <si>
    <t>V-101544</t>
  </si>
  <si>
    <t>V-101582</t>
  </si>
  <si>
    <t>V-101597</t>
  </si>
  <si>
    <t>V-101610</t>
  </si>
  <si>
    <t>V-101556</t>
  </si>
  <si>
    <t>V-101559</t>
  </si>
  <si>
    <t>V-101589</t>
  </si>
  <si>
    <t>V-101596</t>
  </si>
  <si>
    <t>V-101615</t>
  </si>
  <si>
    <t>V-101616</t>
  </si>
  <si>
    <t>V-101551</t>
  </si>
  <si>
    <t>V-101561</t>
  </si>
  <si>
    <t>V-101546</t>
  </si>
  <si>
    <t>V-101564</t>
  </si>
  <si>
    <t>V-101516</t>
  </si>
  <si>
    <t>V-101569</t>
  </si>
  <si>
    <t>V-101603</t>
  </si>
  <si>
    <t>V-101518</t>
  </si>
  <si>
    <t>V-101529</t>
  </si>
  <si>
    <t>V-101533</t>
  </si>
  <si>
    <t>V-101537</t>
  </si>
  <si>
    <t>V-101555</t>
  </si>
  <si>
    <t>V-101594</t>
  </si>
  <si>
    <t>V-101506</t>
  </si>
  <si>
    <t>V-101508</t>
  </si>
  <si>
    <t>V-101509</t>
  </si>
  <si>
    <t>V-101575</t>
  </si>
  <si>
    <t>V-101576</t>
  </si>
  <si>
    <t>V-101598</t>
  </si>
  <si>
    <t>V-101520</t>
  </si>
  <si>
    <t>V-101539</t>
  </si>
  <si>
    <t>V-101543</t>
  </si>
  <si>
    <t>V-101566</t>
  </si>
  <si>
    <t>V-101571</t>
  </si>
  <si>
    <t>V-101578</t>
  </si>
  <si>
    <t>V-101513</t>
  </si>
  <si>
    <t>V-101548</t>
  </si>
  <si>
    <t>V-101550</t>
  </si>
  <si>
    <t>V-101563</t>
  </si>
  <si>
    <t>V-101574</t>
  </si>
  <si>
    <t>V-101579</t>
  </si>
  <si>
    <t>V-101605</t>
  </si>
  <si>
    <t>V-101562</t>
  </si>
  <si>
    <t>V-101601</t>
  </si>
  <si>
    <t>V-101522</t>
  </si>
  <si>
    <t>V-101577</t>
  </si>
  <si>
    <t>V-101612</t>
  </si>
  <si>
    <t>V-101510</t>
  </si>
  <si>
    <t>V-101514</t>
  </si>
  <si>
    <t>V-101519</t>
  </si>
  <si>
    <t>V-101521</t>
  </si>
  <si>
    <t>V-101570</t>
  </si>
  <si>
    <t>V-101527</t>
  </si>
  <si>
    <t>V-101538</t>
  </si>
  <si>
    <t>V-101541</t>
  </si>
  <si>
    <t>V-101552</t>
  </si>
  <si>
    <t>V-101599</t>
  </si>
  <si>
    <t>V-101602</t>
  </si>
  <si>
    <t>V-101613</t>
  </si>
  <si>
    <t>V-101530</t>
  </si>
  <si>
    <t>V-101583</t>
  </si>
  <si>
    <t>V-101600</t>
  </si>
  <si>
    <t>V-101507</t>
  </si>
  <si>
    <t>V-101542</t>
  </si>
  <si>
    <t>V-101558</t>
  </si>
  <si>
    <t>V-101588</t>
  </si>
  <si>
    <t>V-101528</t>
  </si>
  <si>
    <t>V-101595</t>
  </si>
  <si>
    <t>V-101511</t>
  </si>
  <si>
    <t>V-101512</t>
  </si>
  <si>
    <t>V-101535</t>
  </si>
  <si>
    <t>V-101565</t>
  </si>
  <si>
    <t>V-101606</t>
  </si>
  <si>
    <t>V-101545</t>
  </si>
  <si>
    <t>V-101557</t>
  </si>
  <si>
    <t>V-101593</t>
  </si>
  <si>
    <t>V-101540</t>
  </si>
  <si>
    <t>V-101568</t>
  </si>
  <si>
    <t>V-101604</t>
  </si>
  <si>
    <t>V-101607</t>
  </si>
  <si>
    <t>V-101617</t>
  </si>
  <si>
    <t>V-101684</t>
  </si>
  <si>
    <t>V-101619</t>
  </si>
  <si>
    <t>V-101621</t>
  </si>
  <si>
    <t>V-101645</t>
  </si>
  <si>
    <t>V-101688</t>
  </si>
  <si>
    <t>V-101719</t>
  </si>
  <si>
    <t>V-101643</t>
  </si>
  <si>
    <t>V-101658</t>
  </si>
  <si>
    <t>V-101700</t>
  </si>
  <si>
    <t>V-101646</t>
  </si>
  <si>
    <t>V-101710</t>
  </si>
  <si>
    <t>V-101716</t>
  </si>
  <si>
    <t>V-101637</t>
  </si>
  <si>
    <t>V-101655</t>
  </si>
  <si>
    <t>V-101657</t>
  </si>
  <si>
    <t>V-101633</t>
  </si>
  <si>
    <t>V-101635</t>
  </si>
  <si>
    <t>V-101696</t>
  </si>
  <si>
    <t>V-101673</t>
  </si>
  <si>
    <t>V-101730</t>
  </si>
  <si>
    <t>V-101731</t>
  </si>
  <si>
    <t>V-101631</t>
  </si>
  <si>
    <t>V-101651</t>
  </si>
  <si>
    <t>V-101654</t>
  </si>
  <si>
    <t>V-101660</t>
  </si>
  <si>
    <t>V-101662</t>
  </si>
  <si>
    <t>V-101671</t>
  </si>
  <si>
    <t>V-101698</t>
  </si>
  <si>
    <t>V-101712</t>
  </si>
  <si>
    <t>V-101720</t>
  </si>
  <si>
    <t>V-101620</t>
  </si>
  <si>
    <t>V-101627</t>
  </si>
  <si>
    <t>V-101663</t>
  </si>
  <si>
    <t>V-101694</t>
  </si>
  <si>
    <t>V-101681</t>
  </si>
  <si>
    <t>V-101687</t>
  </si>
  <si>
    <t>V-101729</t>
  </si>
  <si>
    <t>V-101732</t>
  </si>
  <si>
    <t>V-101622</t>
  </si>
  <si>
    <t>V-101685</t>
  </si>
  <si>
    <t>V-101703</t>
  </si>
  <si>
    <t>V-101721</t>
  </si>
  <si>
    <t>V-101722</t>
  </si>
  <si>
    <t>V-101630</t>
  </si>
  <si>
    <t>V-101638</t>
  </si>
  <si>
    <t>V-101641</t>
  </si>
  <si>
    <t>V-101647</t>
  </si>
  <si>
    <t>V-101676</t>
  </si>
  <si>
    <t>V-101683</t>
  </si>
  <si>
    <t>V-101634</t>
  </si>
  <si>
    <t>V-101636</t>
  </si>
  <si>
    <t>V-101679</t>
  </si>
  <si>
    <t>V-101682</t>
  </si>
  <si>
    <t>V-101686</t>
  </si>
  <si>
    <t>V-101689</t>
  </si>
  <si>
    <t>V-101709</t>
  </si>
  <si>
    <t>V-101618</t>
  </si>
  <si>
    <t>V-101624</t>
  </si>
  <si>
    <t>V-101625</t>
  </si>
  <si>
    <t>V-101648</t>
  </si>
  <si>
    <t>V-101691</t>
  </si>
  <si>
    <t>V-101693</t>
  </si>
  <si>
    <t>V-101711</t>
  </si>
  <si>
    <t>V-101626</t>
  </si>
  <si>
    <t>V-101642</t>
  </si>
  <si>
    <t>V-101649</t>
  </si>
  <si>
    <t>V-101697</t>
  </si>
  <si>
    <t>V-101717</t>
  </si>
  <si>
    <t>V-101623</t>
  </si>
  <si>
    <t>V-101668</t>
  </si>
  <si>
    <t>V-101699</t>
  </si>
  <si>
    <t>V-101701</t>
  </si>
  <si>
    <t>V-101726</t>
  </si>
  <si>
    <t>V-101639</t>
  </si>
  <si>
    <t>V-101640</t>
  </si>
  <si>
    <t>V-101659</t>
  </si>
  <si>
    <t>V-101707</t>
  </si>
  <si>
    <t>V-101727</t>
  </si>
  <si>
    <t>V-101675</t>
  </si>
  <si>
    <t>V-101678</t>
  </si>
  <si>
    <t>V-101690</t>
  </si>
  <si>
    <t>V-101713</t>
  </si>
  <si>
    <t>V-101714</t>
  </si>
  <si>
    <t>V-101728</t>
  </si>
  <si>
    <t>V-101661</t>
  </si>
  <si>
    <t>V-101669</t>
  </si>
  <si>
    <t>V-101672</t>
  </si>
  <si>
    <t>V-101692</t>
  </si>
  <si>
    <t>V-101704</t>
  </si>
  <si>
    <t>V-101706</t>
  </si>
  <si>
    <t>V-101664</t>
  </si>
  <si>
    <t>V-101724</t>
  </si>
  <si>
    <t>V-101632</t>
  </si>
  <si>
    <t>V-101670</t>
  </si>
  <si>
    <t>V-101695</t>
  </si>
  <si>
    <t>V-101708</t>
  </si>
  <si>
    <t>V-101718</t>
  </si>
  <si>
    <t>V-101629</t>
  </si>
  <si>
    <t>V-101653</t>
  </si>
  <si>
    <t>V-101667</t>
  </si>
  <si>
    <t>V-101674</t>
  </si>
  <si>
    <t>V-101677</t>
  </si>
  <si>
    <t>V-101702</t>
  </si>
  <si>
    <t>V-101666</t>
  </si>
  <si>
    <t>V-101680</t>
  </si>
  <si>
    <t>V-101723</t>
  </si>
  <si>
    <t>V-101665</t>
  </si>
  <si>
    <t>V-101725</t>
  </si>
  <si>
    <t>V-101644</t>
  </si>
  <si>
    <t>V-101652</t>
  </si>
  <si>
    <t>V-101656</t>
  </si>
  <si>
    <t>V-101628</t>
  </si>
  <si>
    <t>V-101650</t>
  </si>
  <si>
    <t>V-101705</t>
  </si>
  <si>
    <t>V-101715</t>
  </si>
  <si>
    <t>V-101805</t>
  </si>
  <si>
    <t>V-101808</t>
  </si>
  <si>
    <t>V-101832</t>
  </si>
  <si>
    <t>V-101788</t>
  </si>
  <si>
    <t>V-101819</t>
  </si>
  <si>
    <t>V-101827</t>
  </si>
  <si>
    <t>V-101847</t>
  </si>
  <si>
    <t>V-101851</t>
  </si>
  <si>
    <t>V-101769</t>
  </si>
  <si>
    <t>V-101798</t>
  </si>
  <si>
    <t>V-101748</t>
  </si>
  <si>
    <t>V-101752</t>
  </si>
  <si>
    <t>V-101845</t>
  </si>
  <si>
    <t>V-101733</t>
  </si>
  <si>
    <t>V-101735</t>
  </si>
  <si>
    <t>V-101740</t>
  </si>
  <si>
    <t>V-101751</t>
  </si>
  <si>
    <t>V-101841</t>
  </si>
  <si>
    <t>V-101743</t>
  </si>
  <si>
    <t>V-101774</t>
  </si>
  <si>
    <t>V-101778</t>
  </si>
  <si>
    <t>V-101791</t>
  </si>
  <si>
    <t>V-101826</t>
  </si>
  <si>
    <t>V-101739</t>
  </si>
  <si>
    <t>V-101761</t>
  </si>
  <si>
    <t>V-101821</t>
  </si>
  <si>
    <t>V-101833</t>
  </si>
  <si>
    <t>V-101749</t>
  </si>
  <si>
    <t>V-101779</t>
  </si>
  <si>
    <t>V-101785</t>
  </si>
  <si>
    <t>V-101796</t>
  </si>
  <si>
    <t>V-101744</t>
  </si>
  <si>
    <t>V-101766</t>
  </si>
  <si>
    <t>V-101773</t>
  </si>
  <si>
    <t>V-101776</t>
  </si>
  <si>
    <t>V-101741</t>
  </si>
  <si>
    <t>V-101747</t>
  </si>
  <si>
    <t>V-101760</t>
  </si>
  <si>
    <t>V-101789</t>
  </si>
  <si>
    <t>V-101799</t>
  </si>
  <si>
    <t>V-101806</t>
  </si>
  <si>
    <t>V-101820</t>
  </si>
  <si>
    <t>V-101822</t>
  </si>
  <si>
    <t>V-101824</t>
  </si>
  <si>
    <t>V-101782</t>
  </si>
  <si>
    <t>V-101807</t>
  </si>
  <si>
    <t>V-101830</t>
  </si>
  <si>
    <t>V-101843</t>
  </si>
  <si>
    <t>V-101848</t>
  </si>
  <si>
    <t>V-101736</t>
  </si>
  <si>
    <t>V-101745</t>
  </si>
  <si>
    <t>V-101756</t>
  </si>
  <si>
    <t>V-101764</t>
  </si>
  <si>
    <t>V-101765</t>
  </si>
  <si>
    <t>V-101783</t>
  </si>
  <si>
    <t>V-101814</t>
  </si>
  <si>
    <t>V-101835</t>
  </si>
  <si>
    <t>V-101750</t>
  </si>
  <si>
    <t>V-101770</t>
  </si>
  <si>
    <t>V-101786</t>
  </si>
  <si>
    <t>V-101746</t>
  </si>
  <si>
    <t>V-101754</t>
  </si>
  <si>
    <t>V-101803</t>
  </si>
  <si>
    <t>V-101818</t>
  </si>
  <si>
    <t>V-101825</t>
  </si>
  <si>
    <t>V-101840</t>
  </si>
  <si>
    <t>V-101763</t>
  </si>
  <si>
    <t>V-101772</t>
  </si>
  <si>
    <t>V-101811</t>
  </si>
  <si>
    <t>V-101816</t>
  </si>
  <si>
    <t>V-101834</t>
  </si>
  <si>
    <t>V-101781</t>
  </si>
  <si>
    <t>V-101795</t>
  </si>
  <si>
    <t>V-101828</t>
  </si>
  <si>
    <t>V-101846</t>
  </si>
  <si>
    <t>V-101793</t>
  </si>
  <si>
    <t>V-101794</t>
  </si>
  <si>
    <t>V-101804</t>
  </si>
  <si>
    <t>V-101838</t>
  </si>
  <si>
    <t>V-101839</t>
  </si>
  <si>
    <t>V-101842</t>
  </si>
  <si>
    <t>V-101844</t>
  </si>
  <si>
    <t>V-101742</t>
  </si>
  <si>
    <t>V-101755</t>
  </si>
  <si>
    <t>V-101767</t>
  </si>
  <si>
    <t>V-101790</t>
  </si>
  <si>
    <t>V-101734</t>
  </si>
  <si>
    <t>V-101775</t>
  </si>
  <si>
    <t>V-101784</t>
  </si>
  <si>
    <t>V-101823</t>
  </si>
  <si>
    <t>V-101758</t>
  </si>
  <si>
    <t>V-101792</t>
  </si>
  <si>
    <t>V-101797</t>
  </si>
  <si>
    <t>V-101802</t>
  </si>
  <si>
    <t>V-101817</t>
  </si>
  <si>
    <t>V-101738</t>
  </si>
  <si>
    <t>V-101768</t>
  </si>
  <si>
    <t>V-101787</t>
  </si>
  <si>
    <t>V-101831</t>
  </si>
  <si>
    <t>V-101836</t>
  </si>
  <si>
    <t>V-101757</t>
  </si>
  <si>
    <t>V-101829</t>
  </si>
  <si>
    <t>V-101777</t>
  </si>
  <si>
    <t>V-101753</t>
  </si>
  <si>
    <t>V-101771</t>
  </si>
  <si>
    <t>V-101812</t>
  </si>
  <si>
    <t>V-101837</t>
  </si>
  <si>
    <t>V-101852</t>
  </si>
  <si>
    <t>V-101737</t>
  </si>
  <si>
    <t>V-101809</t>
  </si>
  <si>
    <t>V-101815</t>
  </si>
  <si>
    <t>V-101759</t>
  </si>
  <si>
    <t>V-101762</t>
  </si>
  <si>
    <t>V-101780</t>
  </si>
  <si>
    <t>V-101800</t>
  </si>
  <si>
    <t>V-101801</t>
  </si>
  <si>
    <t>V-101813</t>
  </si>
  <si>
    <t>V-101850</t>
  </si>
  <si>
    <t>V-101810</t>
  </si>
  <si>
    <t>V-101849</t>
  </si>
  <si>
    <t>V-101853</t>
  </si>
  <si>
    <t>V-101856</t>
  </si>
  <si>
    <t>V-101910</t>
  </si>
  <si>
    <t>V-101966</t>
  </si>
  <si>
    <t>V-101870</t>
  </si>
  <si>
    <t>V-101882</t>
  </si>
  <si>
    <t>V-101900</t>
  </si>
  <si>
    <t>V-101905</t>
  </si>
  <si>
    <t>V-101917</t>
  </si>
  <si>
    <t>V-101937</t>
  </si>
  <si>
    <t>V-101861</t>
  </si>
  <si>
    <t>V-101957</t>
  </si>
  <si>
    <t>V-101898</t>
  </si>
  <si>
    <t>V-101929</t>
  </si>
  <si>
    <t>V-101955</t>
  </si>
  <si>
    <t>V-101872</t>
  </si>
  <si>
    <t>V-101897</t>
  </si>
  <si>
    <t>V-101927</t>
  </si>
  <si>
    <t>V-101935</t>
  </si>
  <si>
    <t>V-101948</t>
  </si>
  <si>
    <t>V-101923</t>
  </si>
  <si>
    <t>V-101941</t>
  </si>
  <si>
    <t>V-101945</t>
  </si>
  <si>
    <t>V-101962</t>
  </si>
  <si>
    <t>V-101967</t>
  </si>
  <si>
    <t>V-101855</t>
  </si>
  <si>
    <t>V-101860</t>
  </si>
  <si>
    <t>V-101871</t>
  </si>
  <si>
    <t>V-101887</t>
  </si>
  <si>
    <t>V-101896</t>
  </si>
  <si>
    <t>V-101909</t>
  </si>
  <si>
    <t>V-101922</t>
  </si>
  <si>
    <t>V-101971</t>
  </si>
  <si>
    <t>V-101858</t>
  </si>
  <si>
    <t>V-101889</t>
  </si>
  <si>
    <t>V-101891</t>
  </si>
  <si>
    <t>V-101893</t>
  </si>
  <si>
    <t>V-101926</t>
  </si>
  <si>
    <t>V-101894</t>
  </si>
  <si>
    <t>V-101918</t>
  </si>
  <si>
    <t>V-101919</t>
  </si>
  <si>
    <t>V-101947</t>
  </si>
  <si>
    <t>V-101952</t>
  </si>
  <si>
    <t>V-101921</t>
  </si>
  <si>
    <t>V-101940</t>
  </si>
  <si>
    <t>V-101942</t>
  </si>
  <si>
    <t>V-101906</t>
  </si>
  <si>
    <t>V-101934</t>
  </si>
  <si>
    <t>V-101944</t>
  </si>
  <si>
    <t>V-101857</t>
  </si>
  <si>
    <t>V-101873</t>
  </si>
  <si>
    <t>V-101876</t>
  </si>
  <si>
    <t>V-101867</t>
  </si>
  <si>
    <t>V-101885</t>
  </si>
  <si>
    <t>V-101968</t>
  </si>
  <si>
    <t>V-101886</t>
  </si>
  <si>
    <t>V-101925</t>
  </si>
  <si>
    <t>V-101974</t>
  </si>
  <si>
    <t>V-101862</t>
  </si>
  <si>
    <t>V-101869</t>
  </si>
  <si>
    <t>V-101880</t>
  </si>
  <si>
    <t>V-101914</t>
  </si>
  <si>
    <t>V-101924</t>
  </si>
  <si>
    <t>V-101928</t>
  </si>
  <si>
    <t>V-101936</t>
  </si>
  <si>
    <t>V-101960</t>
  </si>
  <si>
    <t>V-101901</t>
  </si>
  <si>
    <t>V-101908</t>
  </si>
  <si>
    <t>V-101950</t>
  </si>
  <si>
    <t>V-101972</t>
  </si>
  <si>
    <t>V-101864</t>
  </si>
  <si>
    <t>V-101916</t>
  </si>
  <si>
    <t>V-101938</t>
  </si>
  <si>
    <t>V-101970</t>
  </si>
  <si>
    <t>V-101973</t>
  </si>
  <si>
    <t>V-101875</t>
  </si>
  <si>
    <t>V-101964</t>
  </si>
  <si>
    <t>V-101859</t>
  </si>
  <si>
    <t>V-101863</t>
  </si>
  <si>
    <t>V-101865</t>
  </si>
  <si>
    <t>V-101878</t>
  </si>
  <si>
    <t>V-101879</t>
  </si>
  <si>
    <t>V-101895</t>
  </si>
  <si>
    <t>V-101951</t>
  </si>
  <si>
    <t>V-101959</t>
  </si>
  <si>
    <t>V-101883</t>
  </si>
  <si>
    <t>V-101904</t>
  </si>
  <si>
    <t>V-101912</t>
  </si>
  <si>
    <t>V-101877</t>
  </si>
  <si>
    <t>V-101899</t>
  </si>
  <si>
    <t>V-101902</t>
  </si>
  <si>
    <t>V-101907</t>
  </si>
  <si>
    <t>V-101943</t>
  </si>
  <si>
    <t>V-101868</t>
  </si>
  <si>
    <t>V-101890</t>
  </si>
  <si>
    <t>V-101931</t>
  </si>
  <si>
    <t>V-101933</t>
  </si>
  <si>
    <t>V-101949</t>
  </si>
  <si>
    <t>V-101963</t>
  </si>
  <si>
    <t>V-101913</t>
  </si>
  <si>
    <t>V-101932</t>
  </si>
  <si>
    <t>V-101946</t>
  </si>
  <si>
    <t>V-101866</t>
  </si>
  <si>
    <t>V-101892</t>
  </si>
  <si>
    <t>V-101956</t>
  </si>
  <si>
    <t>V-101920</t>
  </si>
  <si>
    <t>V-101939</t>
  </si>
  <si>
    <t>V-101961</t>
  </si>
  <si>
    <t>V-101969</t>
  </si>
  <si>
    <t>V-101881</t>
  </si>
  <si>
    <t>V-101884</t>
  </si>
  <si>
    <t>V-101911</t>
  </si>
  <si>
    <t>V-101958</t>
  </si>
  <si>
    <t>V-101854</t>
  </si>
  <si>
    <t>V-101874</t>
  </si>
  <si>
    <t>V-101888</t>
  </si>
  <si>
    <t>V-101903</t>
  </si>
  <si>
    <t>V-101915</t>
  </si>
  <si>
    <t>V-101930</t>
  </si>
  <si>
    <t>V-101953</t>
  </si>
  <si>
    <t>V-101954</t>
  </si>
  <si>
    <t>V-101965</t>
  </si>
  <si>
    <t>V-102018</t>
  </si>
  <si>
    <t>V-102006</t>
  </si>
  <si>
    <t>V-102049</t>
  </si>
  <si>
    <t>V-102057</t>
  </si>
  <si>
    <t>V-102077</t>
  </si>
  <si>
    <t>V-102046</t>
  </si>
  <si>
    <t>V-101995</t>
  </si>
  <si>
    <t>V-102002</t>
  </si>
  <si>
    <t>V-102014</t>
  </si>
  <si>
    <t>V-102031</t>
  </si>
  <si>
    <t>V-102081</t>
  </si>
  <si>
    <t>V-101975</t>
  </si>
  <si>
    <t>V-101978</t>
  </si>
  <si>
    <t>V-102017</t>
  </si>
  <si>
    <t>V-102066</t>
  </si>
  <si>
    <t>V-102088</t>
  </si>
  <si>
    <t>V-101985</t>
  </si>
  <si>
    <t>V-102001</t>
  </si>
  <si>
    <t>V-101981</t>
  </si>
  <si>
    <t>V-101998</t>
  </si>
  <si>
    <t>V-102035</t>
  </si>
  <si>
    <t>V-102010</t>
  </si>
  <si>
    <t>V-102045</t>
  </si>
  <si>
    <t>V-102069</t>
  </si>
  <si>
    <t>V-101979</t>
  </si>
  <si>
    <t>V-101982</t>
  </si>
  <si>
    <t>V-101992</t>
  </si>
  <si>
    <t>V-102012</t>
  </si>
  <si>
    <t>V-102019</t>
  </si>
  <si>
    <t>V-102022</t>
  </si>
  <si>
    <t>V-102024</t>
  </si>
  <si>
    <t>V-102038</t>
  </si>
  <si>
    <t>V-102042</t>
  </si>
  <si>
    <t>V-102054</t>
  </si>
  <si>
    <t>V-102074</t>
  </si>
  <si>
    <t>V-101983</t>
  </si>
  <si>
    <t>V-102008</t>
  </si>
  <si>
    <t>V-102027</t>
  </si>
  <si>
    <t>V-102053</t>
  </si>
  <si>
    <t>V-102059</t>
  </si>
  <si>
    <t>V-102072</t>
  </si>
  <si>
    <t>V-102084</t>
  </si>
  <si>
    <t>V-102033</t>
  </si>
  <si>
    <t>V-102044</t>
  </si>
  <si>
    <t>V-102076</t>
  </si>
  <si>
    <t>V-101977</t>
  </si>
  <si>
    <t>V-101980</t>
  </si>
  <si>
    <t>V-102041</t>
  </si>
  <si>
    <t>V-102068</t>
  </si>
  <si>
    <t>V-102075</t>
  </si>
  <si>
    <t>V-102007</t>
  </si>
  <si>
    <t>V-102032</t>
  </si>
  <si>
    <t>V-102073</t>
  </si>
  <si>
    <t>V-102003</t>
  </si>
  <si>
    <t>V-102048</t>
  </si>
  <si>
    <t>V-102083</t>
  </si>
  <si>
    <t>V-101991</t>
  </si>
  <si>
    <t>V-101996</t>
  </si>
  <si>
    <t>V-102025</t>
  </si>
  <si>
    <t>V-102026</t>
  </si>
  <si>
    <t>V-102039</t>
  </si>
  <si>
    <t>V-102043</t>
  </si>
  <si>
    <t>V-102079</t>
  </si>
  <si>
    <t>V-102080</t>
  </si>
  <si>
    <t>V-101989</t>
  </si>
  <si>
    <t>V-102011</t>
  </si>
  <si>
    <t>V-102056</t>
  </si>
  <si>
    <t>V-102063</t>
  </si>
  <si>
    <t>V-102070</t>
  </si>
  <si>
    <t>V-102071</t>
  </si>
  <si>
    <t>V-102082</t>
  </si>
  <si>
    <t>V-102086</t>
  </si>
  <si>
    <t>V-102087</t>
  </si>
  <si>
    <t>V-102028</t>
  </si>
  <si>
    <t>V-102029</t>
  </si>
  <si>
    <t>V-102060</t>
  </si>
  <si>
    <t>V-102062</t>
  </si>
  <si>
    <t>V-101990</t>
  </si>
  <si>
    <t>V-102015</t>
  </si>
  <si>
    <t>V-102016</t>
  </si>
  <si>
    <t>V-101976</t>
  </si>
  <si>
    <t>V-102037</t>
  </si>
  <si>
    <t>V-102067</t>
  </si>
  <si>
    <t>V-101997</t>
  </si>
  <si>
    <t>V-102004</t>
  </si>
  <si>
    <t>V-102013</t>
  </si>
  <si>
    <t>V-102020</t>
  </si>
  <si>
    <t>V-102034</t>
  </si>
  <si>
    <t>V-102050</t>
  </si>
  <si>
    <t>V-102064</t>
  </si>
  <si>
    <t>V-101986</t>
  </si>
  <si>
    <t>V-101987</t>
  </si>
  <si>
    <t>V-101994</t>
  </si>
  <si>
    <t>V-101999</t>
  </si>
  <si>
    <t>V-102000</t>
  </si>
  <si>
    <t>V-102021</t>
  </si>
  <si>
    <t>V-102055</t>
  </si>
  <si>
    <t>V-102058</t>
  </si>
  <si>
    <t>V-102085</t>
  </si>
  <si>
    <t>V-102051</t>
  </si>
  <si>
    <t>V-102047</t>
  </si>
  <si>
    <t>V-102065</t>
  </si>
  <si>
    <t>V-101984</t>
  </si>
  <si>
    <t>V-102052</t>
  </si>
  <si>
    <t>V-101993</t>
  </si>
  <si>
    <t>V-102009</t>
  </si>
  <si>
    <t>V-102036</t>
  </si>
  <si>
    <t>V-102078</t>
  </si>
  <si>
    <t>V-102040</t>
  </si>
  <si>
    <t>V-101988</t>
  </si>
  <si>
    <t>V-102005</t>
  </si>
  <si>
    <t>V-102023</t>
  </si>
  <si>
    <t>V-102030</t>
  </si>
  <si>
    <t>V-102061</t>
  </si>
  <si>
    <t>1 · PARÁMETROS DERIVADOS Y FILTROS ACTIVOS</t>
  </si>
  <si>
    <t>Año en curso (máximo del dataset)</t>
  </si>
  <si>
    <t>Año anterior (comparativo)</t>
  </si>
  <si>
    <t>N — último mes cerrado del año en curso</t>
  </si>
  <si>
    <t>Nombre del mes de cierre</t>
  </si>
  <si>
    <t>Filtro Categoría</t>
  </si>
  <si>
    <t>criterio SUMIFS →</t>
  </si>
  <si>
    <t>Filtro Región</t>
  </si>
  <si>
    <t>Filtro Sucursal</t>
  </si>
  <si>
    <t>2 · KPIs DEL PERÍODO (YTD = enero al mes N)</t>
  </si>
  <si>
    <t>Ventas YTD — año en curso ($)</t>
  </si>
  <si>
    <t>Ventas YTD — año anterior ($)</t>
  </si>
  <si>
    <t>Variación de ventas YTD (%)</t>
  </si>
  <si>
    <t>Margen bruto YTD — año en curso ($)</t>
  </si>
  <si>
    <t>Margen bruto YTD — año anterior ($)</t>
  </si>
  <si>
    <t>Margen % YTD — año en curso</t>
  </si>
  <si>
    <t>Margen % YTD — año anterior</t>
  </si>
  <si>
    <t>Variación de margen (p.p.)</t>
  </si>
  <si>
    <t>Variación de margen bruto $ (%)</t>
  </si>
  <si>
    <t>Objetivo YTD ($)</t>
  </si>
  <si>
    <t>Cumplimiento de objetivo YTD (%)</t>
  </si>
  <si>
    <t>Unidades YTD</t>
  </si>
  <si>
    <t>Operaciones YTD (nº de ventas)</t>
  </si>
  <si>
    <t>Ticket promedio YTD ($)</t>
  </si>
  <si>
    <t>Proyección de cierre del año en curso ($)</t>
  </si>
  <si>
    <t>Objetivo anual del año en curso ($)</t>
  </si>
  <si>
    <t>Cumplimiento proyectado anual (%)</t>
  </si>
  <si>
    <t>3 · EVOLUCIÓN MENSUAL — 18 MESES (alimenta el gráfico 1)</t>
  </si>
  <si>
    <t>Período</t>
  </si>
  <si>
    <t>Ventas ($)</t>
  </si>
  <si>
    <t>Margen bruto ($)</t>
  </si>
  <si>
    <t>Objetivo ($)</t>
  </si>
  <si>
    <t>Cumplimiento %</t>
  </si>
  <si>
    <t>4 · DESEMPEÑO POR CATEGORÍA — YTD (alimenta los gráficos 2 y 3)</t>
  </si>
  <si>
    <t>Ventas YTD año ant.</t>
  </si>
  <si>
    <t>Var. ventas %</t>
  </si>
  <si>
    <t>Margen % actual</t>
  </si>
  <si>
    <t>Margen % año ant.</t>
  </si>
  <si>
    <t>Var. margen (p.p.)</t>
  </si>
  <si>
    <t>Aporte al crecimiento %</t>
  </si>
  <si>
    <t>aux · Margen bruto $ actual</t>
  </si>
  <si>
    <t>aux · Margen bruto $ año ant.</t>
  </si>
  <si>
    <t>aux · Var. ventas (sin ceros)</t>
  </si>
  <si>
    <t>aux · Var. margen (sin ceros)</t>
  </si>
  <si>
    <t>Nota: columnas J y K son auxiliares (margen bruto $ del año en curso y del anterior).</t>
  </si>
  <si>
    <t>5 · DESEMPEÑO POR REGIÓN — YTD (alimenta el gráfico 4)</t>
  </si>
  <si>
    <t>Objetivo YTD</t>
  </si>
  <si>
    <t>Var. ventas vs año ant. %</t>
  </si>
  <si>
    <t>Desvío vs objetivo ($)</t>
  </si>
  <si>
    <t>aux · Margen bruto $</t>
  </si>
  <si>
    <t>aux · Ventas año ant.</t>
  </si>
  <si>
    <t>aux · Cumplimiento (sin ceros)</t>
  </si>
  <si>
    <t>6 · RANKING DE SUCURSALES — YTD (alimenta la tabla del Dashboard)</t>
  </si>
  <si>
    <t>Clave de orden (auxiliar)</t>
  </si>
  <si>
    <t>aux · Objetivo YTD</t>
  </si>
  <si>
    <t>Nota: la clave de orden suma una fracción por fila para desempatar sucursales con ventas idénticas.</t>
  </si>
  <si>
    <t>7 · PROYECCIÓN DEL AÑO EN CURSO (alimenta el gráfico 5)</t>
  </si>
  <si>
    <t>Ventas reales ($)</t>
  </si>
  <si>
    <t>Ventas proyectadas ($)</t>
  </si>
  <si>
    <t>Índice de estacionalidad</t>
  </si>
  <si>
    <t>Base de proyección — promedio de los últimos 3 meses cerrados ($)</t>
  </si>
  <si>
    <t>Ventas totales del año anterior ($) — base del índice estacional</t>
  </si>
  <si>
    <t>8 · TÍTULOS DINÁMICOS DE STORYTELLING (se leen desde el Dashboard)</t>
  </si>
  <si>
    <t>Texto dinámico fila 104</t>
  </si>
  <si>
    <t>Texto dinámico fila 105</t>
  </si>
  <si>
    <t>Texto dinámico fila 106</t>
  </si>
  <si>
    <t>Texto dinámico fila 107</t>
  </si>
  <si>
    <t>Texto dinámico fila 108</t>
  </si>
  <si>
    <t>Texto dinámico fila 109</t>
  </si>
  <si>
    <t>Texto dinámico fila 110</t>
  </si>
  <si>
    <t>9 · AUXILIARES (títulos dinámicos y comparativo de ticket promedio)</t>
  </si>
  <si>
    <t>Categoría con mayor aporte al crecimiento</t>
  </si>
  <si>
    <t>Su aporte al crecimiento (%)</t>
  </si>
  <si>
    <t>Categoría con mayor caída de ventas</t>
  </si>
  <si>
    <t>Su variación de ventas (%)</t>
  </si>
  <si>
    <t>Categoría con mayor caída de margen</t>
  </si>
  <si>
    <t>Su variación de margen (p.p.)</t>
  </si>
  <si>
    <t>Región con menor cumplimiento</t>
  </si>
  <si>
    <t>Su cumplimiento de objetivo (%)</t>
  </si>
  <si>
    <t>Operaciones YTD — año anterior</t>
  </si>
  <si>
    <t>Ticket promedio YTD — año anterior ($)</t>
  </si>
  <si>
    <t>Variación del ticket promedio (%)</t>
  </si>
  <si>
    <t>ANÁLISIS E INTERPRETACIÓN — CONCLUSIONES PROPIAS Y REVISIÓN CON IA</t>
  </si>
  <si>
    <t>ETAPA A · LO QUE OBSERVÉ EN EL DASHBOARD</t>
  </si>
  <si>
    <t>Conclusiones propias, escritas después de mirar los gráficos. Van de lo general a lo particular: empresa → categoría → región.</t>
  </si>
  <si>
    <t>Lo que veo</t>
  </si>
  <si>
    <t>Dónde lo veo en el tablero</t>
  </si>
  <si>
    <t>Las ventas de este año vienen bastante mejor que las del año pasado, pero el margen en porcentaje bajó. Estamos vendiendo más, aunque no con la misma rentabilidad.</t>
  </si>
  <si>
    <t>KPIs de Ventas YTD y Margen %, y el gráfico de evolución: las columnas suben mientras la línea de margen baja.</t>
  </si>
  <si>
    <t>Casi todo el crecimiento viene de Tecnología. Lo llamativo es que justo esa categoría es la que más margen perdió contra el año pasado.</t>
  </si>
  <si>
    <t>Gráfico de ventas por categoría (Tecnología es la barra que más creció) y gráfico de margen % por categoría.</t>
  </si>
  <si>
    <t>Patagonia quedó bastante lejos del objetivo y además tiene el margen más bajo del país. Sus dos sucursales aparecen últimas en el ranking.</t>
  </si>
  <si>
    <t>Gráfico de ventas vs. objetivo por región y tabla de ranking de sucursales.</t>
  </si>
  <si>
    <t>ETAPA B · LO QUE CUESTIONÓ LA IA</t>
  </si>
  <si>
    <t>Le pasé cada conclusión y le pedí que buscara los puntos débiles: si la evidencia alcanza, qué más podría explicar el resultado y qué datos me faltan.</t>
  </si>
  <si>
    <t>Mi conclusión</t>
  </si>
  <si>
    <t>Qué cuestiona la IA</t>
  </si>
  <si>
    <t>Otra explicación posible</t>
  </si>
  <si>
    <t>Qué me faltaría saber</t>
  </si>
  <si>
    <t>Qué haría ahora</t>
  </si>
  <si>
    <t>Vendemos más, pero con menos margen.</t>
  </si>
  <si>
    <t>El margen total es un promedio y puede estar arrastrado por una sola categoría grande. Además son pesos sin ajustar: parte del crecimiento puede ser precio y no volumen.</t>
  </si>
  <si>
    <t>Que los costos de compra hayan subido más rápido que los precios de venta, o que estemos vendiendo más de las categorías que siempre tuvieron poco margen.</t>
  </si>
  <si>
    <t>Cómo evolucionaron los costos, qué descuentos se aplicaron y cuánto creció en unidades y no solo en pesos.</t>
  </si>
  <si>
    <t>Separar cuánto del crecimiento es precio y cuánto es volumen, y mirar el margen categoría por categoría antes de tocar precios.</t>
  </si>
  <si>
    <t>Tecnología crece mucho, pero pierde margen.</t>
  </si>
  <si>
    <t>Que crezca y pierda margen al mismo tiempo no significa que crezca porque bajó el precio. Son dos cosas que pasan juntas, no necesariamente una causa de la otra.</t>
  </si>
  <si>
    <t>Que dentro de Tecnología se estén vendiendo más productos baratos y menos de los caros, o que haya subido el costo de reposición de los importados.</t>
  </si>
  <si>
    <t>El detalle por subcategoría y por producto, y el precio de lista contra el precio que realmente se cobró.</t>
  </si>
  <si>
    <t>Revisar qué productos de Tecnología están creciendo y si son los descuentos o los costos los que están afectando el margen.</t>
  </si>
  <si>
    <t>Patagonia está lejos del objetivo.</t>
  </si>
  <si>
    <t>Antes de decir que el equipo no llegó habría que ver cómo se armó el objetivo. También es la región más chica, así que un desvío en pesos se ve grande en porcentaje.</t>
  </si>
  <si>
    <t>Un objetivo demasiado alto para el tamaño real de ese mercado, costos de logística más altos que comprimen el margen, o faltantes de stock.</t>
  </si>
  <si>
    <t>Con qué criterio se fijó el objetivo y cuánto pesa el costo de envío en esa región.</t>
  </si>
  <si>
    <t>Comparar el objetivo de Patagonia con su venta histórica antes de pedir más volumen, y mirar el margen después de logística.</t>
  </si>
  <si>
    <t>ETAPA C · QUÉ CAMBIÉ EN EL DASHBOARD DESPUÉS DE ESTE ANÁLISIS</t>
  </si>
  <si>
    <t>•  Acorté los títulos de los gráficos. Antes explicaban todo en una línea larga y le sacaban protagonismo al gráfico; ahora dicen la idea y el número lo pone el gráfico.</t>
  </si>
  <si>
    <t>•  Agregué el KPI de variación de margen en puntos porcentuales, porque mirando solo el margen en pesos la caída no se notaba.</t>
  </si>
  <si>
    <t>•  Sumé el gráfico de margen % por categoría: es donde se ve que el problema está concentrado en Tecnología y no repartido en todas.</t>
  </si>
  <si>
    <t>•  Ordené el ranking de sucursales de mayor a menor y marqué en rojo las que no llegan al objetivo, así no hay que buscarlas.</t>
  </si>
  <si>
    <t>•  Anoté abajo del dashboard que los ejes de porcentaje están truncados, para que la caída no parezca más grande de lo que es.</t>
  </si>
  <si>
    <t>LÍMITES DE ESTE ANÁLISIS</t>
  </si>
  <si>
    <t>•  Los datos son inventados para este trabajo. Los patrones existen porque fueron generados así, por lo que ninguna conclusión sirve para una empresa real.</t>
  </si>
  <si>
    <t>•  Trabajo con margen bruto (ventas menos costo de mercadería). No están los gastos de estructura, logística ni comerciales, así que no es la rentabilidad final.</t>
  </si>
  <si>
    <t>•  Los valores son nominales, sin ajuste por inflación: parte del crecimiento en pesos puede ser precio. Por eso el tablero también muestra unidades y ticket promedio.</t>
  </si>
  <si>
    <t>•  El año en curso tiene solo 6 meses cerrados, así que todo se compara contra los mismos 6 meses del año anterior.</t>
  </si>
  <si>
    <t>•  La proyección es una extrapolación simple: supone que se repite la estacionalidad del año pasado y que no cambia nada más. Es un escenario, no un pronóstico.</t>
  </si>
  <si>
    <t>•  La IA se usó para revisar conclusiones que ya había escrito, no para generarlas. Las acciones sugeridas todavía habría que validarlas con las áreas involucradas.</t>
  </si>
  <si>
    <t>CONFIGURACIÓN, PARÁMETROS Y DICCIONARIO DE DATOS</t>
  </si>
  <si>
    <t>PARÁMETROS GENERALES</t>
  </si>
  <si>
    <t>LISTAS AUXILIARES</t>
  </si>
  <si>
    <t>Empresa (ficticia)</t>
  </si>
  <si>
    <t>Retail Andina S.A.</t>
  </si>
  <si>
    <t>Mes abrev.</t>
  </si>
  <si>
    <t>Categorías</t>
  </si>
  <si>
    <t>Regiones</t>
  </si>
  <si>
    <t>Sucursales</t>
  </si>
  <si>
    <t>Región de la sucursal</t>
  </si>
  <si>
    <t>Rubro</t>
  </si>
  <si>
    <t>Retail multicanal — 5 categorías, 5 regiones, 10 sucursales</t>
  </si>
  <si>
    <t>Enero</t>
  </si>
  <si>
    <t>ene</t>
  </si>
  <si>
    <t>Moneda</t>
  </si>
  <si>
    <t>Pesos argentinos ($). Valores sin ajuste por inflación.</t>
  </si>
  <si>
    <t>Febrero</t>
  </si>
  <si>
    <t>feb</t>
  </si>
  <si>
    <t>Origen de los datos</t>
  </si>
  <si>
    <t>Dataset sintético generado para el trabajo académico. No corresponde a una empresa real.</t>
  </si>
  <si>
    <t>Marzo</t>
  </si>
  <si>
    <t>mar</t>
  </si>
  <si>
    <t>Período con datos reales</t>
  </si>
  <si>
    <t>enero 2025 a junio 2026 (18 meses cerrados)</t>
  </si>
  <si>
    <t>Abril</t>
  </si>
  <si>
    <t>abr</t>
  </si>
  <si>
    <t>Año en curso del análisis</t>
  </si>
  <si>
    <t>Se calcula solo: es el año máximo presente en la hoja Datos.</t>
  </si>
  <si>
    <t>Mayo</t>
  </si>
  <si>
    <t>may</t>
  </si>
  <si>
    <t>Corte YTD</t>
  </si>
  <si>
    <t>Enero al último mes con datos del año en curso. Todas las comparaciones usan el mismo corte del año anterior.</t>
  </si>
  <si>
    <t>Junio</t>
  </si>
  <si>
    <t>jun</t>
  </si>
  <si>
    <t>Criterio de proyección</t>
  </si>
  <si>
    <t>Promedio de ventas de los últimos 3 meses cerrados × índice de estacionalidad del mismo mes del año anterior.</t>
  </si>
  <si>
    <t>Julio</t>
  </si>
  <si>
    <t>jul</t>
  </si>
  <si>
    <t>Definición de objetivos</t>
  </si>
  <si>
    <t>Objetivo cargado a nivel Año × Mes × Región × Sucursal × Categoría (tabla inferior). Es un input, no un cálculo.</t>
  </si>
  <si>
    <t>Agosto</t>
  </si>
  <si>
    <t>ago</t>
  </si>
  <si>
    <t>Comportamiento de los filtros</t>
  </si>
  <si>
    <t>Los tres filtros del Dashboard afectan a TODOS los KPIs, gráficos y tablas de forma simultánea.</t>
  </si>
  <si>
    <t>Septiembre</t>
  </si>
  <si>
    <t>sep</t>
  </si>
  <si>
    <t>Margen bruto</t>
  </si>
  <si>
    <t>Facturación − Costo total. No incluye gastos de estructura, logística ni comerciales.</t>
  </si>
  <si>
    <t>Octubre</t>
  </si>
  <si>
    <t>oct</t>
  </si>
  <si>
    <t>Celdas editables</t>
  </si>
  <si>
    <t>Solo las celdas en azul de esta hoja y los desplegables del Dashboard. El resto son fórmulas.</t>
  </si>
  <si>
    <t>Noviembre</t>
  </si>
  <si>
    <t>nov</t>
  </si>
  <si>
    <t>Diciembre</t>
  </si>
  <si>
    <t>dic</t>
  </si>
  <si>
    <t>OBJETIVOS DE VENTA (input de planificación — celdas azules editables)</t>
  </si>
  <si>
    <t>Supuesto: el plan comercial se fija por sucursal y categoría. Ejemplo de fila cargada: 2026 | 1 | AMBA | Sucursal Palermo | Tecnología | $ 5.400.000</t>
  </si>
  <si>
    <t>Objetivo de ventas ($)</t>
  </si>
  <si>
    <t>Pre-entrega Módulo 9 | Período analizado: 2026 | Dataset simulado</t>
  </si>
  <si>
    <t>Trabajé en tres etapas: primero miré el dashboard y anoté lo que me llamó la atención, después le pedí a la IA que cuestionara cada conclusión, y por último ajusté el tablero para que lo importante se viera más rápido. Análisis propio → Auditoría con IA → Refinamiento del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</si>
</sst>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 &quot;#,##0.0,,&quot; M&quot;"/>
    <numFmt numFmtId="165" formatCode="0.0%"/>
    <numFmt numFmtId="166" formatCode="&quot;$ &quot;#,##0"/>
    <numFmt numFmtId="167" formatCode="&quot;▲ &quot;0.0%;&quot;▼ &quot;0.0%;&quot;= &quot;0.0%"/>
    <numFmt numFmtId="168" formatCode="&quot;▲ &quot;0.0&quot; p.p.&quot;;&quot;▼ &quot;0.0&quot; p.p.&quot;;&quot;= &quot;0.0&quot; p.p.&quot;"/>
    <numFmt numFmtId="170" formatCode="dd/mm/yyyy"/>
    <numFmt numFmtId="171" formatCode="0.0"/>
    <numFmt numFmtId="172" formatCode="0.000"/>
  </numFmts>
  <fonts count="22" x14ac:knownFonts="1">
    <font>
      <sz val="10"/>
      <name val="Arial"/>
      <charset val="1"/>
    </font>
    <font>
      <b/>
      <sz val="16"/>
      <color rgb="FFFFFFFF"/>
      <name val="Arial"/>
      <family val="2"/>
    </font>
    <font>
      <sz val="9"/>
      <color rgb="FFFFFFFF"/>
      <name val="Arial"/>
      <family val="2"/>
    </font>
    <font>
      <b/>
      <sz val="8"/>
      <color rgb="FF0E2A47"/>
      <name val="Arial"/>
      <family val="2"/>
    </font>
    <font>
      <b/>
      <sz val="8"/>
      <color rgb="FF6B7280"/>
      <name val="Arial"/>
      <family val="2"/>
    </font>
    <font>
      <b/>
      <sz val="10"/>
      <color rgb="FF0E2A47"/>
      <name val="Arial"/>
      <family val="2"/>
    </font>
    <font>
      <b/>
      <sz val="9"/>
      <color rgb="FFC0392B"/>
      <name val="Arial"/>
      <family val="2"/>
    </font>
    <font>
      <b/>
      <sz val="18"/>
      <color rgb="FF0E2A47"/>
      <name val="Arial"/>
      <family val="2"/>
    </font>
    <font>
      <b/>
      <sz val="10"/>
      <color rgb="FF1F2937"/>
      <name val="Arial"/>
      <family val="2"/>
    </font>
    <font>
      <sz val="8"/>
      <color rgb="FF6B7280"/>
      <name val="Arial"/>
      <family val="2"/>
    </font>
    <font>
      <b/>
      <sz val="9"/>
      <color rgb="FFFFFFFF"/>
      <name val="Arial"/>
      <family val="2"/>
    </font>
    <font>
      <b/>
      <sz val="8"/>
      <color rgb="FFFFFFFF"/>
      <name val="Arial"/>
      <family val="2"/>
    </font>
    <font>
      <sz val="9"/>
      <color rgb="FF6B7280"/>
      <name val="Arial"/>
      <family val="2"/>
    </font>
    <font>
      <sz val="9"/>
      <color rgb="FF1F2937"/>
      <name val="Arial"/>
      <family val="2"/>
    </font>
    <font>
      <b/>
      <sz val="10"/>
      <color rgb="FFFFFFFF"/>
      <name val="Arial"/>
      <family val="2"/>
    </font>
    <font>
      <sz val="11"/>
      <color theme="1"/>
      <name val="Calibri"/>
      <family val="2"/>
      <charset val="1"/>
    </font>
    <font>
      <b/>
      <sz val="11"/>
      <color rgb="FFFFFFFF"/>
      <name val="Arial"/>
      <family val="2"/>
    </font>
    <font>
      <sz val="10"/>
      <color rgb="FF1F2937"/>
      <name val="Arial"/>
      <family val="2"/>
    </font>
    <font>
      <b/>
      <sz val="10"/>
      <color rgb="FF1F6FB2"/>
      <name val="Arial"/>
      <family val="2"/>
    </font>
    <font>
      <b/>
      <sz val="13"/>
      <color rgb="FFFFFFFF"/>
      <name val="Arial"/>
      <family val="2"/>
    </font>
    <font>
      <b/>
      <sz val="9"/>
      <color rgb="FF1F2937"/>
      <name val="Arial"/>
      <family val="2"/>
    </font>
    <font>
      <sz val="10"/>
      <color rgb="FF0000FF"/>
      <name val="Arial"/>
      <family val="2"/>
    </font>
  </fonts>
  <fills count="6">
    <fill>
      <patternFill patternType="none"/>
    </fill>
    <fill>
      <patternFill patternType="gray125"/>
    </fill>
    <fill>
      <patternFill patternType="solid">
        <fgColor rgb="FF0E2A47"/>
        <bgColor rgb="FF1F2937"/>
      </patternFill>
    </fill>
    <fill>
      <patternFill patternType="solid">
        <fgColor rgb="FF1B3A5C"/>
        <bgColor rgb="FF0E2A47"/>
      </patternFill>
    </fill>
    <fill>
      <patternFill patternType="solid">
        <fgColor rgb="FFE8F0F8"/>
        <bgColor rgb="FFEDEFF2"/>
      </patternFill>
    </fill>
    <fill>
      <patternFill patternType="solid">
        <fgColor rgb="FFF5F7FA"/>
        <bgColor rgb="FFEDEFF2"/>
      </patternFill>
    </fill>
  </fills>
  <borders count="4">
    <border>
      <left/>
      <right/>
      <top/>
      <bottom/>
      <diagonal/>
    </border>
    <border>
      <left style="thin">
        <color rgb="FFD9DEE5"/>
      </left>
      <right style="thin">
        <color rgb="FFD9DEE5"/>
      </right>
      <top style="thin">
        <color rgb="FFD9DEE5"/>
      </top>
      <bottom style="medium">
        <color rgb="FF1F6FB2"/>
      </bottom>
      <diagonal/>
    </border>
    <border>
      <left style="thin">
        <color rgb="FFD9DEE5"/>
      </left>
      <right style="thin">
        <color rgb="FFD9DEE5"/>
      </right>
      <top style="thin">
        <color rgb="FFD9DEE5"/>
      </top>
      <bottom style="thin">
        <color rgb="FFD9DEE5"/>
      </bottom>
      <diagonal/>
    </border>
    <border>
      <left/>
      <right/>
      <top/>
      <bottom style="thin">
        <color rgb="FFD9DEE5"/>
      </bottom>
      <diagonal/>
    </border>
  </borders>
  <cellStyleXfs count="1">
    <xf numFmtId="0" fontId="0" fillId="0" borderId="0"/>
  </cellStyleXfs>
  <cellXfs count="72">
    <xf numFmtId="0" fontId="0" fillId="0" borderId="0" xfId="0"/>
    <xf numFmtId="0" fontId="9" fillId="0" borderId="0" xfId="0" applyFont="1" applyAlignment="1">
      <alignment vertical="top" wrapText="1"/>
    </xf>
    <xf numFmtId="0" fontId="5" fillId="0" borderId="0" xfId="0" applyFont="1" applyAlignment="1">
      <alignment vertical="center" wrapText="1"/>
    </xf>
    <xf numFmtId="0" fontId="10" fillId="3" borderId="0" xfId="0" applyFont="1" applyFill="1" applyAlignment="1">
      <alignment vertical="center" indent="1"/>
    </xf>
    <xf numFmtId="0" fontId="9" fillId="5" borderId="2" xfId="0" applyFont="1" applyFill="1" applyBorder="1" applyAlignment="1">
      <alignment vertical="center" indent="1"/>
    </xf>
    <xf numFmtId="168" fontId="8" fillId="5" borderId="2" xfId="0" applyNumberFormat="1" applyFont="1" applyFill="1" applyBorder="1" applyAlignment="1">
      <alignment vertical="center" indent="1"/>
    </xf>
    <xf numFmtId="167" fontId="8" fillId="5" borderId="2" xfId="0" applyNumberFormat="1" applyFont="1" applyFill="1" applyBorder="1" applyAlignment="1">
      <alignment vertical="center" indent="1"/>
    </xf>
    <xf numFmtId="166" fontId="7" fillId="5" borderId="2" xfId="0" applyNumberFormat="1" applyFont="1" applyFill="1" applyBorder="1" applyAlignment="1">
      <alignment vertical="center" indent="1"/>
    </xf>
    <xf numFmtId="165" fontId="7" fillId="5" borderId="2" xfId="0" applyNumberFormat="1" applyFont="1" applyFill="1" applyBorder="1" applyAlignment="1">
      <alignment vertical="center" indent="1"/>
    </xf>
    <xf numFmtId="164" fontId="7" fillId="5" borderId="2" xfId="0" applyNumberFormat="1" applyFont="1" applyFill="1" applyBorder="1" applyAlignment="1">
      <alignment vertical="center" indent="1"/>
    </xf>
    <xf numFmtId="0" fontId="4" fillId="5" borderId="2" xfId="0" applyFont="1" applyFill="1" applyBorder="1" applyAlignment="1">
      <alignment vertical="center" indent="1"/>
    </xf>
    <xf numFmtId="0" fontId="6" fillId="0" borderId="0" xfId="0" applyFont="1" applyAlignment="1">
      <alignment horizontal="right" vertical="center"/>
    </xf>
    <xf numFmtId="0" fontId="5" fillId="4" borderId="1" xfId="0" applyFont="1" applyFill="1" applyBorder="1" applyAlignment="1">
      <alignment horizontal="lef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3" fillId="0" borderId="0" xfId="0" applyFont="1"/>
    <xf numFmtId="0" fontId="4" fillId="0" borderId="0" xfId="0" applyFont="1"/>
    <xf numFmtId="0" fontId="11" fillId="3" borderId="0" xfId="0" applyFont="1" applyFill="1" applyAlignment="1">
      <alignment horizontal="center"/>
    </xf>
    <xf numFmtId="0" fontId="11" fillId="3" borderId="0" xfId="0" applyFont="1" applyFill="1" applyAlignment="1">
      <alignment horizontal="center" wrapText="1"/>
    </xf>
    <xf numFmtId="0" fontId="12" fillId="0" borderId="3" xfId="0" applyFont="1" applyBorder="1" applyAlignment="1">
      <alignment horizontal="center"/>
    </xf>
    <xf numFmtId="164" fontId="13" fillId="0" borderId="3" xfId="0" applyNumberFormat="1" applyFont="1" applyBorder="1"/>
    <xf numFmtId="165" fontId="13" fillId="0" borderId="3" xfId="0" applyNumberFormat="1" applyFont="1" applyBorder="1"/>
    <xf numFmtId="0" fontId="14" fillId="2" borderId="0" xfId="0" applyFont="1" applyFill="1" applyAlignment="1">
      <alignment horizontal="center" vertical="center"/>
    </xf>
    <xf numFmtId="170" fontId="15" fillId="0" borderId="0" xfId="0" applyNumberFormat="1" applyFont="1"/>
    <xf numFmtId="3" fontId="15" fillId="0" borderId="0" xfId="0" applyNumberFormat="1" applyFont="1"/>
    <xf numFmtId="166" fontId="15" fillId="0" borderId="0" xfId="0" applyNumberFormat="1" applyFont="1"/>
    <xf numFmtId="165" fontId="15" fillId="0" borderId="0" xfId="0" applyNumberFormat="1" applyFont="1"/>
    <xf numFmtId="0" fontId="17" fillId="0" borderId="0" xfId="0" applyFont="1"/>
    <xf numFmtId="1" fontId="18" fillId="0" borderId="0" xfId="0" applyNumberFormat="1" applyFont="1"/>
    <xf numFmtId="0" fontId="18" fillId="0" borderId="0" xfId="0" applyFont="1"/>
    <xf numFmtId="0" fontId="12" fillId="0" borderId="0" xfId="0" applyFont="1" applyAlignment="1">
      <alignment vertical="center"/>
    </xf>
    <xf numFmtId="166" fontId="8" fillId="0" borderId="0" xfId="0" applyNumberFormat="1" applyFont="1"/>
    <xf numFmtId="165" fontId="8" fillId="0" borderId="0" xfId="0" applyNumberFormat="1" applyFont="1"/>
    <xf numFmtId="171" fontId="8" fillId="0" borderId="0" xfId="0" applyNumberFormat="1" applyFont="1"/>
    <xf numFmtId="3" fontId="8" fillId="0" borderId="0" xfId="0" applyNumberFormat="1" applyFont="1"/>
    <xf numFmtId="0" fontId="10" fillId="3" borderId="0" xfId="0" applyFont="1" applyFill="1" applyAlignment="1">
      <alignment horizontal="center" vertical="center" wrapText="1"/>
    </xf>
    <xf numFmtId="1" fontId="15" fillId="0" borderId="0" xfId="0" applyNumberFormat="1" applyFont="1"/>
    <xf numFmtId="171" fontId="15" fillId="0" borderId="0" xfId="0" applyNumberFormat="1" applyFont="1"/>
    <xf numFmtId="0" fontId="12" fillId="0" borderId="0" xfId="0" applyFont="1"/>
    <xf numFmtId="172" fontId="15" fillId="0" borderId="0" xfId="0" applyNumberFormat="1" applyFont="1"/>
    <xf numFmtId="0" fontId="13" fillId="0" borderId="0" xfId="0" applyFont="1"/>
    <xf numFmtId="165" fontId="18" fillId="0" borderId="0" xfId="0" applyNumberFormat="1" applyFont="1"/>
    <xf numFmtId="171" fontId="18" fillId="0" borderId="0" xfId="0" applyNumberFormat="1" applyFont="1"/>
    <xf numFmtId="3" fontId="18" fillId="0" borderId="0" xfId="0" applyNumberFormat="1" applyFont="1"/>
    <xf numFmtId="166" fontId="18" fillId="0" borderId="0" xfId="0" applyNumberFormat="1" applyFont="1"/>
    <xf numFmtId="0" fontId="10" fillId="2" borderId="0" xfId="0" applyFont="1" applyFill="1" applyAlignment="1">
      <alignment horizontal="left" vertical="center" wrapText="1" indent="1"/>
    </xf>
    <xf numFmtId="0" fontId="18" fillId="0" borderId="3" xfId="0" applyFont="1" applyBorder="1" applyAlignment="1">
      <alignment horizontal="center" vertical="top"/>
    </xf>
    <xf numFmtId="0" fontId="13" fillId="0" borderId="3" xfId="0" applyFont="1" applyBorder="1" applyAlignment="1">
      <alignment vertical="top" wrapText="1" indent="1"/>
    </xf>
    <xf numFmtId="0" fontId="18" fillId="5" borderId="3" xfId="0" applyFont="1" applyFill="1" applyBorder="1" applyAlignment="1">
      <alignment horizontal="center" vertical="top"/>
    </xf>
    <xf numFmtId="0" fontId="13" fillId="5" borderId="3" xfId="0" applyFont="1" applyFill="1" applyBorder="1" applyAlignment="1">
      <alignment vertical="top" wrapText="1" indent="1"/>
    </xf>
    <xf numFmtId="0" fontId="20" fillId="0" borderId="3" xfId="0" applyFont="1" applyBorder="1" applyAlignment="1">
      <alignment vertical="top" wrapText="1" indent="1"/>
    </xf>
    <xf numFmtId="0" fontId="20" fillId="5" borderId="3" xfId="0" applyFont="1" applyFill="1" applyBorder="1" applyAlignment="1">
      <alignment vertical="top" wrapText="1" indent="1"/>
    </xf>
    <xf numFmtId="0" fontId="5" fillId="0" borderId="0" xfId="0" applyFont="1"/>
    <xf numFmtId="0" fontId="8" fillId="0" borderId="0" xfId="0" applyFont="1" applyAlignment="1">
      <alignment vertical="top"/>
    </xf>
    <xf numFmtId="0" fontId="10" fillId="3" borderId="0" xfId="0" applyFont="1" applyFill="1" applyAlignment="1">
      <alignment horizontal="center" wrapText="1"/>
    </xf>
    <xf numFmtId="0" fontId="14" fillId="2" borderId="0" xfId="0" applyFont="1" applyFill="1" applyAlignment="1">
      <alignment horizontal="center"/>
    </xf>
    <xf numFmtId="166" fontId="21" fillId="0" borderId="0" xfId="0" applyNumberFormat="1" applyFont="1"/>
    <xf numFmtId="0" fontId="11" fillId="3" borderId="0" xfId="0" applyFont="1" applyFill="1" applyAlignment="1">
      <alignment horizontal="left" indent="1"/>
    </xf>
    <xf numFmtId="0" fontId="13" fillId="0" borderId="3" xfId="0" applyFont="1" applyBorder="1" applyAlignment="1">
      <alignment horizontal="left" indent="1"/>
    </xf>
    <xf numFmtId="0" fontId="9" fillId="0" borderId="0" xfId="0" applyFont="1" applyAlignment="1">
      <alignment vertical="center"/>
    </xf>
    <xf numFmtId="0" fontId="16" fillId="2" borderId="0" xfId="0" applyFont="1" applyFill="1" applyAlignment="1">
      <alignment vertical="center" indent="1"/>
    </xf>
    <xf numFmtId="0" fontId="19" fillId="2" borderId="0" xfId="0" applyFont="1" applyFill="1" applyAlignment="1">
      <alignment vertical="center" indent="1"/>
    </xf>
    <xf numFmtId="0" fontId="12" fillId="0" borderId="0" xfId="0" applyFont="1" applyAlignment="1">
      <alignment vertical="center" indent="1"/>
    </xf>
    <xf numFmtId="0" fontId="14" fillId="3" borderId="0" xfId="0" applyFont="1" applyFill="1" applyAlignment="1">
      <alignment vertical="center" indent="1"/>
    </xf>
    <xf numFmtId="0" fontId="10" fillId="2" borderId="0" xfId="0" applyFont="1" applyFill="1" applyAlignment="1">
      <alignment horizontal="left" vertical="center" wrapText="1" indent="1"/>
    </xf>
    <xf numFmtId="0" fontId="13" fillId="0" borderId="3" xfId="0" applyFont="1" applyBorder="1" applyAlignment="1">
      <alignment vertical="top" wrapText="1" indent="1"/>
    </xf>
    <xf numFmtId="0" fontId="12" fillId="0" borderId="3" xfId="0" applyFont="1" applyBorder="1" applyAlignment="1">
      <alignment vertical="top" wrapText="1" indent="1"/>
    </xf>
    <xf numFmtId="0" fontId="13" fillId="5" borderId="3" xfId="0" applyFont="1" applyFill="1" applyBorder="1" applyAlignment="1">
      <alignment vertical="top" wrapText="1" indent="1"/>
    </xf>
    <xf numFmtId="0" fontId="12" fillId="5" borderId="3" xfId="0" applyFont="1" applyFill="1" applyBorder="1" applyAlignment="1">
      <alignment vertical="top" wrapText="1" indent="1"/>
    </xf>
    <xf numFmtId="0" fontId="13" fillId="0" borderId="0" xfId="0" applyFont="1" applyAlignment="1">
      <alignment vertical="center" wrapText="1" indent="1"/>
    </xf>
    <xf numFmtId="0" fontId="17" fillId="0" borderId="0" xfId="0" applyFont="1" applyAlignment="1">
      <alignment vertical="top" wrapText="1"/>
    </xf>
    <xf numFmtId="0" fontId="16" fillId="3" borderId="0" xfId="0" applyFont="1" applyFill="1" applyAlignment="1">
      <alignment vertical="center" indent="1"/>
    </xf>
  </cellXfs>
  <cellStyles count="1">
    <cellStyle name="Normal" xfId="0" builtinId="0"/>
  </cellStyles>
  <dxfs count="4">
    <dxf>
      <font>
        <b/>
        <sz val="9"/>
        <color rgb="FFC0392B"/>
        <name val="Arial"/>
        <charset val="1"/>
      </font>
    </dxf>
    <dxf>
      <font>
        <b/>
        <sz val="9"/>
        <color rgb="FF2E8B57"/>
        <name val="Arial"/>
        <charset val="1"/>
      </font>
    </dxf>
    <dxf>
      <font>
        <b/>
        <sz val="9"/>
        <color rgb="FF2E8B57"/>
        <name val="Arial"/>
        <charset val="1"/>
      </font>
    </dxf>
    <dxf>
      <font>
        <b/>
        <sz val="18"/>
        <color rgb="FFC0392B"/>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5F7FA"/>
      <rgbColor rgb="FFE8F0F8"/>
      <rgbColor rgb="FF660066"/>
      <rgbColor rgb="FFFF8080"/>
      <rgbColor rgb="FF1F6FB2"/>
      <rgbColor rgb="FFC6D3DE"/>
      <rgbColor rgb="FF000080"/>
      <rgbColor rgb="FFFF00FF"/>
      <rgbColor rgb="FFFFFF00"/>
      <rgbColor rgb="FF00FFFF"/>
      <rgbColor rgb="FF800080"/>
      <rgbColor rgb="FF800000"/>
      <rgbColor rgb="FF008080"/>
      <rgbColor rgb="FF0000FF"/>
      <rgbColor rgb="FF00CCFF"/>
      <rgbColor rgb="FFEDEFF2"/>
      <rgbColor rgb="FFD9DEE5"/>
      <rgbColor rgb="FFD8DDE3"/>
      <rgbColor rgb="FFA9CBE6"/>
      <rgbColor rgb="FFFF99CC"/>
      <rgbColor rgb="FFCC99FF"/>
      <rgbColor rgb="FFE7D3B8"/>
      <rgbColor rgb="FF3366FF"/>
      <rgbColor rgb="FF33CCCC"/>
      <rgbColor rgb="FF99CC00"/>
      <rgbColor rgb="FFFFCC00"/>
      <rgbColor rgb="FFE08E30"/>
      <rgbColor rgb="FFFF6600"/>
      <rgbColor rgb="FF6B7280"/>
      <rgbColor rgb="FF969696"/>
      <rgbColor rgb="FF0E2A47"/>
      <rgbColor rgb="FF2E8B57"/>
      <rgbColor rgb="FF003300"/>
      <rgbColor rgb="FF333300"/>
      <rgbColor rgb="FFC0392B"/>
      <rgbColor rgb="FF993366"/>
      <rgbColor rgb="FF1B3A5C"/>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0"/>
        <c:ser>
          <c:idx val="0"/>
          <c:order val="0"/>
          <c:tx>
            <c:strRef>
              <c:f>Cálculos!$E$31</c:f>
              <c:strCache>
                <c:ptCount val="1"/>
                <c:pt idx="0">
                  <c:v>Ventas ($)</c:v>
                </c:pt>
              </c:strCache>
            </c:strRef>
          </c:tx>
          <c:spPr>
            <a:solidFill>
              <a:srgbClr val="1F6FB2"/>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Cálculos!$D$32:$D$49</c:f>
              <c:strCache>
                <c:ptCount val="18"/>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2">
                  <c:v>ene-26</c:v>
                </c:pt>
                <c:pt idx="13">
                  <c:v>feb-26</c:v>
                </c:pt>
                <c:pt idx="14">
                  <c:v>mar-26</c:v>
                </c:pt>
                <c:pt idx="15">
                  <c:v>abr-26</c:v>
                </c:pt>
                <c:pt idx="16">
                  <c:v>may-26</c:v>
                </c:pt>
                <c:pt idx="17">
                  <c:v>jun-26</c:v>
                </c:pt>
              </c:strCache>
            </c:strRef>
          </c:cat>
          <c:val>
            <c:numRef>
              <c:f>Cálculos!$E$32:$E$49</c:f>
              <c:numCache>
                <c:formatCode>"$ "#,##0</c:formatCode>
                <c:ptCount val="18"/>
                <c:pt idx="0">
                  <c:v>40141722.529999994</c:v>
                </c:pt>
                <c:pt idx="1">
                  <c:v>38958355.169999979</c:v>
                </c:pt>
                <c:pt idx="2">
                  <c:v>46545185.300000004</c:v>
                </c:pt>
                <c:pt idx="3">
                  <c:v>45970046.729999997</c:v>
                </c:pt>
                <c:pt idx="4">
                  <c:v>50093019.020000003</c:v>
                </c:pt>
                <c:pt idx="5">
                  <c:v>57064336.589999989</c:v>
                </c:pt>
                <c:pt idx="6">
                  <c:v>55403382.07</c:v>
                </c:pt>
                <c:pt idx="7">
                  <c:v>47189516.519999981</c:v>
                </c:pt>
                <c:pt idx="8">
                  <c:v>48017663.230000004</c:v>
                </c:pt>
                <c:pt idx="9">
                  <c:v>50818732.430000022</c:v>
                </c:pt>
                <c:pt idx="10">
                  <c:v>53634855.719999999</c:v>
                </c:pt>
                <c:pt idx="11">
                  <c:v>77250515.510000005</c:v>
                </c:pt>
                <c:pt idx="12">
                  <c:v>45463782.949999988</c:v>
                </c:pt>
                <c:pt idx="13">
                  <c:v>44785024.029999971</c:v>
                </c:pt>
                <c:pt idx="14">
                  <c:v>51644167.150000021</c:v>
                </c:pt>
                <c:pt idx="15">
                  <c:v>49979880.410000019</c:v>
                </c:pt>
                <c:pt idx="16">
                  <c:v>57345670.140000001</c:v>
                </c:pt>
                <c:pt idx="17">
                  <c:v>60519491.879999988</c:v>
                </c:pt>
              </c:numCache>
            </c:numRef>
          </c:val>
          <c:extLst>
            <c:ext xmlns:c16="http://schemas.microsoft.com/office/drawing/2014/chart" uri="{C3380CC4-5D6E-409C-BE32-E72D297353CC}">
              <c16:uniqueId val="{00000000-40C2-5B4E-8D6F-FF863F8D719C}"/>
            </c:ext>
          </c:extLst>
        </c:ser>
        <c:dLbls>
          <c:showLegendKey val="0"/>
          <c:showVal val="0"/>
          <c:showCatName val="0"/>
          <c:showSerName val="0"/>
          <c:showPercent val="0"/>
          <c:showBubbleSize val="0"/>
        </c:dLbls>
        <c:gapWidth val="45"/>
        <c:axId val="49099516"/>
        <c:axId val="86178405"/>
      </c:barChart>
      <c:lineChart>
        <c:grouping val="standard"/>
        <c:varyColors val="0"/>
        <c:ser>
          <c:idx val="1"/>
          <c:order val="1"/>
          <c:tx>
            <c:strRef>
              <c:f>Cálculos!$G$31</c:f>
              <c:strCache>
                <c:ptCount val="1"/>
                <c:pt idx="0">
                  <c:v>Margen %</c:v>
                </c:pt>
              </c:strCache>
            </c:strRef>
          </c:tx>
          <c:spPr>
            <a:ln w="24120">
              <a:solidFill>
                <a:srgbClr val="E08E30"/>
              </a:solidFill>
              <a:round/>
            </a:ln>
          </c:spPr>
          <c:marker>
            <c:symbol val="circle"/>
            <c:size val="5"/>
            <c:spPr>
              <a:solidFill>
                <a:srgbClr val="E08E30"/>
              </a:solidFill>
            </c:spPr>
          </c:marker>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Cálculos!$D$32:$D$49</c:f>
              <c:strCache>
                <c:ptCount val="18"/>
                <c:pt idx="0">
                  <c:v>ene-25</c:v>
                </c:pt>
                <c:pt idx="1">
                  <c:v>feb-25</c:v>
                </c:pt>
                <c:pt idx="2">
                  <c:v>mar-25</c:v>
                </c:pt>
                <c:pt idx="3">
                  <c:v>abr-25</c:v>
                </c:pt>
                <c:pt idx="4">
                  <c:v>may-25</c:v>
                </c:pt>
                <c:pt idx="5">
                  <c:v>jun-25</c:v>
                </c:pt>
                <c:pt idx="6">
                  <c:v>jul-25</c:v>
                </c:pt>
                <c:pt idx="7">
                  <c:v>ago-25</c:v>
                </c:pt>
                <c:pt idx="8">
                  <c:v>sep-25</c:v>
                </c:pt>
                <c:pt idx="9">
                  <c:v>oct-25</c:v>
                </c:pt>
                <c:pt idx="10">
                  <c:v>nov-25</c:v>
                </c:pt>
                <c:pt idx="11">
                  <c:v>dic-25</c:v>
                </c:pt>
                <c:pt idx="12">
                  <c:v>ene-26</c:v>
                </c:pt>
                <c:pt idx="13">
                  <c:v>feb-26</c:v>
                </c:pt>
                <c:pt idx="14">
                  <c:v>mar-26</c:v>
                </c:pt>
                <c:pt idx="15">
                  <c:v>abr-26</c:v>
                </c:pt>
                <c:pt idx="16">
                  <c:v>may-26</c:v>
                </c:pt>
                <c:pt idx="17">
                  <c:v>jun-26</c:v>
                </c:pt>
              </c:strCache>
            </c:strRef>
          </c:cat>
          <c:val>
            <c:numRef>
              <c:f>Cálculos!$G$32:$G$49</c:f>
              <c:numCache>
                <c:formatCode>0.0%</c:formatCode>
                <c:ptCount val="18"/>
                <c:pt idx="0">
                  <c:v>0.30950599642839993</c:v>
                </c:pt>
                <c:pt idx="1">
                  <c:v>0.30567895482328716</c:v>
                </c:pt>
                <c:pt idx="2">
                  <c:v>0.30306445616406213</c:v>
                </c:pt>
                <c:pt idx="3">
                  <c:v>0.30044019774699932</c:v>
                </c:pt>
                <c:pt idx="4">
                  <c:v>0.30424597994213676</c:v>
                </c:pt>
                <c:pt idx="5">
                  <c:v>0.30278358976012054</c:v>
                </c:pt>
                <c:pt idx="6">
                  <c:v>0.30160086885829351</c:v>
                </c:pt>
                <c:pt idx="7">
                  <c:v>0.29425653395102852</c:v>
                </c:pt>
                <c:pt idx="8">
                  <c:v>0.29317073391453319</c:v>
                </c:pt>
                <c:pt idx="9">
                  <c:v>0.28943300288452301</c:v>
                </c:pt>
                <c:pt idx="10">
                  <c:v>0.28893939103524452</c:v>
                </c:pt>
                <c:pt idx="11">
                  <c:v>0.28906822501539581</c:v>
                </c:pt>
                <c:pt idx="12">
                  <c:v>0.28291682621628395</c:v>
                </c:pt>
                <c:pt idx="13">
                  <c:v>0.27996268800930257</c:v>
                </c:pt>
                <c:pt idx="14">
                  <c:v>0.27650024190582762</c:v>
                </c:pt>
                <c:pt idx="15">
                  <c:v>0.2773052409550571</c:v>
                </c:pt>
                <c:pt idx="16">
                  <c:v>0.27880425062550318</c:v>
                </c:pt>
                <c:pt idx="17">
                  <c:v>0.28089265048204831</c:v>
                </c:pt>
              </c:numCache>
            </c:numRef>
          </c:val>
          <c:smooth val="0"/>
          <c:extLst>
            <c:ext xmlns:c16="http://schemas.microsoft.com/office/drawing/2014/chart" uri="{C3380CC4-5D6E-409C-BE32-E72D297353CC}">
              <c16:uniqueId val="{00000001-40C2-5B4E-8D6F-FF863F8D719C}"/>
            </c:ext>
          </c:extLst>
        </c:ser>
        <c:dLbls>
          <c:showLegendKey val="0"/>
          <c:showVal val="0"/>
          <c:showCatName val="0"/>
          <c:showSerName val="0"/>
          <c:showPercent val="0"/>
          <c:showBubbleSize val="0"/>
        </c:dLbls>
        <c:hiLowLines>
          <c:spPr>
            <a:ln w="0">
              <a:noFill/>
            </a:ln>
          </c:spPr>
        </c:hiLowLines>
        <c:marker val="1"/>
        <c:smooth val="0"/>
        <c:axId val="44839576"/>
        <c:axId val="37153585"/>
      </c:lineChart>
      <c:catAx>
        <c:axId val="49099516"/>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86178405"/>
        <c:crosses val="autoZero"/>
        <c:auto val="1"/>
        <c:lblAlgn val="ctr"/>
        <c:lblOffset val="100"/>
        <c:noMultiLvlLbl val="0"/>
      </c:catAx>
      <c:valAx>
        <c:axId val="86178405"/>
        <c:scaling>
          <c:orientation val="minMax"/>
        </c:scaling>
        <c:delete val="0"/>
        <c:axPos val="l"/>
        <c:majorGridlines>
          <c:spPr>
            <a:ln w="6480">
              <a:solidFill>
                <a:srgbClr val="EDEFF2"/>
              </a:solidFill>
              <a:round/>
            </a:ln>
          </c:spPr>
        </c:majorGridlines>
        <c:numFmt formatCode="#,##0,,&quot; M&quot;"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s-US"/>
          </a:p>
        </c:txPr>
        <c:crossAx val="49099516"/>
        <c:crosses val="autoZero"/>
        <c:crossBetween val="between"/>
      </c:valAx>
      <c:catAx>
        <c:axId val="44839576"/>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37153585"/>
        <c:crosses val="autoZero"/>
        <c:auto val="1"/>
        <c:lblAlgn val="ctr"/>
        <c:lblOffset val="100"/>
        <c:noMultiLvlLbl val="0"/>
      </c:catAx>
      <c:valAx>
        <c:axId val="37153585"/>
        <c:scaling>
          <c:orientation val="minMax"/>
          <c:max val="0.35"/>
          <c:min val="0.2"/>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US"/>
          </a:p>
        </c:txPr>
        <c:crossAx val="44839576"/>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0"/>
        <c:ser>
          <c:idx val="0"/>
          <c:order val="0"/>
          <c:tx>
            <c:strRef>
              <c:f>Cálculos!$C$52</c:f>
              <c:strCache>
                <c:ptCount val="1"/>
                <c:pt idx="0">
                  <c:v>Ventas YTD</c:v>
                </c:pt>
              </c:strCache>
            </c:strRef>
          </c:tx>
          <c:spPr>
            <a:solidFill>
              <a:srgbClr val="1F6FB2"/>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Cálculos!$B$53:$B$57</c:f>
              <c:strCache>
                <c:ptCount val="5"/>
                <c:pt idx="0">
                  <c:v>Tecnología</c:v>
                </c:pt>
                <c:pt idx="1">
                  <c:v>Alimentos</c:v>
                </c:pt>
                <c:pt idx="2">
                  <c:v>Hogar</c:v>
                </c:pt>
                <c:pt idx="3">
                  <c:v>Indumentaria</c:v>
                </c:pt>
                <c:pt idx="4">
                  <c:v>Deportes</c:v>
                </c:pt>
              </c:strCache>
            </c:strRef>
          </c:cat>
          <c:val>
            <c:numRef>
              <c:f>Cálculos!$C$53:$C$57</c:f>
              <c:numCache>
                <c:formatCode>"$ "#,##0</c:formatCode>
                <c:ptCount val="5"/>
                <c:pt idx="0">
                  <c:v>110452696.22</c:v>
                </c:pt>
                <c:pt idx="1">
                  <c:v>69686783.219999999</c:v>
                </c:pt>
                <c:pt idx="2">
                  <c:v>52063658.620000012</c:v>
                </c:pt>
                <c:pt idx="3">
                  <c:v>49151353.269999996</c:v>
                </c:pt>
                <c:pt idx="4">
                  <c:v>28383525.229999997</c:v>
                </c:pt>
              </c:numCache>
            </c:numRef>
          </c:val>
          <c:extLst>
            <c:ext xmlns:c16="http://schemas.microsoft.com/office/drawing/2014/chart" uri="{C3380CC4-5D6E-409C-BE32-E72D297353CC}">
              <c16:uniqueId val="{00000000-7C0E-F741-90E4-CCBD522F209D}"/>
            </c:ext>
          </c:extLst>
        </c:ser>
        <c:ser>
          <c:idx val="1"/>
          <c:order val="1"/>
          <c:tx>
            <c:strRef>
              <c:f>Cálculos!$D$52</c:f>
              <c:strCache>
                <c:ptCount val="1"/>
                <c:pt idx="0">
                  <c:v>Ventas YTD año ant.</c:v>
                </c:pt>
              </c:strCache>
            </c:strRef>
          </c:tx>
          <c:spPr>
            <a:solidFill>
              <a:srgbClr val="C6D3DE"/>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Cálculos!$B$53:$B$57</c:f>
              <c:strCache>
                <c:ptCount val="5"/>
                <c:pt idx="0">
                  <c:v>Tecnología</c:v>
                </c:pt>
                <c:pt idx="1">
                  <c:v>Alimentos</c:v>
                </c:pt>
                <c:pt idx="2">
                  <c:v>Hogar</c:v>
                </c:pt>
                <c:pt idx="3">
                  <c:v>Indumentaria</c:v>
                </c:pt>
                <c:pt idx="4">
                  <c:v>Deportes</c:v>
                </c:pt>
              </c:strCache>
            </c:strRef>
          </c:cat>
          <c:val>
            <c:numRef>
              <c:f>Cálculos!$D$53:$D$57</c:f>
              <c:numCache>
                <c:formatCode>"$ "#,##0</c:formatCode>
                <c:ptCount val="5"/>
                <c:pt idx="0">
                  <c:v>88958244.990000024</c:v>
                </c:pt>
                <c:pt idx="1">
                  <c:v>64214716.579999998</c:v>
                </c:pt>
                <c:pt idx="2">
                  <c:v>54938153.679999962</c:v>
                </c:pt>
                <c:pt idx="3">
                  <c:v>47092913.619999997</c:v>
                </c:pt>
                <c:pt idx="4">
                  <c:v>23568636.47000001</c:v>
                </c:pt>
              </c:numCache>
            </c:numRef>
          </c:val>
          <c:extLst>
            <c:ext xmlns:c16="http://schemas.microsoft.com/office/drawing/2014/chart" uri="{C3380CC4-5D6E-409C-BE32-E72D297353CC}">
              <c16:uniqueId val="{00000001-7C0E-F741-90E4-CCBD522F209D}"/>
            </c:ext>
          </c:extLst>
        </c:ser>
        <c:dLbls>
          <c:showLegendKey val="0"/>
          <c:showVal val="0"/>
          <c:showCatName val="0"/>
          <c:showSerName val="0"/>
          <c:showPercent val="0"/>
          <c:showBubbleSize val="0"/>
        </c:dLbls>
        <c:gapWidth val="60"/>
        <c:overlap val="-20"/>
        <c:axId val="15341144"/>
        <c:axId val="30089362"/>
      </c:barChart>
      <c:catAx>
        <c:axId val="15341144"/>
        <c:scaling>
          <c:orientation val="maxMin"/>
        </c:scaling>
        <c:delete val="0"/>
        <c:axPos val="l"/>
        <c:numFmt formatCode="#,##0,,&quot; M&quot;" sourceLinked="0"/>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30089362"/>
        <c:crosses val="autoZero"/>
        <c:auto val="1"/>
        <c:lblAlgn val="ctr"/>
        <c:lblOffset val="100"/>
        <c:noMultiLvlLbl val="0"/>
      </c:catAx>
      <c:valAx>
        <c:axId val="30089362"/>
        <c:scaling>
          <c:orientation val="minMax"/>
        </c:scaling>
        <c:delete val="0"/>
        <c:axPos val="t"/>
        <c:majorGridlines>
          <c:spPr>
            <a:ln w="6480">
              <a:solidFill>
                <a:srgbClr val="EDEFF2"/>
              </a:solidFill>
              <a:round/>
            </a:ln>
          </c:spPr>
        </c:majorGridlines>
        <c:numFmt formatCode="#,##0,,&quot; M&quot;"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s-US"/>
          </a:p>
        </c:txPr>
        <c:crossAx val="1534114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0"/>
        <c:ser>
          <c:idx val="0"/>
          <c:order val="0"/>
          <c:tx>
            <c:strRef>
              <c:f>Cálculos!$F$52</c:f>
              <c:strCache>
                <c:ptCount val="1"/>
                <c:pt idx="0">
                  <c:v>Margen % actual</c:v>
                </c:pt>
              </c:strCache>
            </c:strRef>
          </c:tx>
          <c:spPr>
            <a:solidFill>
              <a:srgbClr val="E08E30"/>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Cálculos!$B$53:$B$57</c:f>
              <c:strCache>
                <c:ptCount val="5"/>
                <c:pt idx="0">
                  <c:v>Tecnología</c:v>
                </c:pt>
                <c:pt idx="1">
                  <c:v>Alimentos</c:v>
                </c:pt>
                <c:pt idx="2">
                  <c:v>Hogar</c:v>
                </c:pt>
                <c:pt idx="3">
                  <c:v>Indumentaria</c:v>
                </c:pt>
                <c:pt idx="4">
                  <c:v>Deportes</c:v>
                </c:pt>
              </c:strCache>
            </c:strRef>
          </c:cat>
          <c:val>
            <c:numRef>
              <c:f>Cálculos!$F$53:$F$57</c:f>
              <c:numCache>
                <c:formatCode>0.0%</c:formatCode>
                <c:ptCount val="5"/>
                <c:pt idx="0">
                  <c:v>0.21395869859916397</c:v>
                </c:pt>
                <c:pt idx="1">
                  <c:v>0.1799762323711403</c:v>
                </c:pt>
                <c:pt idx="2">
                  <c:v>0.31525990383808317</c:v>
                </c:pt>
                <c:pt idx="3">
                  <c:v>0.44778292103370199</c:v>
                </c:pt>
                <c:pt idx="4">
                  <c:v>0.42033570436803702</c:v>
                </c:pt>
              </c:numCache>
            </c:numRef>
          </c:val>
          <c:extLst>
            <c:ext xmlns:c16="http://schemas.microsoft.com/office/drawing/2014/chart" uri="{C3380CC4-5D6E-409C-BE32-E72D297353CC}">
              <c16:uniqueId val="{00000000-CEBE-1A42-A4E5-84FB6A641156}"/>
            </c:ext>
          </c:extLst>
        </c:ser>
        <c:ser>
          <c:idx val="1"/>
          <c:order val="1"/>
          <c:tx>
            <c:strRef>
              <c:f>Cálculos!$G$52</c:f>
              <c:strCache>
                <c:ptCount val="1"/>
                <c:pt idx="0">
                  <c:v>Margen % año ant.</c:v>
                </c:pt>
              </c:strCache>
            </c:strRef>
          </c:tx>
          <c:spPr>
            <a:solidFill>
              <a:srgbClr val="E7D3B8"/>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Cálculos!$B$53:$B$57</c:f>
              <c:strCache>
                <c:ptCount val="5"/>
                <c:pt idx="0">
                  <c:v>Tecnología</c:v>
                </c:pt>
                <c:pt idx="1">
                  <c:v>Alimentos</c:v>
                </c:pt>
                <c:pt idx="2">
                  <c:v>Hogar</c:v>
                </c:pt>
                <c:pt idx="3">
                  <c:v>Indumentaria</c:v>
                </c:pt>
                <c:pt idx="4">
                  <c:v>Deportes</c:v>
                </c:pt>
              </c:strCache>
            </c:strRef>
          </c:cat>
          <c:val>
            <c:numRef>
              <c:f>Cálculos!$G$53:$G$57</c:f>
              <c:numCache>
                <c:formatCode>0.0%</c:formatCode>
                <c:ptCount val="5"/>
                <c:pt idx="0">
                  <c:v>0.28564724487152893</c:v>
                </c:pt>
                <c:pt idx="1">
                  <c:v>0.177359723698402</c:v>
                </c:pt>
                <c:pt idx="2">
                  <c:v>0.32085918636208532</c:v>
                </c:pt>
                <c:pt idx="3">
                  <c:v>0.4417877566013298</c:v>
                </c:pt>
                <c:pt idx="4">
                  <c:v>0.40463828877581193</c:v>
                </c:pt>
              </c:numCache>
            </c:numRef>
          </c:val>
          <c:extLst>
            <c:ext xmlns:c16="http://schemas.microsoft.com/office/drawing/2014/chart" uri="{C3380CC4-5D6E-409C-BE32-E72D297353CC}">
              <c16:uniqueId val="{00000001-CEBE-1A42-A4E5-84FB6A641156}"/>
            </c:ext>
          </c:extLst>
        </c:ser>
        <c:dLbls>
          <c:showLegendKey val="0"/>
          <c:showVal val="0"/>
          <c:showCatName val="0"/>
          <c:showSerName val="0"/>
          <c:showPercent val="0"/>
          <c:showBubbleSize val="0"/>
        </c:dLbls>
        <c:gapWidth val="60"/>
        <c:overlap val="-20"/>
        <c:axId val="74613336"/>
        <c:axId val="2672277"/>
      </c:barChart>
      <c:catAx>
        <c:axId val="74613336"/>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2672277"/>
        <c:crosses val="autoZero"/>
        <c:auto val="1"/>
        <c:lblAlgn val="ctr"/>
        <c:lblOffset val="100"/>
        <c:noMultiLvlLbl val="0"/>
      </c:catAx>
      <c:valAx>
        <c:axId val="2672277"/>
        <c:scaling>
          <c:orientation val="minMax"/>
        </c:scaling>
        <c:delete val="0"/>
        <c:axPos val="l"/>
        <c:majorGridlines>
          <c:spPr>
            <a:ln w="6480">
              <a:solidFill>
                <a:srgbClr val="EDEFF2"/>
              </a:solidFill>
              <a:round/>
            </a:ln>
          </c:spPr>
        </c:majorGridlines>
        <c:numFmt formatCode="0%"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s-US"/>
          </a:p>
        </c:txPr>
        <c:crossAx val="7461333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0"/>
        <c:ser>
          <c:idx val="0"/>
          <c:order val="0"/>
          <c:tx>
            <c:strRef>
              <c:f>Cálculos!$C$62</c:f>
              <c:strCache>
                <c:ptCount val="1"/>
                <c:pt idx="0">
                  <c:v>Ventas YTD</c:v>
                </c:pt>
              </c:strCache>
            </c:strRef>
          </c:tx>
          <c:spPr>
            <a:solidFill>
              <a:srgbClr val="1F6FB2"/>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Cálculos!$B$63:$B$67</c:f>
              <c:strCache>
                <c:ptCount val="5"/>
                <c:pt idx="0">
                  <c:v>AMBA</c:v>
                </c:pt>
                <c:pt idx="1">
                  <c:v>Centro</c:v>
                </c:pt>
                <c:pt idx="2">
                  <c:v>Litoral</c:v>
                </c:pt>
                <c:pt idx="3">
                  <c:v>Cuyo</c:v>
                </c:pt>
                <c:pt idx="4">
                  <c:v>Patagonia</c:v>
                </c:pt>
              </c:strCache>
            </c:strRef>
          </c:cat>
          <c:val>
            <c:numRef>
              <c:f>Cálculos!$C$63:$C$67</c:f>
              <c:numCache>
                <c:formatCode>"$ "#,##0</c:formatCode>
                <c:ptCount val="5"/>
                <c:pt idx="0">
                  <c:v>112821030.08999997</c:v>
                </c:pt>
                <c:pt idx="1">
                  <c:v>70015759.230000034</c:v>
                </c:pt>
                <c:pt idx="2">
                  <c:v>56374306.990000002</c:v>
                </c:pt>
                <c:pt idx="3">
                  <c:v>39741925.450000003</c:v>
                </c:pt>
                <c:pt idx="4">
                  <c:v>30784994.800000008</c:v>
                </c:pt>
              </c:numCache>
            </c:numRef>
          </c:val>
          <c:extLst>
            <c:ext xmlns:c16="http://schemas.microsoft.com/office/drawing/2014/chart" uri="{C3380CC4-5D6E-409C-BE32-E72D297353CC}">
              <c16:uniqueId val="{00000000-AE6A-BB41-965E-FCBFD5600C11}"/>
            </c:ext>
          </c:extLst>
        </c:ser>
        <c:ser>
          <c:idx val="1"/>
          <c:order val="1"/>
          <c:tx>
            <c:strRef>
              <c:f>Cálculos!$D$62</c:f>
              <c:strCache>
                <c:ptCount val="1"/>
                <c:pt idx="0">
                  <c:v>Objetivo YTD</c:v>
                </c:pt>
              </c:strCache>
            </c:strRef>
          </c:tx>
          <c:spPr>
            <a:solidFill>
              <a:srgbClr val="D8DDE3"/>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Cálculos!$B$63:$B$67</c:f>
              <c:strCache>
                <c:ptCount val="5"/>
                <c:pt idx="0">
                  <c:v>AMBA</c:v>
                </c:pt>
                <c:pt idx="1">
                  <c:v>Centro</c:v>
                </c:pt>
                <c:pt idx="2">
                  <c:v>Litoral</c:v>
                </c:pt>
                <c:pt idx="3">
                  <c:v>Cuyo</c:v>
                </c:pt>
                <c:pt idx="4">
                  <c:v>Patagonia</c:v>
                </c:pt>
              </c:strCache>
            </c:strRef>
          </c:cat>
          <c:val>
            <c:numRef>
              <c:f>Cálculos!$D$63:$D$67</c:f>
              <c:numCache>
                <c:formatCode>"$ "#,##0</c:formatCode>
                <c:ptCount val="5"/>
                <c:pt idx="0">
                  <c:v>110154000</c:v>
                </c:pt>
                <c:pt idx="1">
                  <c:v>70566000</c:v>
                </c:pt>
                <c:pt idx="2">
                  <c:v>57816000</c:v>
                </c:pt>
                <c:pt idx="3">
                  <c:v>40394000</c:v>
                </c:pt>
                <c:pt idx="4">
                  <c:v>38167000</c:v>
                </c:pt>
              </c:numCache>
            </c:numRef>
          </c:val>
          <c:extLst>
            <c:ext xmlns:c16="http://schemas.microsoft.com/office/drawing/2014/chart" uri="{C3380CC4-5D6E-409C-BE32-E72D297353CC}">
              <c16:uniqueId val="{00000001-AE6A-BB41-965E-FCBFD5600C11}"/>
            </c:ext>
          </c:extLst>
        </c:ser>
        <c:dLbls>
          <c:showLegendKey val="0"/>
          <c:showVal val="0"/>
          <c:showCatName val="0"/>
          <c:showSerName val="0"/>
          <c:showPercent val="0"/>
          <c:showBubbleSize val="0"/>
        </c:dLbls>
        <c:gapWidth val="55"/>
        <c:overlap val="-20"/>
        <c:axId val="42015205"/>
        <c:axId val="63153554"/>
      </c:barChart>
      <c:lineChart>
        <c:grouping val="standard"/>
        <c:varyColors val="0"/>
        <c:ser>
          <c:idx val="2"/>
          <c:order val="2"/>
          <c:tx>
            <c:strRef>
              <c:f>Cálculos!$E$62</c:f>
              <c:strCache>
                <c:ptCount val="1"/>
                <c:pt idx="0">
                  <c:v>Cumplimiento %</c:v>
                </c:pt>
              </c:strCache>
            </c:strRef>
          </c:tx>
          <c:spPr>
            <a:ln w="24120">
              <a:solidFill>
                <a:srgbClr val="C0392B"/>
              </a:solidFill>
              <a:round/>
            </a:ln>
          </c:spPr>
          <c:marker>
            <c:symbol val="diamond"/>
            <c:size val="5"/>
            <c:spPr>
              <a:solidFill>
                <a:srgbClr val="C0392B"/>
              </a:solidFill>
            </c:spPr>
          </c:marker>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Cálculos!$B$63:$B$67</c:f>
              <c:strCache>
                <c:ptCount val="5"/>
                <c:pt idx="0">
                  <c:v>AMBA</c:v>
                </c:pt>
                <c:pt idx="1">
                  <c:v>Centro</c:v>
                </c:pt>
                <c:pt idx="2">
                  <c:v>Litoral</c:v>
                </c:pt>
                <c:pt idx="3">
                  <c:v>Cuyo</c:v>
                </c:pt>
                <c:pt idx="4">
                  <c:v>Patagonia</c:v>
                </c:pt>
              </c:strCache>
            </c:strRef>
          </c:cat>
          <c:val>
            <c:numRef>
              <c:f>Cálculos!$E$63:$E$67</c:f>
              <c:numCache>
                <c:formatCode>0.0%</c:formatCode>
                <c:ptCount val="5"/>
                <c:pt idx="0">
                  <c:v>1.0242118315267714</c:v>
                </c:pt>
                <c:pt idx="1">
                  <c:v>0.99220246620185404</c:v>
                </c:pt>
                <c:pt idx="2">
                  <c:v>0.9750641170264287</c:v>
                </c:pt>
                <c:pt idx="3">
                  <c:v>0.98385714338763186</c:v>
                </c:pt>
                <c:pt idx="4">
                  <c:v>0.80658670579296277</c:v>
                </c:pt>
              </c:numCache>
            </c:numRef>
          </c:val>
          <c:smooth val="0"/>
          <c:extLst>
            <c:ext xmlns:c16="http://schemas.microsoft.com/office/drawing/2014/chart" uri="{C3380CC4-5D6E-409C-BE32-E72D297353CC}">
              <c16:uniqueId val="{00000002-AE6A-BB41-965E-FCBFD5600C11}"/>
            </c:ext>
          </c:extLst>
        </c:ser>
        <c:dLbls>
          <c:showLegendKey val="0"/>
          <c:showVal val="0"/>
          <c:showCatName val="0"/>
          <c:showSerName val="0"/>
          <c:showPercent val="0"/>
          <c:showBubbleSize val="0"/>
        </c:dLbls>
        <c:hiLowLines>
          <c:spPr>
            <a:ln w="0">
              <a:noFill/>
            </a:ln>
          </c:spPr>
        </c:hiLowLines>
        <c:marker val="1"/>
        <c:smooth val="0"/>
        <c:axId val="41340251"/>
        <c:axId val="64583134"/>
      </c:lineChart>
      <c:catAx>
        <c:axId val="42015205"/>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63153554"/>
        <c:crosses val="autoZero"/>
        <c:auto val="1"/>
        <c:lblAlgn val="ctr"/>
        <c:lblOffset val="100"/>
        <c:noMultiLvlLbl val="0"/>
      </c:catAx>
      <c:valAx>
        <c:axId val="63153554"/>
        <c:scaling>
          <c:orientation val="minMax"/>
        </c:scaling>
        <c:delete val="0"/>
        <c:axPos val="l"/>
        <c:majorGridlines>
          <c:spPr>
            <a:ln w="6480">
              <a:solidFill>
                <a:srgbClr val="EDEFF2"/>
              </a:solidFill>
              <a:round/>
            </a:ln>
          </c:spPr>
        </c:majorGridlines>
        <c:numFmt formatCode="#,##0,,&quot; M&quot;"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s-US"/>
          </a:p>
        </c:txPr>
        <c:crossAx val="42015205"/>
        <c:crosses val="autoZero"/>
        <c:crossBetween val="between"/>
      </c:valAx>
      <c:catAx>
        <c:axId val="41340251"/>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64583134"/>
        <c:crosses val="autoZero"/>
        <c:auto val="1"/>
        <c:lblAlgn val="ctr"/>
        <c:lblOffset val="100"/>
        <c:noMultiLvlLbl val="0"/>
      </c:catAx>
      <c:valAx>
        <c:axId val="64583134"/>
        <c:scaling>
          <c:orientation val="minMax"/>
          <c:max val="1.2"/>
          <c:min val="0.6"/>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US"/>
          </a:p>
        </c:txPr>
        <c:crossAx val="41340251"/>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stacked"/>
        <c:varyColors val="0"/>
        <c:ser>
          <c:idx val="0"/>
          <c:order val="0"/>
          <c:tx>
            <c:strRef>
              <c:f>Cálculos!$D$84</c:f>
              <c:strCache>
                <c:ptCount val="1"/>
                <c:pt idx="0">
                  <c:v>Ventas reales ($)</c:v>
                </c:pt>
              </c:strCache>
            </c:strRef>
          </c:tx>
          <c:spPr>
            <a:solidFill>
              <a:srgbClr val="1F6FB2"/>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Cálculos!$C$85:$C$96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Cálculos!$D$85:$D$96</c:f>
              <c:numCache>
                <c:formatCode>"$ "#,##0</c:formatCode>
                <c:ptCount val="12"/>
                <c:pt idx="0">
                  <c:v>45463782.949999988</c:v>
                </c:pt>
                <c:pt idx="1">
                  <c:v>44785024.029999971</c:v>
                </c:pt>
                <c:pt idx="2">
                  <c:v>51644167.150000021</c:v>
                </c:pt>
                <c:pt idx="3">
                  <c:v>49979880.410000019</c:v>
                </c:pt>
                <c:pt idx="4">
                  <c:v>57345670.140000001</c:v>
                </c:pt>
                <c:pt idx="5">
                  <c:v>60519491.879999988</c:v>
                </c:pt>
                <c:pt idx="6">
                  <c:v>0</c:v>
                </c:pt>
                <c:pt idx="7">
                  <c:v>0</c:v>
                </c:pt>
                <c:pt idx="8">
                  <c:v>0</c:v>
                </c:pt>
                <c:pt idx="9">
                  <c:v>0</c:v>
                </c:pt>
                <c:pt idx="10">
                  <c:v>0</c:v>
                </c:pt>
                <c:pt idx="11">
                  <c:v>0</c:v>
                </c:pt>
              </c:numCache>
            </c:numRef>
          </c:val>
          <c:extLst>
            <c:ext xmlns:c16="http://schemas.microsoft.com/office/drawing/2014/chart" uri="{C3380CC4-5D6E-409C-BE32-E72D297353CC}">
              <c16:uniqueId val="{00000000-A90F-174B-B3A6-F30D0A0CB0F9}"/>
            </c:ext>
          </c:extLst>
        </c:ser>
        <c:ser>
          <c:idx val="1"/>
          <c:order val="1"/>
          <c:tx>
            <c:strRef>
              <c:f>Cálculos!$E$84</c:f>
              <c:strCache>
                <c:ptCount val="1"/>
                <c:pt idx="0">
                  <c:v>Ventas proyectadas ($)</c:v>
                </c:pt>
              </c:strCache>
            </c:strRef>
          </c:tx>
          <c:spPr>
            <a:solidFill>
              <a:srgbClr val="A9CBE6"/>
            </a:solidFill>
            <a:ln w="0">
              <a:noFill/>
            </a:ln>
          </c:spPr>
          <c:invertIfNegative val="0"/>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Cálculos!$C$85:$C$96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Cálculos!$E$85:$E$96</c:f>
              <c:numCache>
                <c:formatCode>"$ "#,##0</c:formatCode>
                <c:ptCount val="12"/>
                <c:pt idx="0">
                  <c:v>0</c:v>
                </c:pt>
                <c:pt idx="1">
                  <c:v>0</c:v>
                </c:pt>
                <c:pt idx="2">
                  <c:v>0</c:v>
                </c:pt>
                <c:pt idx="3">
                  <c:v>0</c:v>
                </c:pt>
                <c:pt idx="4">
                  <c:v>0</c:v>
                </c:pt>
                <c:pt idx="5">
                  <c:v>0</c:v>
                </c:pt>
                <c:pt idx="6">
                  <c:v>60869748.366907485</c:v>
                </c:pt>
                <c:pt idx="7">
                  <c:v>51845463.017027371</c:v>
                </c:pt>
                <c:pt idx="8">
                  <c:v>52755318.696684144</c:v>
                </c:pt>
                <c:pt idx="9">
                  <c:v>55832754.96486856</c:v>
                </c:pt>
                <c:pt idx="10">
                  <c:v>58926730.632561699</c:v>
                </c:pt>
                <c:pt idx="11">
                  <c:v>84872425.91736573</c:v>
                </c:pt>
              </c:numCache>
            </c:numRef>
          </c:val>
          <c:extLst>
            <c:ext xmlns:c16="http://schemas.microsoft.com/office/drawing/2014/chart" uri="{C3380CC4-5D6E-409C-BE32-E72D297353CC}">
              <c16:uniqueId val="{00000001-A90F-174B-B3A6-F30D0A0CB0F9}"/>
            </c:ext>
          </c:extLst>
        </c:ser>
        <c:dLbls>
          <c:showLegendKey val="0"/>
          <c:showVal val="0"/>
          <c:showCatName val="0"/>
          <c:showSerName val="0"/>
          <c:showPercent val="0"/>
          <c:showBubbleSize val="0"/>
        </c:dLbls>
        <c:gapWidth val="45"/>
        <c:overlap val="100"/>
        <c:axId val="21029963"/>
        <c:axId val="24793236"/>
      </c:barChart>
      <c:lineChart>
        <c:grouping val="stacked"/>
        <c:varyColors val="0"/>
        <c:ser>
          <c:idx val="2"/>
          <c:order val="2"/>
          <c:tx>
            <c:strRef>
              <c:f>Cálculos!$F$84</c:f>
              <c:strCache>
                <c:ptCount val="1"/>
                <c:pt idx="0">
                  <c:v>Objetivo ($)</c:v>
                </c:pt>
              </c:strCache>
            </c:strRef>
          </c:tx>
          <c:spPr>
            <a:ln w="19080">
              <a:solidFill>
                <a:srgbClr val="C0392B"/>
              </a:solidFill>
              <a:round/>
            </a:ln>
          </c:spPr>
          <c:marker>
            <c:symbol val="none"/>
          </c:marker>
          <c:dLbls>
            <c:spPr>
              <a:noFill/>
              <a:ln>
                <a:noFill/>
              </a:ln>
              <a:effectLst/>
            </c:spPr>
            <c:txPr>
              <a:bodyPr wrap="none"/>
              <a:lstStyle/>
              <a:p>
                <a:pPr>
                  <a:defRPr sz="1000" b="0" strike="noStrike" spc="-1">
                    <a:latin typeface="Arial"/>
                  </a:defRPr>
                </a:pPr>
                <a:endParaRPr lang="es-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Cálculos!$C$85:$C$96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Cálculos!$F$85:$F$96</c:f>
              <c:numCache>
                <c:formatCode>"$ "#,##0</c:formatCode>
                <c:ptCount val="12"/>
                <c:pt idx="0">
                  <c:v>46038000</c:v>
                </c:pt>
                <c:pt idx="1">
                  <c:v>44451000</c:v>
                </c:pt>
                <c:pt idx="2">
                  <c:v>53348000</c:v>
                </c:pt>
                <c:pt idx="3">
                  <c:v>51814000</c:v>
                </c:pt>
                <c:pt idx="4">
                  <c:v>58358000</c:v>
                </c:pt>
                <c:pt idx="5">
                  <c:v>63088000</c:v>
                </c:pt>
                <c:pt idx="6">
                  <c:v>63519000</c:v>
                </c:pt>
                <c:pt idx="7">
                  <c:v>55273000</c:v>
                </c:pt>
                <c:pt idx="8">
                  <c:v>54916000</c:v>
                </c:pt>
                <c:pt idx="9">
                  <c:v>59133000</c:v>
                </c:pt>
                <c:pt idx="10">
                  <c:v>61730000</c:v>
                </c:pt>
                <c:pt idx="11">
                  <c:v>87930000</c:v>
                </c:pt>
              </c:numCache>
            </c:numRef>
          </c:val>
          <c:smooth val="0"/>
          <c:extLst>
            <c:ext xmlns:c16="http://schemas.microsoft.com/office/drawing/2014/chart" uri="{C3380CC4-5D6E-409C-BE32-E72D297353CC}">
              <c16:uniqueId val="{00000002-A90F-174B-B3A6-F30D0A0CB0F9}"/>
            </c:ext>
          </c:extLst>
        </c:ser>
        <c:dLbls>
          <c:showLegendKey val="0"/>
          <c:showVal val="0"/>
          <c:showCatName val="0"/>
          <c:showSerName val="0"/>
          <c:showPercent val="0"/>
          <c:showBubbleSize val="0"/>
        </c:dLbls>
        <c:hiLowLines>
          <c:spPr>
            <a:ln w="0">
              <a:noFill/>
            </a:ln>
          </c:spPr>
        </c:hiLowLines>
        <c:marker val="1"/>
        <c:smooth val="0"/>
        <c:axId val="83392281"/>
        <c:axId val="96772849"/>
      </c:lineChart>
      <c:catAx>
        <c:axId val="21029963"/>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24793236"/>
        <c:crosses val="autoZero"/>
        <c:auto val="1"/>
        <c:lblAlgn val="ctr"/>
        <c:lblOffset val="100"/>
        <c:noMultiLvlLbl val="0"/>
      </c:catAx>
      <c:valAx>
        <c:axId val="24793236"/>
        <c:scaling>
          <c:orientation val="minMax"/>
        </c:scaling>
        <c:delete val="0"/>
        <c:axPos val="l"/>
        <c:majorGridlines>
          <c:spPr>
            <a:ln w="6480">
              <a:solidFill>
                <a:srgbClr val="EDEFF2"/>
              </a:solidFill>
              <a:round/>
            </a:ln>
          </c:spPr>
        </c:majorGridlines>
        <c:numFmt formatCode="#,##0,,&quot; M&quot;"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s-US"/>
          </a:p>
        </c:txPr>
        <c:crossAx val="21029963"/>
        <c:crosses val="autoZero"/>
        <c:crossBetween val="between"/>
      </c:valAx>
      <c:catAx>
        <c:axId val="83392281"/>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sz="1000" b="0" strike="noStrike" spc="-1">
                <a:solidFill>
                  <a:srgbClr val="000000"/>
                </a:solidFill>
                <a:latin typeface="Calibri"/>
              </a:defRPr>
            </a:pPr>
            <a:endParaRPr lang="es-US"/>
          </a:p>
        </c:txPr>
        <c:crossAx val="96772849"/>
        <c:crosses val="autoZero"/>
        <c:auto val="1"/>
        <c:lblAlgn val="ctr"/>
        <c:lblOffset val="100"/>
        <c:noMultiLvlLbl val="0"/>
      </c:catAx>
      <c:valAx>
        <c:axId val="96772849"/>
        <c:scaling>
          <c:orientation val="minMax"/>
        </c:scaling>
        <c:delete val="1"/>
        <c:axPos val="l"/>
        <c:numFmt formatCode="&quot;$ &quot;#,##0" sourceLinked="1"/>
        <c:majorTickMark val="none"/>
        <c:minorTickMark val="none"/>
        <c:tickLblPos val="nextTo"/>
        <c:crossAx val="8339228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9</xdr:col>
      <xdr:colOff>403920</xdr:colOff>
      <xdr:row>30</xdr:row>
      <xdr:rowOff>47880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14</xdr:row>
      <xdr:rowOff>0</xdr:rowOff>
    </xdr:from>
    <xdr:to>
      <xdr:col>18</xdr:col>
      <xdr:colOff>290880</xdr:colOff>
      <xdr:row>30</xdr:row>
      <xdr:rowOff>47880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33</xdr:row>
      <xdr:rowOff>0</xdr:rowOff>
    </xdr:from>
    <xdr:to>
      <xdr:col>9</xdr:col>
      <xdr:colOff>403920</xdr:colOff>
      <xdr:row>49</xdr:row>
      <xdr:rowOff>1607</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33</xdr:row>
      <xdr:rowOff>0</xdr:rowOff>
    </xdr:from>
    <xdr:to>
      <xdr:col>18</xdr:col>
      <xdr:colOff>290880</xdr:colOff>
      <xdr:row>49</xdr:row>
      <xdr:rowOff>1607</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53</xdr:row>
      <xdr:rowOff>0</xdr:rowOff>
    </xdr:from>
    <xdr:to>
      <xdr:col>11</xdr:col>
      <xdr:colOff>559080</xdr:colOff>
      <xdr:row>67</xdr:row>
      <xdr:rowOff>30599</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E2A47"/>
    <pageSetUpPr fitToPage="1"/>
  </sheetPr>
  <dimension ref="B2:S74"/>
  <sheetViews>
    <sheetView showGridLines="0" tabSelected="1" zoomScale="85" zoomScaleNormal="85" workbookViewId="0">
      <selection activeCell="W17" sqref="W17"/>
    </sheetView>
  </sheetViews>
  <sheetFormatPr baseColWidth="10" defaultColWidth="8.6640625" defaultRowHeight="13" x14ac:dyDescent="0.15"/>
  <cols>
    <col min="1" max="1" width="2.1640625" customWidth="1"/>
    <col min="2" max="20" width="8.6640625" customWidth="1"/>
  </cols>
  <sheetData>
    <row r="2" spans="2:19" ht="33.75" customHeight="1" x14ac:dyDescent="0.15">
      <c r="B2" s="14" t="s">
        <v>0</v>
      </c>
      <c r="C2" s="14"/>
      <c r="D2" s="14"/>
      <c r="E2" s="14"/>
      <c r="F2" s="14"/>
      <c r="G2" s="14"/>
      <c r="H2" s="14"/>
      <c r="I2" s="14"/>
      <c r="J2" s="14"/>
      <c r="K2" s="14"/>
      <c r="L2" s="14"/>
      <c r="M2" s="14"/>
      <c r="N2" s="14"/>
      <c r="O2" s="14"/>
      <c r="P2" s="14"/>
      <c r="Q2" s="14"/>
      <c r="R2" s="14"/>
      <c r="S2" s="14"/>
    </row>
    <row r="3" spans="2:19" ht="15" customHeight="1" x14ac:dyDescent="0.15">
      <c r="B3" s="13" t="s">
        <v>2404</v>
      </c>
      <c r="C3" s="13"/>
      <c r="D3" s="13"/>
      <c r="E3" s="13"/>
      <c r="F3" s="13"/>
      <c r="G3" s="13"/>
      <c r="H3" s="13"/>
      <c r="I3" s="13"/>
      <c r="J3" s="13"/>
      <c r="K3" s="13"/>
      <c r="L3" s="13"/>
      <c r="M3" s="13"/>
      <c r="N3" s="13"/>
      <c r="O3" s="13"/>
      <c r="P3" s="13"/>
      <c r="Q3" s="13"/>
      <c r="R3" s="13"/>
      <c r="S3" s="13"/>
    </row>
    <row r="4" spans="2:19" ht="15.75" customHeight="1" x14ac:dyDescent="0.15">
      <c r="B4" s="15" t="s">
        <v>1</v>
      </c>
      <c r="C4" s="16" t="s">
        <v>2</v>
      </c>
      <c r="F4" s="16" t="s">
        <v>3</v>
      </c>
      <c r="I4" s="16" t="s">
        <v>4</v>
      </c>
    </row>
    <row r="5" spans="2:19" ht="19.5" customHeight="1" x14ac:dyDescent="0.15">
      <c r="C5" s="12" t="s">
        <v>5</v>
      </c>
      <c r="D5" s="12"/>
      <c r="E5" s="12"/>
      <c r="F5" s="12" t="s">
        <v>5</v>
      </c>
      <c r="G5" s="12"/>
      <c r="H5" s="12"/>
      <c r="I5" s="12" t="s">
        <v>5</v>
      </c>
      <c r="J5" s="12"/>
      <c r="K5" s="12"/>
      <c r="M5" s="11" t="str">
        <f>Cálculos!$C$110</f>
        <v/>
      </c>
      <c r="N5" s="11"/>
      <c r="O5" s="11"/>
      <c r="P5" s="11"/>
      <c r="Q5" s="11"/>
      <c r="R5" s="11"/>
      <c r="S5" s="11"/>
    </row>
    <row r="7" spans="2:19" ht="15.75" customHeight="1" x14ac:dyDescent="0.15">
      <c r="B7" s="10" t="s">
        <v>6</v>
      </c>
      <c r="C7" s="10"/>
      <c r="D7" s="10"/>
      <c r="E7" s="10" t="s">
        <v>7</v>
      </c>
      <c r="F7" s="10"/>
      <c r="G7" s="10"/>
      <c r="H7" s="10" t="s">
        <v>8</v>
      </c>
      <c r="I7" s="10"/>
      <c r="J7" s="10"/>
      <c r="K7" s="10" t="s">
        <v>9</v>
      </c>
      <c r="L7" s="10"/>
      <c r="M7" s="10"/>
      <c r="N7" s="10" t="s">
        <v>10</v>
      </c>
      <c r="O7" s="10"/>
      <c r="P7" s="10"/>
      <c r="Q7" s="10" t="s">
        <v>11</v>
      </c>
      <c r="R7" s="10"/>
      <c r="S7" s="10"/>
    </row>
    <row r="8" spans="2:19" ht="25.5" customHeight="1" x14ac:dyDescent="0.15">
      <c r="B8" s="9">
        <f>Cálculos!$C$12</f>
        <v>309738016.56000024</v>
      </c>
      <c r="C8" s="9"/>
      <c r="D8" s="9"/>
      <c r="E8" s="9">
        <f>Cálculos!$C$15</f>
        <v>86527609.449999958</v>
      </c>
      <c r="F8" s="9"/>
      <c r="G8" s="9"/>
      <c r="H8" s="8">
        <f>Cálculos!$C$17</f>
        <v>0.27935740795072356</v>
      </c>
      <c r="I8" s="8"/>
      <c r="J8" s="8"/>
      <c r="K8" s="8">
        <f>Cálculos!$C$22</f>
        <v>0.97679264250371411</v>
      </c>
      <c r="L8" s="8"/>
      <c r="M8" s="8"/>
      <c r="N8" s="7">
        <f>Cálculos!$C$25</f>
        <v>443115.90351931367</v>
      </c>
      <c r="O8" s="7"/>
      <c r="P8" s="7"/>
      <c r="Q8" s="9">
        <f>Cálculos!$C$26</f>
        <v>674840458.15541506</v>
      </c>
      <c r="R8" s="9"/>
      <c r="S8" s="9"/>
    </row>
    <row r="9" spans="2:19" ht="15.75" customHeight="1" x14ac:dyDescent="0.15">
      <c r="B9" s="6">
        <f>Cálculos!$C$14</f>
        <v>0.11107742999922099</v>
      </c>
      <c r="C9" s="6"/>
      <c r="D9" s="6"/>
      <c r="E9" s="6">
        <f>Cálculos!$C$20</f>
        <v>2.0745437459228855E-2</v>
      </c>
      <c r="F9" s="6"/>
      <c r="G9" s="6"/>
      <c r="H9" s="5">
        <f>Cálculos!$C$19</f>
        <v>-2.4722041720616872</v>
      </c>
      <c r="I9" s="5"/>
      <c r="J9" s="5"/>
      <c r="K9" s="6">
        <f>Cálculos!$C$22-1</f>
        <v>-2.3207357496285885E-2</v>
      </c>
      <c r="L9" s="6"/>
      <c r="M9" s="6"/>
      <c r="N9" s="6">
        <f>Cálculos!$C$123</f>
        <v>0.11425647843984832</v>
      </c>
      <c r="O9" s="6"/>
      <c r="P9" s="6"/>
      <c r="Q9" s="6">
        <f>Cálculos!$C$28-1</f>
        <v>-3.5388239881453232E-2</v>
      </c>
      <c r="R9" s="6"/>
      <c r="S9" s="6"/>
    </row>
    <row r="10" spans="2:19" ht="13.5" customHeight="1" x14ac:dyDescent="0.15">
      <c r="B10" s="4" t="s">
        <v>12</v>
      </c>
      <c r="C10" s="4"/>
      <c r="D10" s="4"/>
      <c r="E10" s="4" t="s">
        <v>13</v>
      </c>
      <c r="F10" s="4"/>
      <c r="G10" s="4"/>
      <c r="H10" s="4" t="s">
        <v>12</v>
      </c>
      <c r="I10" s="4"/>
      <c r="J10" s="4"/>
      <c r="K10" s="4" t="s">
        <v>14</v>
      </c>
      <c r="L10" s="4"/>
      <c r="M10" s="4"/>
      <c r="N10" s="4" t="s">
        <v>12</v>
      </c>
      <c r="O10" s="4"/>
      <c r="P10" s="4"/>
      <c r="Q10" s="4" t="s">
        <v>15</v>
      </c>
      <c r="R10" s="4"/>
      <c r="S10" s="4"/>
    </row>
    <row r="12" spans="2:19" ht="18" customHeight="1" x14ac:dyDescent="0.15">
      <c r="B12" s="3" t="s">
        <v>16</v>
      </c>
      <c r="C12" s="3"/>
      <c r="D12" s="3"/>
      <c r="E12" s="3"/>
      <c r="F12" s="3"/>
      <c r="G12" s="3"/>
      <c r="H12" s="3"/>
      <c r="I12" s="3"/>
      <c r="J12" s="3"/>
      <c r="K12" s="3"/>
      <c r="L12" s="3"/>
      <c r="M12" s="3"/>
      <c r="N12" s="3"/>
      <c r="O12" s="3"/>
      <c r="P12" s="3"/>
      <c r="Q12" s="3"/>
      <c r="R12" s="3"/>
      <c r="S12" s="3"/>
    </row>
    <row r="13" spans="2:19" ht="27.75" customHeight="1" x14ac:dyDescent="0.15">
      <c r="B13" s="2" t="str">
        <f>Cálculos!$C$104</f>
        <v>Las ventas crecen, pero el margen cae</v>
      </c>
      <c r="C13" s="2"/>
      <c r="D13" s="2"/>
      <c r="E13" s="2"/>
      <c r="F13" s="2"/>
      <c r="G13" s="2"/>
      <c r="H13" s="2"/>
      <c r="I13" s="2"/>
      <c r="J13" s="2"/>
      <c r="L13" s="2" t="str">
        <f>Cálculos!$C$105</f>
        <v>Tecnología impulsa el crecimiento de ventas</v>
      </c>
      <c r="M13" s="2"/>
      <c r="N13" s="2"/>
      <c r="O13" s="2"/>
      <c r="P13" s="2"/>
      <c r="Q13" s="2"/>
      <c r="R13" s="2"/>
      <c r="S13" s="2"/>
    </row>
    <row r="14" spans="2:19" ht="12.75" customHeight="1" x14ac:dyDescent="0.15">
      <c r="B14" s="1" t="s">
        <v>17</v>
      </c>
      <c r="C14" s="1"/>
      <c r="D14" s="1"/>
      <c r="E14" s="1"/>
      <c r="F14" s="1"/>
      <c r="G14" s="1"/>
      <c r="H14" s="1"/>
      <c r="I14" s="1"/>
      <c r="J14" s="1"/>
      <c r="L14" s="1" t="s">
        <v>18</v>
      </c>
      <c r="M14" s="1"/>
      <c r="N14" s="1"/>
      <c r="O14" s="1"/>
      <c r="P14" s="1"/>
      <c r="Q14" s="1"/>
      <c r="R14" s="1"/>
      <c r="S14" s="1"/>
    </row>
    <row r="32" spans="2:19" ht="27.75" customHeight="1" x14ac:dyDescent="0.15">
      <c r="B32" s="2" t="str">
        <f>Cálculos!$C$106</f>
        <v>Tecnología es la categoría que más margen pierde</v>
      </c>
      <c r="C32" s="2"/>
      <c r="D32" s="2"/>
      <c r="E32" s="2"/>
      <c r="F32" s="2"/>
      <c r="G32" s="2"/>
      <c r="H32" s="2"/>
      <c r="I32" s="2"/>
      <c r="J32" s="2"/>
      <c r="L32" s="2" t="str">
        <f>Cálculos!$C$107</f>
        <v>Patagonia es la región más lejos del objetivo</v>
      </c>
      <c r="M32" s="2"/>
      <c r="N32" s="2"/>
      <c r="O32" s="2"/>
      <c r="P32" s="2"/>
      <c r="Q32" s="2"/>
      <c r="R32" s="2"/>
      <c r="S32" s="2"/>
    </row>
    <row r="33" spans="2:19" ht="12.75" customHeight="1" x14ac:dyDescent="0.15">
      <c r="B33" s="1" t="s">
        <v>19</v>
      </c>
      <c r="C33" s="1"/>
      <c r="D33" s="1"/>
      <c r="E33" s="1"/>
      <c r="F33" s="1"/>
      <c r="G33" s="1"/>
      <c r="H33" s="1"/>
      <c r="I33" s="1"/>
      <c r="J33" s="1"/>
      <c r="L33" s="1" t="s">
        <v>20</v>
      </c>
      <c r="M33" s="1"/>
      <c r="N33" s="1"/>
      <c r="O33" s="1"/>
      <c r="P33" s="1"/>
      <c r="Q33" s="1"/>
      <c r="R33" s="1"/>
      <c r="S33" s="1"/>
    </row>
    <row r="51" spans="2:19" ht="18" customHeight="1" x14ac:dyDescent="0.15">
      <c r="B51" s="3" t="s">
        <v>21</v>
      </c>
      <c r="C51" s="3"/>
      <c r="D51" s="3"/>
      <c r="E51" s="3"/>
      <c r="F51" s="3"/>
      <c r="G51" s="3"/>
      <c r="H51" s="3"/>
      <c r="I51" s="3"/>
      <c r="J51" s="3"/>
      <c r="K51" s="3"/>
      <c r="L51" s="3"/>
      <c r="M51" s="3"/>
      <c r="N51" s="3"/>
      <c r="O51" s="3"/>
      <c r="P51" s="3"/>
      <c r="Q51" s="3"/>
      <c r="R51" s="3"/>
      <c r="S51" s="3"/>
    </row>
    <row r="52" spans="2:19" ht="27.75" customHeight="1" x14ac:dyDescent="0.15">
      <c r="B52" s="2" t="str">
        <f>Cálculos!$C$108</f>
        <v>El año cerraría cerca del 96% del objetivo</v>
      </c>
      <c r="C52" s="2"/>
      <c r="D52" s="2"/>
      <c r="E52" s="2"/>
      <c r="F52" s="2"/>
      <c r="G52" s="2"/>
      <c r="H52" s="2"/>
      <c r="I52" s="2"/>
      <c r="J52" s="2"/>
      <c r="K52" s="2"/>
      <c r="L52" s="2"/>
      <c r="M52" s="2" t="s">
        <v>22</v>
      </c>
      <c r="N52" s="2"/>
      <c r="O52" s="2"/>
      <c r="P52" s="2"/>
      <c r="Q52" s="2"/>
      <c r="R52" s="2"/>
      <c r="S52" s="2"/>
    </row>
    <row r="53" spans="2:19" ht="12.75" customHeight="1" x14ac:dyDescent="0.15">
      <c r="B53" s="1" t="s">
        <v>23</v>
      </c>
      <c r="C53" s="1"/>
      <c r="D53" s="1"/>
      <c r="E53" s="1"/>
      <c r="F53" s="1"/>
      <c r="G53" s="1"/>
      <c r="H53" s="1"/>
      <c r="I53" s="1"/>
      <c r="J53" s="1"/>
      <c r="K53" s="1"/>
      <c r="L53" s="1"/>
      <c r="M53" s="1" t="s">
        <v>24</v>
      </c>
      <c r="N53" s="1"/>
      <c r="O53" s="1"/>
      <c r="P53" s="1"/>
      <c r="Q53" s="1"/>
      <c r="R53" s="1"/>
      <c r="S53" s="1"/>
    </row>
    <row r="54" spans="2:19" ht="18" customHeight="1" x14ac:dyDescent="0.15">
      <c r="M54" s="17" t="s">
        <v>25</v>
      </c>
      <c r="N54" s="57" t="s">
        <v>26</v>
      </c>
      <c r="O54" s="57"/>
      <c r="P54" s="57"/>
      <c r="Q54" s="18" t="s">
        <v>27</v>
      </c>
      <c r="R54" s="18" t="s">
        <v>28</v>
      </c>
      <c r="S54" s="18" t="s">
        <v>29</v>
      </c>
    </row>
    <row r="55" spans="2:19" ht="15" customHeight="1" x14ac:dyDescent="0.15">
      <c r="M55" s="19">
        <v>1</v>
      </c>
      <c r="N55" s="58" t="str">
        <f>INDEX(Cálculos!$B$72:$B$81,MATCH(LARGE(Cálculos!$G$72:$G$81,1),Cálculos!$G$72:$G$81,0))</f>
        <v>Sucursal Palermo</v>
      </c>
      <c r="O55" s="58"/>
      <c r="P55" s="58"/>
      <c r="Q55" s="20">
        <f>INDEX(Cálculos!$D$72:$D$81,MATCH(LARGE(Cálculos!$G$72:$G$81,1),Cálculos!$G$72:$G$81,0))</f>
        <v>62409453.329999991</v>
      </c>
      <c r="R55" s="21">
        <f>INDEX(Cálculos!$E$72:$E$81,MATCH(LARGE(Cálculos!$G$72:$G$81,1),Cálculos!$G$72:$G$81,0))</f>
        <v>0.26782356531178408</v>
      </c>
      <c r="S55" s="21">
        <f>INDEX(Cálculos!$F$72:$F$81,MATCH(LARGE(Cálculos!$G$72:$G$81,1),Cálculos!$G$72:$G$81,0))</f>
        <v>1.0311351231722428</v>
      </c>
    </row>
    <row r="56" spans="2:19" ht="15" customHeight="1" x14ac:dyDescent="0.15">
      <c r="M56" s="19">
        <v>2</v>
      </c>
      <c r="N56" s="58" t="str">
        <f>INDEX(Cálculos!$B$72:$B$81,MATCH(LARGE(Cálculos!$G$72:$G$81,2),Cálculos!$G$72:$G$81,0))</f>
        <v>Sucursal Avellaneda</v>
      </c>
      <c r="O56" s="58"/>
      <c r="P56" s="58"/>
      <c r="Q56" s="20">
        <f>INDEX(Cálculos!$D$72:$D$81,MATCH(LARGE(Cálculos!$G$72:$G$81,2),Cálculos!$G$72:$G$81,0))</f>
        <v>50411576.759999998</v>
      </c>
      <c r="R56" s="21">
        <f>INDEX(Cálculos!$E$72:$E$81,MATCH(LARGE(Cálculos!$G$72:$G$81,2),Cálculos!$G$72:$G$81,0))</f>
        <v>0.26304124949572394</v>
      </c>
      <c r="S56" s="21">
        <f>INDEX(Cálculos!$F$72:$F$81,MATCH(LARGE(Cálculos!$G$72:$G$81,2),Cálculos!$G$72:$G$81,0))</f>
        <v>1.0157685377501058</v>
      </c>
    </row>
    <row r="57" spans="2:19" ht="15" customHeight="1" x14ac:dyDescent="0.15">
      <c r="M57" s="19">
        <v>3</v>
      </c>
      <c r="N57" s="58" t="str">
        <f>INDEX(Cálculos!$B$72:$B$81,MATCH(LARGE(Cálculos!$G$72:$G$81,3),Cálculos!$G$72:$G$81,0))</f>
        <v>Sucursal Córdoba Centro</v>
      </c>
      <c r="O57" s="58"/>
      <c r="P57" s="58"/>
      <c r="Q57" s="20">
        <f>INDEX(Cálculos!$D$72:$D$81,MATCH(LARGE(Cálculos!$G$72:$G$81,3),Cálculos!$G$72:$G$81,0))</f>
        <v>42066081.780000016</v>
      </c>
      <c r="R57" s="21">
        <f>INDEX(Cálculos!$E$72:$E$81,MATCH(LARGE(Cálculos!$G$72:$G$81,3),Cálculos!$G$72:$G$81,0))</f>
        <v>0.32152400503415729</v>
      </c>
      <c r="S57" s="21">
        <f>INDEX(Cálculos!$F$72:$F$81,MATCH(LARGE(Cálculos!$G$72:$G$81,3),Cálculos!$G$72:$G$81,0))</f>
        <v>0.99247568196295899</v>
      </c>
    </row>
    <row r="58" spans="2:19" ht="15" customHeight="1" x14ac:dyDescent="0.15">
      <c r="M58" s="19">
        <v>4</v>
      </c>
      <c r="N58" s="58" t="str">
        <f>INDEX(Cálculos!$B$72:$B$81,MATCH(LARGE(Cálculos!$G$72:$G$81,4),Cálculos!$G$72:$G$81,0))</f>
        <v>Sucursal Rosario</v>
      </c>
      <c r="O58" s="58"/>
      <c r="P58" s="58"/>
      <c r="Q58" s="20">
        <f>INDEX(Cálculos!$D$72:$D$81,MATCH(LARGE(Cálculos!$G$72:$G$81,4),Cálculos!$G$72:$G$81,0))</f>
        <v>34866518.589999996</v>
      </c>
      <c r="R58" s="21">
        <f>INDEX(Cálculos!$E$72:$E$81,MATCH(LARGE(Cálculos!$G$72:$G$81,4),Cálculos!$G$72:$G$81,0))</f>
        <v>0.28300208305942037</v>
      </c>
      <c r="S58" s="21">
        <f>INDEX(Cálculos!$F$72:$F$81,MATCH(LARGE(Cálculos!$G$72:$G$81,4),Cálculos!$G$72:$G$81,0))</f>
        <v>0.97378909621561227</v>
      </c>
    </row>
    <row r="59" spans="2:19" ht="15" customHeight="1" x14ac:dyDescent="0.15">
      <c r="M59" s="19">
        <v>5</v>
      </c>
      <c r="N59" s="58" t="str">
        <f>INDEX(Cálculos!$B$72:$B$81,MATCH(LARGE(Cálculos!$G$72:$G$81,5),Cálculos!$G$72:$G$81,0))</f>
        <v>Sucursal Río Cuarto</v>
      </c>
      <c r="O59" s="58"/>
      <c r="P59" s="58"/>
      <c r="Q59" s="20">
        <f>INDEX(Cálculos!$D$72:$D$81,MATCH(LARGE(Cálculos!$G$72:$G$81,5),Cálculos!$G$72:$G$81,0))</f>
        <v>27949677.449999999</v>
      </c>
      <c r="R59" s="21">
        <f>INDEX(Cálculos!$E$72:$E$81,MATCH(LARGE(Cálculos!$G$72:$G$81,5),Cálculos!$G$72:$G$81,0))</f>
        <v>0.29954712482737439</v>
      </c>
      <c r="S59" s="21">
        <f>INDEX(Cálculos!$F$72:$F$81,MATCH(LARGE(Cálculos!$G$72:$G$81,5),Cálculos!$G$72:$G$81,0))</f>
        <v>0.99179154217380505</v>
      </c>
    </row>
    <row r="60" spans="2:19" ht="15" customHeight="1" x14ac:dyDescent="0.15">
      <c r="M60" s="19">
        <v>6</v>
      </c>
      <c r="N60" s="58" t="str">
        <f>INDEX(Cálculos!$B$72:$B$81,MATCH(LARGE(Cálculos!$G$72:$G$81,6),Cálculos!$G$72:$G$81,0))</f>
        <v>Sucursal Mendoza</v>
      </c>
      <c r="O60" s="58"/>
      <c r="P60" s="58"/>
      <c r="Q60" s="20">
        <f>INDEX(Cálculos!$D$72:$D$81,MATCH(LARGE(Cálculos!$G$72:$G$81,6),Cálculos!$G$72:$G$81,0))</f>
        <v>25829034.550000012</v>
      </c>
      <c r="R60" s="21">
        <f>INDEX(Cálculos!$E$72:$E$81,MATCH(LARGE(Cálculos!$G$72:$G$81,6),Cálculos!$G$72:$G$81,0))</f>
        <v>0.29064212080664065</v>
      </c>
      <c r="S60" s="21">
        <f>INDEX(Cálculos!$F$72:$F$81,MATCH(LARGE(Cálculos!$G$72:$G$81,6),Cálculos!$G$72:$G$81,0))</f>
        <v>0.98168197902018217</v>
      </c>
    </row>
    <row r="61" spans="2:19" ht="15" customHeight="1" x14ac:dyDescent="0.15">
      <c r="M61" s="19">
        <v>7</v>
      </c>
      <c r="N61" s="58" t="str">
        <f>INDEX(Cálculos!$B$72:$B$81,MATCH(LARGE(Cálculos!$G$72:$G$81,7),Cálculos!$G$72:$G$81,0))</f>
        <v>Sucursal Paraná</v>
      </c>
      <c r="O61" s="58"/>
      <c r="P61" s="58"/>
      <c r="Q61" s="20">
        <f>INDEX(Cálculos!$D$72:$D$81,MATCH(LARGE(Cálculos!$G$72:$G$81,7),Cálculos!$G$72:$G$81,0))</f>
        <v>21507788.400000006</v>
      </c>
      <c r="R61" s="21">
        <f>INDEX(Cálculos!$E$72:$E$81,MATCH(LARGE(Cálculos!$G$72:$G$81,7),Cálculos!$G$72:$G$81,0))</f>
        <v>0.27655168441214523</v>
      </c>
      <c r="S61" s="21">
        <f>INDEX(Cálculos!$F$72:$F$81,MATCH(LARGE(Cálculos!$G$72:$G$81,7),Cálculos!$G$72:$G$81,0))</f>
        <v>0.97713817636636258</v>
      </c>
    </row>
    <row r="62" spans="2:19" ht="15" customHeight="1" x14ac:dyDescent="0.15">
      <c r="M62" s="19">
        <v>8</v>
      </c>
      <c r="N62" s="58" t="str">
        <f>INDEX(Cálculos!$B$72:$B$81,MATCH(LARGE(Cálculos!$G$72:$G$81,8),Cálculos!$G$72:$G$81,0))</f>
        <v>Sucursal Neuquén</v>
      </c>
      <c r="O62" s="58"/>
      <c r="P62" s="58"/>
      <c r="Q62" s="20">
        <f>INDEX(Cálculos!$D$72:$D$81,MATCH(LARGE(Cálculos!$G$72:$G$81,8),Cálculos!$G$72:$G$81,0))</f>
        <v>17918836.000000004</v>
      </c>
      <c r="R62" s="21">
        <f>INDEX(Cálculos!$E$72:$E$81,MATCH(LARGE(Cálculos!$G$72:$G$81,8),Cálculos!$G$72:$G$81,0))</f>
        <v>0.24456258152036209</v>
      </c>
      <c r="S62" s="21">
        <f>INDEX(Cálculos!$F$72:$F$81,MATCH(LARGE(Cálculos!$G$72:$G$81,8),Cálculos!$G$72:$G$81,0))</f>
        <v>0.81176207302709091</v>
      </c>
    </row>
    <row r="63" spans="2:19" ht="15" customHeight="1" x14ac:dyDescent="0.15">
      <c r="M63" s="19">
        <v>9</v>
      </c>
      <c r="N63" s="58" t="str">
        <f>INDEX(Cálculos!$B$72:$B$81,MATCH(LARGE(Cálculos!$G$72:$G$81,9),Cálculos!$G$72:$G$81,0))</f>
        <v>Sucursal San Juan</v>
      </c>
      <c r="O63" s="58"/>
      <c r="P63" s="58"/>
      <c r="Q63" s="20">
        <f>INDEX(Cálculos!$D$72:$D$81,MATCH(LARGE(Cálculos!$G$72:$G$81,9),Cálculos!$G$72:$G$81,0))</f>
        <v>13912890.899999997</v>
      </c>
      <c r="R63" s="21">
        <f>INDEX(Cálculos!$E$72:$E$81,MATCH(LARGE(Cálculos!$G$72:$G$81,9),Cálculos!$G$72:$G$81,0))</f>
        <v>0.28103456629563595</v>
      </c>
      <c r="S63" s="21">
        <f>INDEX(Cálculos!$F$72:$F$81,MATCH(LARGE(Cálculos!$G$72:$G$81,9),Cálculos!$G$72:$G$81,0))</f>
        <v>0.98792096144287411</v>
      </c>
    </row>
    <row r="64" spans="2:19" ht="15" customHeight="1" x14ac:dyDescent="0.15">
      <c r="M64" s="19">
        <v>10</v>
      </c>
      <c r="N64" s="58" t="str">
        <f>INDEX(Cálculos!$B$72:$B$81,MATCH(LARGE(Cálculos!$G$72:$G$81,10),Cálculos!$G$72:$G$81,0))</f>
        <v>Sucursal Bariloche</v>
      </c>
      <c r="O64" s="58"/>
      <c r="P64" s="58"/>
      <c r="Q64" s="20">
        <f>INDEX(Cálculos!$D$72:$D$81,MATCH(LARGE(Cálculos!$G$72:$G$81,10),Cálculos!$G$72:$G$81,0))</f>
        <v>12866158.799999997</v>
      </c>
      <c r="R64" s="21">
        <f>INDEX(Cálculos!$E$72:$E$81,MATCH(LARGE(Cálculos!$G$72:$G$81,10),Cálculos!$G$72:$G$81,0))</f>
        <v>0.23631485645894565</v>
      </c>
      <c r="S64" s="21">
        <f>INDEX(Cálculos!$F$72:$F$81,MATCH(LARGE(Cálculos!$G$72:$G$81,10),Cálculos!$G$72:$G$81,0))</f>
        <v>0.79948790157211191</v>
      </c>
    </row>
    <row r="70" spans="2:19" ht="12" customHeight="1" x14ac:dyDescent="0.15">
      <c r="B70" s="59" t="s">
        <v>30</v>
      </c>
      <c r="C70" s="59"/>
      <c r="D70" s="59"/>
      <c r="E70" s="59"/>
      <c r="F70" s="59"/>
      <c r="G70" s="59"/>
      <c r="H70" s="59"/>
      <c r="I70" s="59"/>
      <c r="J70" s="59"/>
      <c r="K70" s="59"/>
      <c r="L70" s="59"/>
      <c r="M70" s="59"/>
      <c r="N70" s="59"/>
      <c r="O70" s="59"/>
      <c r="P70" s="59"/>
      <c r="Q70" s="59"/>
      <c r="R70" s="59"/>
      <c r="S70" s="59"/>
    </row>
    <row r="71" spans="2:19" ht="12" customHeight="1" x14ac:dyDescent="0.15">
      <c r="B71" s="59" t="s">
        <v>31</v>
      </c>
      <c r="C71" s="59"/>
      <c r="D71" s="59"/>
      <c r="E71" s="59"/>
      <c r="F71" s="59"/>
      <c r="G71" s="59"/>
      <c r="H71" s="59"/>
      <c r="I71" s="59"/>
      <c r="J71" s="59"/>
      <c r="K71" s="59"/>
      <c r="L71" s="59"/>
      <c r="M71" s="59"/>
      <c r="N71" s="59"/>
      <c r="O71" s="59"/>
      <c r="P71" s="59"/>
      <c r="Q71" s="59"/>
      <c r="R71" s="59"/>
      <c r="S71" s="59"/>
    </row>
    <row r="72" spans="2:19" ht="12" customHeight="1" x14ac:dyDescent="0.15">
      <c r="B72" s="59" t="s">
        <v>32</v>
      </c>
      <c r="C72" s="59"/>
      <c r="D72" s="59"/>
      <c r="E72" s="59"/>
      <c r="F72" s="59"/>
      <c r="G72" s="59"/>
      <c r="H72" s="59"/>
      <c r="I72" s="59"/>
      <c r="J72" s="59"/>
      <c r="K72" s="59"/>
      <c r="L72" s="59"/>
      <c r="M72" s="59"/>
      <c r="N72" s="59"/>
      <c r="O72" s="59"/>
      <c r="P72" s="59"/>
      <c r="Q72" s="59"/>
      <c r="R72" s="59"/>
      <c r="S72" s="59"/>
    </row>
    <row r="73" spans="2:19" ht="12" customHeight="1" x14ac:dyDescent="0.15">
      <c r="B73" s="59" t="s">
        <v>33</v>
      </c>
      <c r="C73" s="59"/>
      <c r="D73" s="59"/>
      <c r="E73" s="59"/>
      <c r="F73" s="59"/>
      <c r="G73" s="59"/>
      <c r="H73" s="59"/>
      <c r="I73" s="59"/>
      <c r="J73" s="59"/>
      <c r="K73" s="59"/>
      <c r="L73" s="59"/>
      <c r="M73" s="59"/>
      <c r="N73" s="59"/>
      <c r="O73" s="59"/>
      <c r="P73" s="59"/>
      <c r="Q73" s="59"/>
      <c r="R73" s="59"/>
      <c r="S73" s="59"/>
    </row>
    <row r="74" spans="2:19" ht="12" customHeight="1" x14ac:dyDescent="0.15">
      <c r="B74" s="59" t="s">
        <v>34</v>
      </c>
      <c r="C74" s="59"/>
      <c r="D74" s="59"/>
      <c r="E74" s="59"/>
      <c r="F74" s="59"/>
      <c r="G74" s="59"/>
      <c r="H74" s="59"/>
      <c r="I74" s="59"/>
      <c r="J74" s="59"/>
      <c r="K74" s="59"/>
      <c r="L74" s="59"/>
      <c r="M74" s="59"/>
      <c r="N74" s="59"/>
      <c r="O74" s="59"/>
      <c r="P74" s="59"/>
      <c r="Q74" s="59"/>
      <c r="R74" s="59"/>
      <c r="S74" s="59"/>
    </row>
  </sheetData>
  <mergeCells count="60">
    <mergeCell ref="B70:S70"/>
    <mergeCell ref="B71:S71"/>
    <mergeCell ref="B72:S72"/>
    <mergeCell ref="B73:S73"/>
    <mergeCell ref="B74:S74"/>
    <mergeCell ref="N60:P60"/>
    <mergeCell ref="N61:P61"/>
    <mergeCell ref="N62:P62"/>
    <mergeCell ref="N63:P63"/>
    <mergeCell ref="N64:P64"/>
    <mergeCell ref="N55:P55"/>
    <mergeCell ref="N56:P56"/>
    <mergeCell ref="N57:P57"/>
    <mergeCell ref="N58:P58"/>
    <mergeCell ref="N59:P59"/>
    <mergeCell ref="B52:L52"/>
    <mergeCell ref="M52:S52"/>
    <mergeCell ref="B53:L53"/>
    <mergeCell ref="M53:S53"/>
    <mergeCell ref="N54:P54"/>
    <mergeCell ref="B32:J32"/>
    <mergeCell ref="L32:S32"/>
    <mergeCell ref="B33:J33"/>
    <mergeCell ref="L33:S33"/>
    <mergeCell ref="B51:S51"/>
    <mergeCell ref="B12:S12"/>
    <mergeCell ref="B13:J13"/>
    <mergeCell ref="L13:S13"/>
    <mergeCell ref="B14:J14"/>
    <mergeCell ref="L14:S14"/>
    <mergeCell ref="Q9:S9"/>
    <mergeCell ref="B10:D10"/>
    <mergeCell ref="E10:G10"/>
    <mergeCell ref="H10:J10"/>
    <mergeCell ref="K10:M10"/>
    <mergeCell ref="N10:P10"/>
    <mergeCell ref="Q10:S10"/>
    <mergeCell ref="B9:D9"/>
    <mergeCell ref="E9:G9"/>
    <mergeCell ref="H9:J9"/>
    <mergeCell ref="K9:M9"/>
    <mergeCell ref="N9:P9"/>
    <mergeCell ref="Q7:S7"/>
    <mergeCell ref="B8:D8"/>
    <mergeCell ref="E8:G8"/>
    <mergeCell ref="H8:J8"/>
    <mergeCell ref="K8:M8"/>
    <mergeCell ref="N8:P8"/>
    <mergeCell ref="Q8:S8"/>
    <mergeCell ref="B7:D7"/>
    <mergeCell ref="E7:G7"/>
    <mergeCell ref="H7:J7"/>
    <mergeCell ref="K7:M7"/>
    <mergeCell ref="N7:P7"/>
    <mergeCell ref="B2:S2"/>
    <mergeCell ref="C5:E5"/>
    <mergeCell ref="F5:H5"/>
    <mergeCell ref="I5:K5"/>
    <mergeCell ref="M5:S5"/>
    <mergeCell ref="B3:S3"/>
  </mergeCells>
  <conditionalFormatting sqref="K8:M8">
    <cfRule type="cellIs" dxfId="3" priority="6" operator="lessThan">
      <formula>1</formula>
    </cfRule>
  </conditionalFormatting>
  <conditionalFormatting sqref="Q55:Q64">
    <cfRule type="dataBar" priority="2">
      <dataBar>
        <cfvo type="num" val="0"/>
        <cfvo type="max"/>
        <color rgb="FFA9CBE6"/>
      </dataBar>
      <extLst>
        <ext xmlns:x14="http://schemas.microsoft.com/office/spreadsheetml/2009/9/main" uri="{B025F937-C7B1-47D3-B67F-A62EFF666E3E}">
          <x14:id>{3619127E-19B5-4EC8-9268-94B05339F5E1}</x14:id>
        </ext>
      </extLst>
    </cfRule>
  </conditionalFormatting>
  <conditionalFormatting sqref="R55:R64">
    <cfRule type="cellIs" dxfId="2" priority="5" operator="greaterThanOrEqual">
      <formula>0.31</formula>
    </cfRule>
  </conditionalFormatting>
  <conditionalFormatting sqref="S55:S64">
    <cfRule type="cellIs" dxfId="1" priority="3" operator="greaterThanOrEqual">
      <formula>1</formula>
    </cfRule>
    <cfRule type="cellIs" dxfId="0" priority="4" operator="lessThan">
      <formula>0.95</formula>
    </cfRule>
  </conditionalFormatting>
  <dataValidations count="3">
    <dataValidation type="list" errorTitle="Valor no válido" error="Elegí un valor de la lista desplegable." sqref="C5" xr:uid="{00000000-0002-0000-0000-000000000000}">
      <formula1>lst_FiltroCategoria</formula1>
      <formula2>0</formula2>
    </dataValidation>
    <dataValidation type="list" errorTitle="Valor no válido" error="Elegí un valor de la lista desplegable." sqref="F5" xr:uid="{00000000-0002-0000-0000-000001000000}">
      <formula1>lst_FiltroRegion</formula1>
      <formula2>0</formula2>
    </dataValidation>
    <dataValidation type="list" errorTitle="Valor no válido" error="Elegí un valor de la lista desplegable." sqref="I5" xr:uid="{00000000-0002-0000-0000-000002000000}">
      <formula1>lst_FiltroSucursal</formula1>
      <formula2>0</formula2>
    </dataValidation>
  </dataValidations>
  <printOptions horizontalCentered="1"/>
  <pageMargins left="0.75" right="0.75" top="1" bottom="1" header="0.511811023622047" footer="0.511811023622047"/>
  <pageSetup fitToHeight="0" orientation="landscape"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3619127E-19B5-4EC8-9268-94B05339F5E1}">
            <x14:dataBar axisPosition="none">
              <x14:cfvo type="num">
                <xm:f>0</xm:f>
              </x14:cfvo>
              <x14:cfvo type="max"/>
              <x14:negativeFillColor rgb="FFA9CBE6"/>
            </x14:dataBar>
          </x14:cfRule>
          <xm:sqref>Q55:Q64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7280"/>
  </sheetPr>
  <dimension ref="A1:S2089"/>
  <sheetViews>
    <sheetView zoomScaleNormal="100" workbookViewId="0">
      <pane ySplit="1" topLeftCell="A2" activePane="bottomLeft" state="frozen"/>
      <selection pane="bottomLeft"/>
    </sheetView>
  </sheetViews>
  <sheetFormatPr baseColWidth="10" defaultColWidth="8.6640625" defaultRowHeight="13" x14ac:dyDescent="0.15"/>
  <cols>
    <col min="1" max="1" width="11" customWidth="1"/>
    <col min="2" max="2" width="7" customWidth="1"/>
    <col min="3" max="3" width="6" customWidth="1"/>
    <col min="4" max="4" width="12" customWidth="1"/>
    <col min="5" max="5" width="10" customWidth="1"/>
    <col min="6" max="6" width="11" customWidth="1"/>
    <col min="7" max="7" width="22" customWidth="1"/>
    <col min="8" max="8" width="14" customWidth="1"/>
    <col min="9" max="9" width="18" customWidth="1"/>
    <col min="10" max="10" width="12" customWidth="1"/>
    <col min="11" max="11" width="22" customWidth="1"/>
    <col min="12" max="12" width="14" customWidth="1"/>
    <col min="13" max="13" width="10" customWidth="1"/>
    <col min="14" max="18" width="15" customWidth="1"/>
    <col min="19" max="19" width="10" customWidth="1"/>
  </cols>
  <sheetData>
    <row r="1" spans="1:19" ht="24" customHeight="1" x14ac:dyDescent="0.15">
      <c r="A1" s="22" t="s">
        <v>35</v>
      </c>
      <c r="B1" s="22" t="s">
        <v>36</v>
      </c>
      <c r="C1" s="22" t="s">
        <v>37</v>
      </c>
      <c r="D1" s="22" t="s">
        <v>38</v>
      </c>
      <c r="E1" s="22" t="s">
        <v>39</v>
      </c>
      <c r="F1" s="22" t="s">
        <v>40</v>
      </c>
      <c r="G1" s="22" t="s">
        <v>41</v>
      </c>
      <c r="H1" s="22" t="s">
        <v>42</v>
      </c>
      <c r="I1" s="22" t="s">
        <v>43</v>
      </c>
      <c r="J1" s="22" t="s">
        <v>44</v>
      </c>
      <c r="K1" s="22" t="s">
        <v>26</v>
      </c>
      <c r="L1" s="22" t="s">
        <v>45</v>
      </c>
      <c r="M1" s="22" t="s">
        <v>46</v>
      </c>
      <c r="N1" s="22" t="s">
        <v>47</v>
      </c>
      <c r="O1" s="22" t="s">
        <v>48</v>
      </c>
      <c r="P1" s="22" t="s">
        <v>49</v>
      </c>
      <c r="Q1" s="22" t="s">
        <v>50</v>
      </c>
      <c r="R1" s="22" t="s">
        <v>51</v>
      </c>
      <c r="S1" s="22" t="s">
        <v>52</v>
      </c>
    </row>
    <row r="2" spans="1:19" ht="15" x14ac:dyDescent="0.2">
      <c r="A2" s="23">
        <v>45658</v>
      </c>
      <c r="B2">
        <f t="shared" ref="B2:B65" si="0">YEAR($A2)</f>
        <v>2025</v>
      </c>
      <c r="C2">
        <f t="shared" ref="C2:C65" si="1">MONTH($A2)</f>
        <v>1</v>
      </c>
      <c r="D2" t="str">
        <f t="shared" ref="D2:D65" si="2">INDEX(lst_Meses,MONTH($A2))</f>
        <v>Enero</v>
      </c>
      <c r="E2" t="str">
        <f t="shared" ref="E2:E65" si="3">"T"&amp;ROUNDUP(MONTH($A2)/3,0)</f>
        <v>T1</v>
      </c>
      <c r="F2" t="s">
        <v>53</v>
      </c>
      <c r="G2" t="s">
        <v>54</v>
      </c>
      <c r="H2" t="s">
        <v>55</v>
      </c>
      <c r="I2" t="s">
        <v>56</v>
      </c>
      <c r="J2" t="s">
        <v>57</v>
      </c>
      <c r="K2" t="s">
        <v>58</v>
      </c>
      <c r="L2" t="s">
        <v>59</v>
      </c>
      <c r="M2" s="24">
        <v>5</v>
      </c>
      <c r="N2" s="25">
        <v>65111.73</v>
      </c>
      <c r="O2" s="25">
        <f t="shared" ref="O2:O65" si="4">$M2*$N2</f>
        <v>325558.65000000002</v>
      </c>
      <c r="P2" s="25">
        <v>45023.42</v>
      </c>
      <c r="Q2" s="25">
        <f t="shared" ref="Q2:Q65" si="5">$M2*$P2</f>
        <v>225117.09999999998</v>
      </c>
      <c r="R2" s="25">
        <f t="shared" ref="R2:R65" si="6">$O2-$Q2</f>
        <v>100441.55000000005</v>
      </c>
      <c r="S2" s="26">
        <f t="shared" ref="S2:S65" si="7">IFERROR($R2/$O2,0)</f>
        <v>0.30852059989805231</v>
      </c>
    </row>
    <row r="3" spans="1:19" ht="15" x14ac:dyDescent="0.2">
      <c r="A3" s="23">
        <v>45658</v>
      </c>
      <c r="B3">
        <f t="shared" si="0"/>
        <v>2025</v>
      </c>
      <c r="C3">
        <f t="shared" si="1"/>
        <v>1</v>
      </c>
      <c r="D3" t="str">
        <f t="shared" si="2"/>
        <v>Enero</v>
      </c>
      <c r="E3" t="str">
        <f t="shared" si="3"/>
        <v>T1</v>
      </c>
      <c r="F3" t="s">
        <v>60</v>
      </c>
      <c r="G3" t="s">
        <v>61</v>
      </c>
      <c r="H3" t="s">
        <v>62</v>
      </c>
      <c r="I3" t="s">
        <v>63</v>
      </c>
      <c r="J3" t="s">
        <v>64</v>
      </c>
      <c r="K3" t="s">
        <v>65</v>
      </c>
      <c r="L3" t="s">
        <v>66</v>
      </c>
      <c r="M3" s="24">
        <v>116</v>
      </c>
      <c r="N3" s="25">
        <v>5794.08</v>
      </c>
      <c r="O3" s="25">
        <f t="shared" si="4"/>
        <v>672113.28</v>
      </c>
      <c r="P3" s="25">
        <v>4799.82</v>
      </c>
      <c r="Q3" s="25">
        <f t="shared" si="5"/>
        <v>556779.12</v>
      </c>
      <c r="R3" s="25">
        <f t="shared" si="6"/>
        <v>115334.16000000003</v>
      </c>
      <c r="S3" s="26">
        <f t="shared" si="7"/>
        <v>0.1715992875486704</v>
      </c>
    </row>
    <row r="4" spans="1:19" ht="15" x14ac:dyDescent="0.2">
      <c r="A4" s="23">
        <v>45658</v>
      </c>
      <c r="B4">
        <f t="shared" si="0"/>
        <v>2025</v>
      </c>
      <c r="C4">
        <f t="shared" si="1"/>
        <v>1</v>
      </c>
      <c r="D4" t="str">
        <f t="shared" si="2"/>
        <v>Enero</v>
      </c>
      <c r="E4" t="str">
        <f t="shared" si="3"/>
        <v>T1</v>
      </c>
      <c r="F4" t="s">
        <v>67</v>
      </c>
      <c r="G4" t="s">
        <v>68</v>
      </c>
      <c r="H4" t="s">
        <v>62</v>
      </c>
      <c r="I4" t="s">
        <v>69</v>
      </c>
      <c r="J4" t="s">
        <v>70</v>
      </c>
      <c r="K4" t="s">
        <v>71</v>
      </c>
      <c r="L4" t="s">
        <v>72</v>
      </c>
      <c r="M4" s="24">
        <v>91</v>
      </c>
      <c r="N4" s="25">
        <v>3028.48</v>
      </c>
      <c r="O4" s="25">
        <f t="shared" si="4"/>
        <v>275591.67999999999</v>
      </c>
      <c r="P4" s="25">
        <v>2601.9</v>
      </c>
      <c r="Q4" s="25">
        <f t="shared" si="5"/>
        <v>236772.9</v>
      </c>
      <c r="R4" s="25">
        <f t="shared" si="6"/>
        <v>38818.78</v>
      </c>
      <c r="S4" s="26">
        <f t="shared" si="7"/>
        <v>0.14085613905325445</v>
      </c>
    </row>
    <row r="5" spans="1:19" ht="15" x14ac:dyDescent="0.2">
      <c r="A5" s="23">
        <v>45658</v>
      </c>
      <c r="B5">
        <f t="shared" si="0"/>
        <v>2025</v>
      </c>
      <c r="C5">
        <f t="shared" si="1"/>
        <v>1</v>
      </c>
      <c r="D5" t="str">
        <f t="shared" si="2"/>
        <v>Enero</v>
      </c>
      <c r="E5" t="str">
        <f t="shared" si="3"/>
        <v>T1</v>
      </c>
      <c r="F5" t="s">
        <v>73</v>
      </c>
      <c r="G5" t="s">
        <v>74</v>
      </c>
      <c r="H5" t="s">
        <v>75</v>
      </c>
      <c r="I5" t="s">
        <v>76</v>
      </c>
      <c r="J5" t="s">
        <v>77</v>
      </c>
      <c r="K5" t="s">
        <v>78</v>
      </c>
      <c r="L5" t="s">
        <v>79</v>
      </c>
      <c r="M5" s="24">
        <v>9</v>
      </c>
      <c r="N5" s="25">
        <v>43517.06</v>
      </c>
      <c r="O5" s="25">
        <f t="shared" si="4"/>
        <v>391653.54</v>
      </c>
      <c r="P5" s="25">
        <v>28603.01</v>
      </c>
      <c r="Q5" s="25">
        <f t="shared" si="5"/>
        <v>257427.09</v>
      </c>
      <c r="R5" s="25">
        <f t="shared" si="6"/>
        <v>134226.44999999998</v>
      </c>
      <c r="S5" s="26">
        <f t="shared" si="7"/>
        <v>0.34271731592161786</v>
      </c>
    </row>
    <row r="6" spans="1:19" ht="15" x14ac:dyDescent="0.2">
      <c r="A6" s="23">
        <v>45658</v>
      </c>
      <c r="B6">
        <f t="shared" si="0"/>
        <v>2025</v>
      </c>
      <c r="C6">
        <f t="shared" si="1"/>
        <v>1</v>
      </c>
      <c r="D6" t="str">
        <f t="shared" si="2"/>
        <v>Enero</v>
      </c>
      <c r="E6" t="str">
        <f t="shared" si="3"/>
        <v>T1</v>
      </c>
      <c r="F6" t="s">
        <v>80</v>
      </c>
      <c r="G6" t="s">
        <v>74</v>
      </c>
      <c r="H6" t="s">
        <v>75</v>
      </c>
      <c r="I6" t="s">
        <v>76</v>
      </c>
      <c r="J6" t="s">
        <v>57</v>
      </c>
      <c r="K6" t="s">
        <v>81</v>
      </c>
      <c r="L6" t="s">
        <v>82</v>
      </c>
      <c r="M6" s="24">
        <v>2</v>
      </c>
      <c r="N6" s="25">
        <v>37712.61</v>
      </c>
      <c r="O6" s="25">
        <f t="shared" si="4"/>
        <v>75425.22</v>
      </c>
      <c r="P6" s="25">
        <v>25852.3</v>
      </c>
      <c r="Q6" s="25">
        <f t="shared" si="5"/>
        <v>51704.6</v>
      </c>
      <c r="R6" s="25">
        <f t="shared" si="6"/>
        <v>23720.620000000003</v>
      </c>
      <c r="S6" s="26">
        <f t="shared" si="7"/>
        <v>0.31449189011314788</v>
      </c>
    </row>
    <row r="7" spans="1:19" ht="15" x14ac:dyDescent="0.2">
      <c r="A7" s="23">
        <v>45658</v>
      </c>
      <c r="B7">
        <f t="shared" si="0"/>
        <v>2025</v>
      </c>
      <c r="C7">
        <f t="shared" si="1"/>
        <v>1</v>
      </c>
      <c r="D7" t="str">
        <f t="shared" si="2"/>
        <v>Enero</v>
      </c>
      <c r="E7" t="str">
        <f t="shared" si="3"/>
        <v>T1</v>
      </c>
      <c r="F7" t="s">
        <v>83</v>
      </c>
      <c r="G7" t="s">
        <v>74</v>
      </c>
      <c r="H7" t="s">
        <v>75</v>
      </c>
      <c r="I7" t="s">
        <v>76</v>
      </c>
      <c r="J7" t="s">
        <v>70</v>
      </c>
      <c r="K7" t="s">
        <v>84</v>
      </c>
      <c r="L7" t="s">
        <v>85</v>
      </c>
      <c r="M7" s="24">
        <v>1</v>
      </c>
      <c r="N7" s="25">
        <v>9323.2199999999993</v>
      </c>
      <c r="O7" s="25">
        <f t="shared" si="4"/>
        <v>9323.2199999999993</v>
      </c>
      <c r="P7" s="25">
        <v>6615.4</v>
      </c>
      <c r="Q7" s="25">
        <f t="shared" si="5"/>
        <v>6615.4</v>
      </c>
      <c r="R7" s="25">
        <f t="shared" si="6"/>
        <v>2707.8199999999997</v>
      </c>
      <c r="S7" s="26">
        <f t="shared" si="7"/>
        <v>0.29043828205276717</v>
      </c>
    </row>
    <row r="8" spans="1:19" ht="15" x14ac:dyDescent="0.2">
      <c r="A8" s="23">
        <v>45658</v>
      </c>
      <c r="B8">
        <f t="shared" si="0"/>
        <v>2025</v>
      </c>
      <c r="C8">
        <f t="shared" si="1"/>
        <v>1</v>
      </c>
      <c r="D8" t="str">
        <f t="shared" si="2"/>
        <v>Enero</v>
      </c>
      <c r="E8" t="str">
        <f t="shared" si="3"/>
        <v>T1</v>
      </c>
      <c r="F8" t="s">
        <v>86</v>
      </c>
      <c r="G8" t="s">
        <v>87</v>
      </c>
      <c r="H8" t="s">
        <v>88</v>
      </c>
      <c r="I8" t="s">
        <v>89</v>
      </c>
      <c r="J8" t="s">
        <v>70</v>
      </c>
      <c r="K8" t="s">
        <v>71</v>
      </c>
      <c r="L8" t="s">
        <v>90</v>
      </c>
      <c r="M8" s="24">
        <v>2</v>
      </c>
      <c r="N8" s="25">
        <v>56892.63</v>
      </c>
      <c r="O8" s="25">
        <f t="shared" si="4"/>
        <v>113785.26</v>
      </c>
      <c r="P8" s="25">
        <v>33812.620000000003</v>
      </c>
      <c r="Q8" s="25">
        <f t="shared" si="5"/>
        <v>67625.240000000005</v>
      </c>
      <c r="R8" s="25">
        <f t="shared" si="6"/>
        <v>46160.01999999999</v>
      </c>
      <c r="S8" s="26">
        <f t="shared" si="7"/>
        <v>0.40567662278927863</v>
      </c>
    </row>
    <row r="9" spans="1:19" ht="15" x14ac:dyDescent="0.2">
      <c r="A9" s="23">
        <v>45658</v>
      </c>
      <c r="B9">
        <f t="shared" si="0"/>
        <v>2025</v>
      </c>
      <c r="C9">
        <f t="shared" si="1"/>
        <v>1</v>
      </c>
      <c r="D9" t="str">
        <f t="shared" si="2"/>
        <v>Enero</v>
      </c>
      <c r="E9" t="str">
        <f t="shared" si="3"/>
        <v>T1</v>
      </c>
      <c r="F9" t="s">
        <v>91</v>
      </c>
      <c r="G9" t="s">
        <v>92</v>
      </c>
      <c r="H9" t="s">
        <v>93</v>
      </c>
      <c r="I9" t="s">
        <v>94</v>
      </c>
      <c r="J9" t="s">
        <v>64</v>
      </c>
      <c r="K9" t="s">
        <v>65</v>
      </c>
      <c r="L9" t="s">
        <v>66</v>
      </c>
      <c r="M9" s="24">
        <v>10</v>
      </c>
      <c r="N9" s="25">
        <v>20030.93</v>
      </c>
      <c r="O9" s="25">
        <f t="shared" si="4"/>
        <v>200309.3</v>
      </c>
      <c r="P9" s="25">
        <v>11969.46</v>
      </c>
      <c r="Q9" s="25">
        <f t="shared" si="5"/>
        <v>119694.59999999999</v>
      </c>
      <c r="R9" s="25">
        <f t="shared" si="6"/>
        <v>80614.7</v>
      </c>
      <c r="S9" s="26">
        <f t="shared" si="7"/>
        <v>0.40245110935937572</v>
      </c>
    </row>
    <row r="10" spans="1:19" ht="15" x14ac:dyDescent="0.2">
      <c r="A10" s="23">
        <v>45658</v>
      </c>
      <c r="B10">
        <f t="shared" si="0"/>
        <v>2025</v>
      </c>
      <c r="C10">
        <f t="shared" si="1"/>
        <v>1</v>
      </c>
      <c r="D10" t="str">
        <f t="shared" si="2"/>
        <v>Enero</v>
      </c>
      <c r="E10" t="str">
        <f t="shared" si="3"/>
        <v>T1</v>
      </c>
      <c r="F10" t="s">
        <v>95</v>
      </c>
      <c r="G10" t="s">
        <v>92</v>
      </c>
      <c r="H10" t="s">
        <v>93</v>
      </c>
      <c r="I10" t="s">
        <v>94</v>
      </c>
      <c r="J10" t="s">
        <v>64</v>
      </c>
      <c r="K10" t="s">
        <v>96</v>
      </c>
      <c r="L10" t="s">
        <v>97</v>
      </c>
      <c r="M10" s="24">
        <v>9</v>
      </c>
      <c r="N10" s="25">
        <v>20316.46</v>
      </c>
      <c r="O10" s="25">
        <f t="shared" si="4"/>
        <v>182848.13999999998</v>
      </c>
      <c r="P10" s="25">
        <v>12450.73</v>
      </c>
      <c r="Q10" s="25">
        <f t="shared" si="5"/>
        <v>112056.56999999999</v>
      </c>
      <c r="R10" s="25">
        <f t="shared" si="6"/>
        <v>70791.569999999992</v>
      </c>
      <c r="S10" s="26">
        <f t="shared" si="7"/>
        <v>0.38716046004077481</v>
      </c>
    </row>
    <row r="11" spans="1:19" ht="15" x14ac:dyDescent="0.2">
      <c r="A11" s="23">
        <v>45659</v>
      </c>
      <c r="B11">
        <f t="shared" si="0"/>
        <v>2025</v>
      </c>
      <c r="C11">
        <f t="shared" si="1"/>
        <v>1</v>
      </c>
      <c r="D11" t="str">
        <f t="shared" si="2"/>
        <v>Enero</v>
      </c>
      <c r="E11" t="str">
        <f t="shared" si="3"/>
        <v>T1</v>
      </c>
      <c r="F11" t="s">
        <v>98</v>
      </c>
      <c r="G11" t="s">
        <v>74</v>
      </c>
      <c r="H11" t="s">
        <v>75</v>
      </c>
      <c r="I11" t="s">
        <v>76</v>
      </c>
      <c r="J11" t="s">
        <v>70</v>
      </c>
      <c r="K11" t="s">
        <v>71</v>
      </c>
      <c r="L11" t="s">
        <v>90</v>
      </c>
      <c r="M11" s="24">
        <v>5</v>
      </c>
      <c r="N11" s="25">
        <v>43110.58</v>
      </c>
      <c r="O11" s="25">
        <f t="shared" si="4"/>
        <v>215552.90000000002</v>
      </c>
      <c r="P11" s="25">
        <v>30715.75</v>
      </c>
      <c r="Q11" s="25">
        <f t="shared" si="5"/>
        <v>153578.75</v>
      </c>
      <c r="R11" s="25">
        <f t="shared" si="6"/>
        <v>61974.150000000023</v>
      </c>
      <c r="S11" s="26">
        <f t="shared" si="7"/>
        <v>0.28751248533422663</v>
      </c>
    </row>
    <row r="12" spans="1:19" ht="15" x14ac:dyDescent="0.2">
      <c r="A12" s="23">
        <v>45659</v>
      </c>
      <c r="B12">
        <f t="shared" si="0"/>
        <v>2025</v>
      </c>
      <c r="C12">
        <f t="shared" si="1"/>
        <v>1</v>
      </c>
      <c r="D12" t="str">
        <f t="shared" si="2"/>
        <v>Enero</v>
      </c>
      <c r="E12" t="str">
        <f t="shared" si="3"/>
        <v>T1</v>
      </c>
      <c r="F12" t="s">
        <v>99</v>
      </c>
      <c r="G12" t="s">
        <v>100</v>
      </c>
      <c r="H12" t="s">
        <v>88</v>
      </c>
      <c r="I12" t="s">
        <v>101</v>
      </c>
      <c r="J12" t="s">
        <v>77</v>
      </c>
      <c r="K12" t="s">
        <v>78</v>
      </c>
      <c r="L12" t="s">
        <v>79</v>
      </c>
      <c r="M12" s="24">
        <v>5</v>
      </c>
      <c r="N12" s="25">
        <v>41761.919999999998</v>
      </c>
      <c r="O12" s="25">
        <f t="shared" si="4"/>
        <v>208809.59999999998</v>
      </c>
      <c r="P12" s="25">
        <v>21831</v>
      </c>
      <c r="Q12" s="25">
        <f t="shared" si="5"/>
        <v>109155</v>
      </c>
      <c r="R12" s="25">
        <f t="shared" si="6"/>
        <v>99654.599999999977</v>
      </c>
      <c r="S12" s="26">
        <f t="shared" si="7"/>
        <v>0.47725104592892276</v>
      </c>
    </row>
    <row r="13" spans="1:19" ht="15" x14ac:dyDescent="0.2">
      <c r="A13" s="23">
        <v>45660</v>
      </c>
      <c r="B13">
        <f t="shared" si="0"/>
        <v>2025</v>
      </c>
      <c r="C13">
        <f t="shared" si="1"/>
        <v>1</v>
      </c>
      <c r="D13" t="str">
        <f t="shared" si="2"/>
        <v>Enero</v>
      </c>
      <c r="E13" t="str">
        <f t="shared" si="3"/>
        <v>T1</v>
      </c>
      <c r="F13" t="s">
        <v>102</v>
      </c>
      <c r="G13" t="s">
        <v>61</v>
      </c>
      <c r="H13" t="s">
        <v>62</v>
      </c>
      <c r="I13" t="s">
        <v>63</v>
      </c>
      <c r="J13" t="s">
        <v>64</v>
      </c>
      <c r="K13" t="s">
        <v>96</v>
      </c>
      <c r="L13" t="s">
        <v>103</v>
      </c>
      <c r="M13" s="24">
        <v>133</v>
      </c>
      <c r="N13" s="25">
        <v>5730.73</v>
      </c>
      <c r="O13" s="25">
        <f t="shared" si="4"/>
        <v>762187.09</v>
      </c>
      <c r="P13" s="25">
        <v>4785.82</v>
      </c>
      <c r="Q13" s="25">
        <f t="shared" si="5"/>
        <v>636514.05999999994</v>
      </c>
      <c r="R13" s="25">
        <f t="shared" si="6"/>
        <v>125673.03000000003</v>
      </c>
      <c r="S13" s="26">
        <f t="shared" si="7"/>
        <v>0.16488475290233534</v>
      </c>
    </row>
    <row r="14" spans="1:19" ht="15" x14ac:dyDescent="0.2">
      <c r="A14" s="23">
        <v>45660</v>
      </c>
      <c r="B14">
        <f t="shared" si="0"/>
        <v>2025</v>
      </c>
      <c r="C14">
        <f t="shared" si="1"/>
        <v>1</v>
      </c>
      <c r="D14" t="str">
        <f t="shared" si="2"/>
        <v>Enero</v>
      </c>
      <c r="E14" t="str">
        <f t="shared" si="3"/>
        <v>T1</v>
      </c>
      <c r="F14" t="s">
        <v>104</v>
      </c>
      <c r="G14" t="s">
        <v>105</v>
      </c>
      <c r="H14" t="s">
        <v>62</v>
      </c>
      <c r="I14" t="s">
        <v>106</v>
      </c>
      <c r="J14" t="s">
        <v>77</v>
      </c>
      <c r="K14" t="s">
        <v>107</v>
      </c>
      <c r="L14" t="s">
        <v>108</v>
      </c>
      <c r="M14" s="24">
        <v>486</v>
      </c>
      <c r="N14" s="25">
        <v>1923.38</v>
      </c>
      <c r="O14" s="25">
        <f t="shared" si="4"/>
        <v>934762.68</v>
      </c>
      <c r="P14" s="25">
        <v>1499.44</v>
      </c>
      <c r="Q14" s="25">
        <f t="shared" si="5"/>
        <v>728727.84000000008</v>
      </c>
      <c r="R14" s="25">
        <f t="shared" si="6"/>
        <v>206034.83999999997</v>
      </c>
      <c r="S14" s="26">
        <f t="shared" si="7"/>
        <v>0.22041406274371153</v>
      </c>
    </row>
    <row r="15" spans="1:19" ht="15" x14ac:dyDescent="0.2">
      <c r="A15" s="23">
        <v>45660</v>
      </c>
      <c r="B15">
        <f t="shared" si="0"/>
        <v>2025</v>
      </c>
      <c r="C15">
        <f t="shared" si="1"/>
        <v>1</v>
      </c>
      <c r="D15" t="str">
        <f t="shared" si="2"/>
        <v>Enero</v>
      </c>
      <c r="E15" t="str">
        <f t="shared" si="3"/>
        <v>T1</v>
      </c>
      <c r="F15" t="s">
        <v>109</v>
      </c>
      <c r="G15" t="s">
        <v>110</v>
      </c>
      <c r="H15" t="s">
        <v>62</v>
      </c>
      <c r="I15" t="s">
        <v>69</v>
      </c>
      <c r="J15" t="s">
        <v>57</v>
      </c>
      <c r="K15" t="s">
        <v>58</v>
      </c>
      <c r="L15" t="s">
        <v>59</v>
      </c>
      <c r="M15" s="24">
        <v>59</v>
      </c>
      <c r="N15" s="25">
        <v>6581.43</v>
      </c>
      <c r="O15" s="25">
        <f t="shared" si="4"/>
        <v>388304.37</v>
      </c>
      <c r="P15" s="25">
        <v>5419.07</v>
      </c>
      <c r="Q15" s="25">
        <f t="shared" si="5"/>
        <v>319725.13</v>
      </c>
      <c r="R15" s="25">
        <f t="shared" si="6"/>
        <v>68579.239999999991</v>
      </c>
      <c r="S15" s="26">
        <f t="shared" si="7"/>
        <v>0.17661207366788068</v>
      </c>
    </row>
    <row r="16" spans="1:19" ht="15" x14ac:dyDescent="0.2">
      <c r="A16" s="23">
        <v>45660</v>
      </c>
      <c r="B16">
        <f t="shared" si="0"/>
        <v>2025</v>
      </c>
      <c r="C16">
        <f t="shared" si="1"/>
        <v>1</v>
      </c>
      <c r="D16" t="str">
        <f t="shared" si="2"/>
        <v>Enero</v>
      </c>
      <c r="E16" t="str">
        <f t="shared" si="3"/>
        <v>T1</v>
      </c>
      <c r="F16" t="s">
        <v>111</v>
      </c>
      <c r="G16" t="s">
        <v>74</v>
      </c>
      <c r="H16" t="s">
        <v>75</v>
      </c>
      <c r="I16" t="s">
        <v>76</v>
      </c>
      <c r="J16" t="s">
        <v>77</v>
      </c>
      <c r="K16" t="s">
        <v>107</v>
      </c>
      <c r="L16" t="s">
        <v>112</v>
      </c>
      <c r="M16" s="24">
        <v>12</v>
      </c>
      <c r="N16" s="25">
        <v>42025.96</v>
      </c>
      <c r="O16" s="25">
        <f t="shared" si="4"/>
        <v>504311.52</v>
      </c>
      <c r="P16" s="25">
        <v>26881.77</v>
      </c>
      <c r="Q16" s="25">
        <f t="shared" si="5"/>
        <v>322581.24</v>
      </c>
      <c r="R16" s="25">
        <f t="shared" si="6"/>
        <v>181730.28000000003</v>
      </c>
      <c r="S16" s="26">
        <f t="shared" si="7"/>
        <v>0.3603532197717792</v>
      </c>
    </row>
    <row r="17" spans="1:19" ht="15" x14ac:dyDescent="0.2">
      <c r="A17" s="23">
        <v>45660</v>
      </c>
      <c r="B17">
        <f t="shared" si="0"/>
        <v>2025</v>
      </c>
      <c r="C17">
        <f t="shared" si="1"/>
        <v>1</v>
      </c>
      <c r="D17" t="str">
        <f t="shared" si="2"/>
        <v>Enero</v>
      </c>
      <c r="E17" t="str">
        <f t="shared" si="3"/>
        <v>T1</v>
      </c>
      <c r="F17" t="s">
        <v>113</v>
      </c>
      <c r="G17" t="s">
        <v>114</v>
      </c>
      <c r="H17" t="s">
        <v>75</v>
      </c>
      <c r="I17" t="s">
        <v>115</v>
      </c>
      <c r="J17" t="s">
        <v>77</v>
      </c>
      <c r="K17" t="s">
        <v>78</v>
      </c>
      <c r="L17" t="s">
        <v>79</v>
      </c>
      <c r="M17" s="24">
        <v>4</v>
      </c>
      <c r="N17" s="25">
        <v>93841.47</v>
      </c>
      <c r="O17" s="25">
        <f t="shared" si="4"/>
        <v>375365.88</v>
      </c>
      <c r="P17" s="25">
        <v>61997.5</v>
      </c>
      <c r="Q17" s="25">
        <f t="shared" si="5"/>
        <v>247990</v>
      </c>
      <c r="R17" s="25">
        <f t="shared" si="6"/>
        <v>127375.88</v>
      </c>
      <c r="S17" s="26">
        <f t="shared" si="7"/>
        <v>0.33933792810364116</v>
      </c>
    </row>
    <row r="18" spans="1:19" ht="15" x14ac:dyDescent="0.2">
      <c r="A18" s="23">
        <v>45660</v>
      </c>
      <c r="B18">
        <f t="shared" si="0"/>
        <v>2025</v>
      </c>
      <c r="C18">
        <f t="shared" si="1"/>
        <v>1</v>
      </c>
      <c r="D18" t="str">
        <f t="shared" si="2"/>
        <v>Enero</v>
      </c>
      <c r="E18" t="str">
        <f t="shared" si="3"/>
        <v>T1</v>
      </c>
      <c r="F18" t="s">
        <v>116</v>
      </c>
      <c r="G18" t="s">
        <v>92</v>
      </c>
      <c r="H18" t="s">
        <v>93</v>
      </c>
      <c r="I18" t="s">
        <v>94</v>
      </c>
      <c r="J18" t="s">
        <v>77</v>
      </c>
      <c r="K18" t="s">
        <v>78</v>
      </c>
      <c r="L18" t="s">
        <v>117</v>
      </c>
      <c r="M18" s="24">
        <v>6</v>
      </c>
      <c r="N18" s="25">
        <v>22212.41</v>
      </c>
      <c r="O18" s="25">
        <f t="shared" si="4"/>
        <v>133274.46</v>
      </c>
      <c r="P18" s="25">
        <v>12783.93</v>
      </c>
      <c r="Q18" s="25">
        <f t="shared" si="5"/>
        <v>76703.58</v>
      </c>
      <c r="R18" s="25">
        <f t="shared" si="6"/>
        <v>56570.87999999999</v>
      </c>
      <c r="S18" s="26">
        <f t="shared" si="7"/>
        <v>0.42446902429767858</v>
      </c>
    </row>
    <row r="19" spans="1:19" ht="15" x14ac:dyDescent="0.2">
      <c r="A19" s="23">
        <v>45660</v>
      </c>
      <c r="B19">
        <f t="shared" si="0"/>
        <v>2025</v>
      </c>
      <c r="C19">
        <f t="shared" si="1"/>
        <v>1</v>
      </c>
      <c r="D19" t="str">
        <f t="shared" si="2"/>
        <v>Enero</v>
      </c>
      <c r="E19" t="str">
        <f t="shared" si="3"/>
        <v>T1</v>
      </c>
      <c r="F19" t="s">
        <v>118</v>
      </c>
      <c r="G19" t="s">
        <v>92</v>
      </c>
      <c r="H19" t="s">
        <v>93</v>
      </c>
      <c r="I19" t="s">
        <v>94</v>
      </c>
      <c r="J19" t="s">
        <v>70</v>
      </c>
      <c r="K19" t="s">
        <v>84</v>
      </c>
      <c r="L19" t="s">
        <v>85</v>
      </c>
      <c r="M19" s="24">
        <v>4</v>
      </c>
      <c r="N19" s="25">
        <v>16796.490000000002</v>
      </c>
      <c r="O19" s="25">
        <f t="shared" si="4"/>
        <v>67185.960000000006</v>
      </c>
      <c r="P19" s="25">
        <v>10553.1</v>
      </c>
      <c r="Q19" s="25">
        <f t="shared" si="5"/>
        <v>42212.4</v>
      </c>
      <c r="R19" s="25">
        <f t="shared" si="6"/>
        <v>24973.560000000005</v>
      </c>
      <c r="S19" s="26">
        <f t="shared" si="7"/>
        <v>0.37170801756795618</v>
      </c>
    </row>
    <row r="20" spans="1:19" ht="15" x14ac:dyDescent="0.2">
      <c r="A20" s="23">
        <v>45661</v>
      </c>
      <c r="B20">
        <f t="shared" si="0"/>
        <v>2025</v>
      </c>
      <c r="C20">
        <f t="shared" si="1"/>
        <v>1</v>
      </c>
      <c r="D20" t="str">
        <f t="shared" si="2"/>
        <v>Enero</v>
      </c>
      <c r="E20" t="str">
        <f t="shared" si="3"/>
        <v>T1</v>
      </c>
      <c r="F20" t="s">
        <v>119</v>
      </c>
      <c r="G20" t="s">
        <v>54</v>
      </c>
      <c r="H20" t="s">
        <v>55</v>
      </c>
      <c r="I20" t="s">
        <v>56</v>
      </c>
      <c r="J20" t="s">
        <v>77</v>
      </c>
      <c r="K20" t="s">
        <v>78</v>
      </c>
      <c r="L20" t="s">
        <v>79</v>
      </c>
      <c r="M20" s="24">
        <v>9</v>
      </c>
      <c r="N20" s="25">
        <v>61896.28</v>
      </c>
      <c r="O20" s="25">
        <f t="shared" si="4"/>
        <v>557066.52</v>
      </c>
      <c r="P20" s="25">
        <v>41891.839999999997</v>
      </c>
      <c r="Q20" s="25">
        <f t="shared" si="5"/>
        <v>377026.55999999994</v>
      </c>
      <c r="R20" s="25">
        <f t="shared" si="6"/>
        <v>180039.96000000008</v>
      </c>
      <c r="S20" s="26">
        <f t="shared" si="7"/>
        <v>0.32319292855725751</v>
      </c>
    </row>
    <row r="21" spans="1:19" ht="15" x14ac:dyDescent="0.2">
      <c r="A21" s="23">
        <v>45661</v>
      </c>
      <c r="B21">
        <f t="shared" si="0"/>
        <v>2025</v>
      </c>
      <c r="C21">
        <f t="shared" si="1"/>
        <v>1</v>
      </c>
      <c r="D21" t="str">
        <f t="shared" si="2"/>
        <v>Enero</v>
      </c>
      <c r="E21" t="str">
        <f t="shared" si="3"/>
        <v>T1</v>
      </c>
      <c r="F21" t="s">
        <v>120</v>
      </c>
      <c r="G21" t="s">
        <v>121</v>
      </c>
      <c r="H21" t="s">
        <v>75</v>
      </c>
      <c r="I21" t="s">
        <v>122</v>
      </c>
      <c r="J21" t="s">
        <v>64</v>
      </c>
      <c r="K21" t="s">
        <v>65</v>
      </c>
      <c r="L21" t="s">
        <v>123</v>
      </c>
      <c r="M21" s="24">
        <v>3</v>
      </c>
      <c r="N21" s="25">
        <v>406189.06</v>
      </c>
      <c r="O21" s="25">
        <f t="shared" si="4"/>
        <v>1218567.18</v>
      </c>
      <c r="P21" s="25">
        <v>280886.49</v>
      </c>
      <c r="Q21" s="25">
        <f t="shared" si="5"/>
        <v>842659.47</v>
      </c>
      <c r="R21" s="25">
        <f t="shared" si="6"/>
        <v>375907.70999999996</v>
      </c>
      <c r="S21" s="26">
        <f t="shared" si="7"/>
        <v>0.30848336978844282</v>
      </c>
    </row>
    <row r="22" spans="1:19" ht="15" x14ac:dyDescent="0.2">
      <c r="A22" s="23">
        <v>45661</v>
      </c>
      <c r="B22">
        <f t="shared" si="0"/>
        <v>2025</v>
      </c>
      <c r="C22">
        <f t="shared" si="1"/>
        <v>1</v>
      </c>
      <c r="D22" t="str">
        <f t="shared" si="2"/>
        <v>Enero</v>
      </c>
      <c r="E22" t="str">
        <f t="shared" si="3"/>
        <v>T1</v>
      </c>
      <c r="F22" t="s">
        <v>124</v>
      </c>
      <c r="G22" t="s">
        <v>74</v>
      </c>
      <c r="H22" t="s">
        <v>75</v>
      </c>
      <c r="I22" t="s">
        <v>76</v>
      </c>
      <c r="J22" t="s">
        <v>125</v>
      </c>
      <c r="K22" t="s">
        <v>126</v>
      </c>
      <c r="L22" t="s">
        <v>127</v>
      </c>
      <c r="M22" s="24">
        <v>4</v>
      </c>
      <c r="N22" s="25">
        <v>36975.83</v>
      </c>
      <c r="O22" s="25">
        <f t="shared" si="4"/>
        <v>147903.32</v>
      </c>
      <c r="P22" s="25">
        <v>25317.01</v>
      </c>
      <c r="Q22" s="25">
        <f t="shared" si="5"/>
        <v>101268.04</v>
      </c>
      <c r="R22" s="25">
        <f t="shared" si="6"/>
        <v>46635.280000000013</v>
      </c>
      <c r="S22" s="26">
        <f t="shared" si="7"/>
        <v>0.31530921685868857</v>
      </c>
    </row>
    <row r="23" spans="1:19" ht="15" x14ac:dyDescent="0.2">
      <c r="A23" s="23">
        <v>45661</v>
      </c>
      <c r="B23">
        <f t="shared" si="0"/>
        <v>2025</v>
      </c>
      <c r="C23">
        <f t="shared" si="1"/>
        <v>1</v>
      </c>
      <c r="D23" t="str">
        <f t="shared" si="2"/>
        <v>Enero</v>
      </c>
      <c r="E23" t="str">
        <f t="shared" si="3"/>
        <v>T1</v>
      </c>
      <c r="F23" t="s">
        <v>128</v>
      </c>
      <c r="G23" t="s">
        <v>100</v>
      </c>
      <c r="H23" t="s">
        <v>88</v>
      </c>
      <c r="I23" t="s">
        <v>101</v>
      </c>
      <c r="J23" t="s">
        <v>57</v>
      </c>
      <c r="K23" t="s">
        <v>81</v>
      </c>
      <c r="L23" t="s">
        <v>129</v>
      </c>
      <c r="M23" s="24">
        <v>12</v>
      </c>
      <c r="N23" s="25">
        <v>37290.51</v>
      </c>
      <c r="O23" s="25">
        <f t="shared" si="4"/>
        <v>447486.12</v>
      </c>
      <c r="P23" s="25">
        <v>21138.43</v>
      </c>
      <c r="Q23" s="25">
        <f t="shared" si="5"/>
        <v>253661.16</v>
      </c>
      <c r="R23" s="25">
        <f t="shared" si="6"/>
        <v>193824.96</v>
      </c>
      <c r="S23" s="26">
        <f t="shared" si="7"/>
        <v>0.43314183689094088</v>
      </c>
    </row>
    <row r="24" spans="1:19" ht="15" x14ac:dyDescent="0.2">
      <c r="A24" s="23">
        <v>45662</v>
      </c>
      <c r="B24">
        <f t="shared" si="0"/>
        <v>2025</v>
      </c>
      <c r="C24">
        <f t="shared" si="1"/>
        <v>1</v>
      </c>
      <c r="D24" t="str">
        <f t="shared" si="2"/>
        <v>Enero</v>
      </c>
      <c r="E24" t="str">
        <f t="shared" si="3"/>
        <v>T1</v>
      </c>
      <c r="F24" t="s">
        <v>130</v>
      </c>
      <c r="G24" t="s">
        <v>105</v>
      </c>
      <c r="H24" t="s">
        <v>62</v>
      </c>
      <c r="I24" t="s">
        <v>106</v>
      </c>
      <c r="J24" t="s">
        <v>125</v>
      </c>
      <c r="K24" t="s">
        <v>126</v>
      </c>
      <c r="L24" t="s">
        <v>131</v>
      </c>
      <c r="M24" s="24">
        <v>167</v>
      </c>
      <c r="N24" s="25">
        <v>1834.33</v>
      </c>
      <c r="O24" s="25">
        <f t="shared" si="4"/>
        <v>306333.11</v>
      </c>
      <c r="P24" s="25">
        <v>1496.61</v>
      </c>
      <c r="Q24" s="25">
        <f t="shared" si="5"/>
        <v>249933.87</v>
      </c>
      <c r="R24" s="25">
        <f t="shared" si="6"/>
        <v>56399.239999999991</v>
      </c>
      <c r="S24" s="26">
        <f t="shared" si="7"/>
        <v>0.1841108197543517</v>
      </c>
    </row>
    <row r="25" spans="1:19" ht="15" x14ac:dyDescent="0.2">
      <c r="A25" s="23">
        <v>45662</v>
      </c>
      <c r="B25">
        <f t="shared" si="0"/>
        <v>2025</v>
      </c>
      <c r="C25">
        <f t="shared" si="1"/>
        <v>1</v>
      </c>
      <c r="D25" t="str">
        <f t="shared" si="2"/>
        <v>Enero</v>
      </c>
      <c r="E25" t="str">
        <f t="shared" si="3"/>
        <v>T1</v>
      </c>
      <c r="F25" t="s">
        <v>132</v>
      </c>
      <c r="G25" t="s">
        <v>114</v>
      </c>
      <c r="H25" t="s">
        <v>75</v>
      </c>
      <c r="I25" t="s">
        <v>115</v>
      </c>
      <c r="J25" t="s">
        <v>64</v>
      </c>
      <c r="K25" t="s">
        <v>96</v>
      </c>
      <c r="L25" t="s">
        <v>103</v>
      </c>
      <c r="M25" s="24">
        <v>4</v>
      </c>
      <c r="N25" s="25">
        <v>104784.36</v>
      </c>
      <c r="O25" s="25">
        <f t="shared" si="4"/>
        <v>419137.44</v>
      </c>
      <c r="P25" s="25">
        <v>72209.919999999998</v>
      </c>
      <c r="Q25" s="25">
        <f t="shared" si="5"/>
        <v>288839.67999999999</v>
      </c>
      <c r="R25" s="25">
        <f t="shared" si="6"/>
        <v>130297.76000000001</v>
      </c>
      <c r="S25" s="26">
        <f t="shared" si="7"/>
        <v>0.31087120253442407</v>
      </c>
    </row>
    <row r="26" spans="1:19" ht="15" x14ac:dyDescent="0.2">
      <c r="A26" s="23">
        <v>45662</v>
      </c>
      <c r="B26">
        <f t="shared" si="0"/>
        <v>2025</v>
      </c>
      <c r="C26">
        <f t="shared" si="1"/>
        <v>1</v>
      </c>
      <c r="D26" t="str">
        <f t="shared" si="2"/>
        <v>Enero</v>
      </c>
      <c r="E26" t="str">
        <f t="shared" si="3"/>
        <v>T1</v>
      </c>
      <c r="F26" t="s">
        <v>133</v>
      </c>
      <c r="G26" t="s">
        <v>114</v>
      </c>
      <c r="H26" t="s">
        <v>75</v>
      </c>
      <c r="I26" t="s">
        <v>115</v>
      </c>
      <c r="J26" t="s">
        <v>57</v>
      </c>
      <c r="K26" t="s">
        <v>81</v>
      </c>
      <c r="L26" t="s">
        <v>82</v>
      </c>
      <c r="M26" s="24">
        <v>3</v>
      </c>
      <c r="N26" s="25">
        <v>100348.99</v>
      </c>
      <c r="O26" s="25">
        <f t="shared" si="4"/>
        <v>301046.97000000003</v>
      </c>
      <c r="P26" s="25">
        <v>66707.100000000006</v>
      </c>
      <c r="Q26" s="25">
        <f t="shared" si="5"/>
        <v>200121.30000000002</v>
      </c>
      <c r="R26" s="25">
        <f t="shared" si="6"/>
        <v>100925.67000000001</v>
      </c>
      <c r="S26" s="26">
        <f t="shared" si="7"/>
        <v>0.33524891481219693</v>
      </c>
    </row>
    <row r="27" spans="1:19" ht="15" x14ac:dyDescent="0.2">
      <c r="A27" s="23">
        <v>45662</v>
      </c>
      <c r="B27">
        <f t="shared" si="0"/>
        <v>2025</v>
      </c>
      <c r="C27">
        <f t="shared" si="1"/>
        <v>1</v>
      </c>
      <c r="D27" t="str">
        <f t="shared" si="2"/>
        <v>Enero</v>
      </c>
      <c r="E27" t="str">
        <f t="shared" si="3"/>
        <v>T1</v>
      </c>
      <c r="F27" t="s">
        <v>134</v>
      </c>
      <c r="G27" t="s">
        <v>114</v>
      </c>
      <c r="H27" t="s">
        <v>75</v>
      </c>
      <c r="I27" t="s">
        <v>115</v>
      </c>
      <c r="J27" t="s">
        <v>57</v>
      </c>
      <c r="K27" t="s">
        <v>58</v>
      </c>
      <c r="L27" t="s">
        <v>59</v>
      </c>
      <c r="M27" s="24">
        <v>2</v>
      </c>
      <c r="N27" s="25">
        <v>102435.06</v>
      </c>
      <c r="O27" s="25">
        <f t="shared" si="4"/>
        <v>204870.12</v>
      </c>
      <c r="P27" s="25">
        <v>68609.55</v>
      </c>
      <c r="Q27" s="25">
        <f t="shared" si="5"/>
        <v>137219.1</v>
      </c>
      <c r="R27" s="25">
        <f t="shared" si="6"/>
        <v>67651.01999999999</v>
      </c>
      <c r="S27" s="26">
        <f t="shared" si="7"/>
        <v>0.330214186431872</v>
      </c>
    </row>
    <row r="28" spans="1:19" ht="15" x14ac:dyDescent="0.2">
      <c r="A28" s="23">
        <v>45663</v>
      </c>
      <c r="B28">
        <f t="shared" si="0"/>
        <v>2025</v>
      </c>
      <c r="C28">
        <f t="shared" si="1"/>
        <v>1</v>
      </c>
      <c r="D28" t="str">
        <f t="shared" si="2"/>
        <v>Enero</v>
      </c>
      <c r="E28" t="str">
        <f t="shared" si="3"/>
        <v>T1</v>
      </c>
      <c r="F28" t="s">
        <v>135</v>
      </c>
      <c r="G28" t="s">
        <v>54</v>
      </c>
      <c r="H28" t="s">
        <v>55</v>
      </c>
      <c r="I28" t="s">
        <v>56</v>
      </c>
      <c r="J28" t="s">
        <v>70</v>
      </c>
      <c r="K28" t="s">
        <v>84</v>
      </c>
      <c r="L28" t="s">
        <v>85</v>
      </c>
      <c r="M28" s="24">
        <v>7</v>
      </c>
      <c r="N28" s="25">
        <v>54481.14</v>
      </c>
      <c r="O28" s="25">
        <f t="shared" si="4"/>
        <v>381367.98</v>
      </c>
      <c r="P28" s="25">
        <v>39428.46</v>
      </c>
      <c r="Q28" s="25">
        <f t="shared" si="5"/>
        <v>275999.21999999997</v>
      </c>
      <c r="R28" s="25">
        <f t="shared" si="6"/>
        <v>105368.76000000001</v>
      </c>
      <c r="S28" s="26">
        <f t="shared" si="7"/>
        <v>0.27629157539655014</v>
      </c>
    </row>
    <row r="29" spans="1:19" ht="15" x14ac:dyDescent="0.2">
      <c r="A29" s="23">
        <v>45663</v>
      </c>
      <c r="B29">
        <f t="shared" si="0"/>
        <v>2025</v>
      </c>
      <c r="C29">
        <f t="shared" si="1"/>
        <v>1</v>
      </c>
      <c r="D29" t="str">
        <f t="shared" si="2"/>
        <v>Enero</v>
      </c>
      <c r="E29" t="str">
        <f t="shared" si="3"/>
        <v>T1</v>
      </c>
      <c r="F29" t="s">
        <v>136</v>
      </c>
      <c r="G29" t="s">
        <v>105</v>
      </c>
      <c r="H29" t="s">
        <v>62</v>
      </c>
      <c r="I29" t="s">
        <v>106</v>
      </c>
      <c r="J29" t="s">
        <v>77</v>
      </c>
      <c r="K29" t="s">
        <v>78</v>
      </c>
      <c r="L29" t="s">
        <v>79</v>
      </c>
      <c r="M29" s="24">
        <v>29</v>
      </c>
      <c r="N29" s="25">
        <v>1889.01</v>
      </c>
      <c r="O29" s="25">
        <f t="shared" si="4"/>
        <v>54781.29</v>
      </c>
      <c r="P29" s="25">
        <v>1524.14</v>
      </c>
      <c r="Q29" s="25">
        <f t="shared" si="5"/>
        <v>44200.060000000005</v>
      </c>
      <c r="R29" s="25">
        <f t="shared" si="6"/>
        <v>10581.229999999996</v>
      </c>
      <c r="S29" s="26">
        <f t="shared" si="7"/>
        <v>0.19315408600272094</v>
      </c>
    </row>
    <row r="30" spans="1:19" ht="15" x14ac:dyDescent="0.2">
      <c r="A30" s="23">
        <v>45663</v>
      </c>
      <c r="B30">
        <f t="shared" si="0"/>
        <v>2025</v>
      </c>
      <c r="C30">
        <f t="shared" si="1"/>
        <v>1</v>
      </c>
      <c r="D30" t="str">
        <f t="shared" si="2"/>
        <v>Enero</v>
      </c>
      <c r="E30" t="str">
        <f t="shared" si="3"/>
        <v>T1</v>
      </c>
      <c r="F30" t="s">
        <v>137</v>
      </c>
      <c r="G30" t="s">
        <v>68</v>
      </c>
      <c r="H30" t="s">
        <v>62</v>
      </c>
      <c r="I30" t="s">
        <v>69</v>
      </c>
      <c r="J30" t="s">
        <v>125</v>
      </c>
      <c r="K30" t="s">
        <v>138</v>
      </c>
      <c r="L30" t="s">
        <v>139</v>
      </c>
      <c r="M30" s="24">
        <v>67</v>
      </c>
      <c r="N30" s="25">
        <v>3214.22</v>
      </c>
      <c r="O30" s="25">
        <f t="shared" si="4"/>
        <v>215352.74</v>
      </c>
      <c r="P30" s="25">
        <v>2612.11</v>
      </c>
      <c r="Q30" s="25">
        <f t="shared" si="5"/>
        <v>175011.37</v>
      </c>
      <c r="R30" s="25">
        <f t="shared" si="6"/>
        <v>40341.369999999995</v>
      </c>
      <c r="S30" s="26">
        <f t="shared" si="7"/>
        <v>0.18732694090634741</v>
      </c>
    </row>
    <row r="31" spans="1:19" ht="15" x14ac:dyDescent="0.2">
      <c r="A31" s="23">
        <v>45663</v>
      </c>
      <c r="B31">
        <f t="shared" si="0"/>
        <v>2025</v>
      </c>
      <c r="C31">
        <f t="shared" si="1"/>
        <v>1</v>
      </c>
      <c r="D31" t="str">
        <f t="shared" si="2"/>
        <v>Enero</v>
      </c>
      <c r="E31" t="str">
        <f t="shared" si="3"/>
        <v>T1</v>
      </c>
      <c r="F31" t="s">
        <v>140</v>
      </c>
      <c r="G31" t="s">
        <v>100</v>
      </c>
      <c r="H31" t="s">
        <v>88</v>
      </c>
      <c r="I31" t="s">
        <v>101</v>
      </c>
      <c r="J31" t="s">
        <v>64</v>
      </c>
      <c r="K31" t="s">
        <v>65</v>
      </c>
      <c r="L31" t="s">
        <v>66</v>
      </c>
      <c r="M31" s="24">
        <v>12</v>
      </c>
      <c r="N31" s="25">
        <v>38218.199999999997</v>
      </c>
      <c r="O31" s="25">
        <f t="shared" si="4"/>
        <v>458618.39999999997</v>
      </c>
      <c r="P31" s="25">
        <v>21310.95</v>
      </c>
      <c r="Q31" s="25">
        <f t="shared" si="5"/>
        <v>255731.40000000002</v>
      </c>
      <c r="R31" s="25">
        <f t="shared" si="6"/>
        <v>202886.99999999994</v>
      </c>
      <c r="S31" s="26">
        <f t="shared" si="7"/>
        <v>0.4423873965806866</v>
      </c>
    </row>
    <row r="32" spans="1:19" ht="15" x14ac:dyDescent="0.2">
      <c r="A32" s="23">
        <v>45664</v>
      </c>
      <c r="B32">
        <f t="shared" si="0"/>
        <v>2025</v>
      </c>
      <c r="C32">
        <f t="shared" si="1"/>
        <v>1</v>
      </c>
      <c r="D32" t="str">
        <f t="shared" si="2"/>
        <v>Enero</v>
      </c>
      <c r="E32" t="str">
        <f t="shared" si="3"/>
        <v>T1</v>
      </c>
      <c r="F32" t="s">
        <v>141</v>
      </c>
      <c r="G32" t="s">
        <v>74</v>
      </c>
      <c r="H32" t="s">
        <v>75</v>
      </c>
      <c r="I32" t="s">
        <v>76</v>
      </c>
      <c r="J32" t="s">
        <v>125</v>
      </c>
      <c r="K32" t="s">
        <v>138</v>
      </c>
      <c r="L32" t="s">
        <v>142</v>
      </c>
      <c r="M32" s="24">
        <v>8</v>
      </c>
      <c r="N32" s="25">
        <v>44006.74</v>
      </c>
      <c r="O32" s="25">
        <f t="shared" si="4"/>
        <v>352053.92</v>
      </c>
      <c r="P32" s="25">
        <v>29363.15</v>
      </c>
      <c r="Q32" s="25">
        <f t="shared" si="5"/>
        <v>234905.2</v>
      </c>
      <c r="R32" s="25">
        <f t="shared" si="6"/>
        <v>117148.71999999997</v>
      </c>
      <c r="S32" s="26">
        <f t="shared" si="7"/>
        <v>0.33275789117757865</v>
      </c>
    </row>
    <row r="33" spans="1:19" ht="15" x14ac:dyDescent="0.2">
      <c r="A33" s="23">
        <v>45664</v>
      </c>
      <c r="B33">
        <f t="shared" si="0"/>
        <v>2025</v>
      </c>
      <c r="C33">
        <f t="shared" si="1"/>
        <v>1</v>
      </c>
      <c r="D33" t="str">
        <f t="shared" si="2"/>
        <v>Enero</v>
      </c>
      <c r="E33" t="str">
        <f t="shared" si="3"/>
        <v>T1</v>
      </c>
      <c r="F33" t="s">
        <v>143</v>
      </c>
      <c r="G33" t="s">
        <v>144</v>
      </c>
      <c r="H33" t="s">
        <v>88</v>
      </c>
      <c r="I33" t="s">
        <v>145</v>
      </c>
      <c r="J33" t="s">
        <v>57</v>
      </c>
      <c r="K33" t="s">
        <v>81</v>
      </c>
      <c r="L33" t="s">
        <v>82</v>
      </c>
      <c r="M33" s="24">
        <v>2</v>
      </c>
      <c r="N33" s="25">
        <v>13734.78</v>
      </c>
      <c r="O33" s="25">
        <f t="shared" si="4"/>
        <v>27469.56</v>
      </c>
      <c r="P33" s="25">
        <v>7478.41</v>
      </c>
      <c r="Q33" s="25">
        <f t="shared" si="5"/>
        <v>14956.82</v>
      </c>
      <c r="R33" s="25">
        <f t="shared" si="6"/>
        <v>12512.740000000002</v>
      </c>
      <c r="S33" s="26">
        <f t="shared" si="7"/>
        <v>0.45551293868558512</v>
      </c>
    </row>
    <row r="34" spans="1:19" ht="15" x14ac:dyDescent="0.2">
      <c r="A34" s="23">
        <v>45664</v>
      </c>
      <c r="B34">
        <f t="shared" si="0"/>
        <v>2025</v>
      </c>
      <c r="C34">
        <f t="shared" si="1"/>
        <v>1</v>
      </c>
      <c r="D34" t="str">
        <f t="shared" si="2"/>
        <v>Enero</v>
      </c>
      <c r="E34" t="str">
        <f t="shared" si="3"/>
        <v>T1</v>
      </c>
      <c r="F34" t="s">
        <v>146</v>
      </c>
      <c r="G34" t="s">
        <v>100</v>
      </c>
      <c r="H34" t="s">
        <v>88</v>
      </c>
      <c r="I34" t="s">
        <v>101</v>
      </c>
      <c r="J34" t="s">
        <v>70</v>
      </c>
      <c r="K34" t="s">
        <v>84</v>
      </c>
      <c r="L34" t="s">
        <v>147</v>
      </c>
      <c r="M34" s="24">
        <v>6</v>
      </c>
      <c r="N34" s="25">
        <v>34061.949999999997</v>
      </c>
      <c r="O34" s="25">
        <f t="shared" si="4"/>
        <v>204371.69999999998</v>
      </c>
      <c r="P34" s="25">
        <v>19886.59</v>
      </c>
      <c r="Q34" s="25">
        <f t="shared" si="5"/>
        <v>119319.54000000001</v>
      </c>
      <c r="R34" s="25">
        <f t="shared" si="6"/>
        <v>85052.159999999974</v>
      </c>
      <c r="S34" s="26">
        <f t="shared" si="7"/>
        <v>0.4161640775117102</v>
      </c>
    </row>
    <row r="35" spans="1:19" ht="15" x14ac:dyDescent="0.2">
      <c r="A35" s="23">
        <v>45664</v>
      </c>
      <c r="B35">
        <f t="shared" si="0"/>
        <v>2025</v>
      </c>
      <c r="C35">
        <f t="shared" si="1"/>
        <v>1</v>
      </c>
      <c r="D35" t="str">
        <f t="shared" si="2"/>
        <v>Enero</v>
      </c>
      <c r="E35" t="str">
        <f t="shared" si="3"/>
        <v>T1</v>
      </c>
      <c r="F35" t="s">
        <v>148</v>
      </c>
      <c r="G35" t="s">
        <v>149</v>
      </c>
      <c r="H35" t="s">
        <v>93</v>
      </c>
      <c r="I35" t="s">
        <v>150</v>
      </c>
      <c r="J35" t="s">
        <v>64</v>
      </c>
      <c r="K35" t="s">
        <v>65</v>
      </c>
      <c r="L35" t="s">
        <v>123</v>
      </c>
      <c r="M35" s="24">
        <v>5</v>
      </c>
      <c r="N35" s="25">
        <v>41287.129999999997</v>
      </c>
      <c r="O35" s="25">
        <f t="shared" si="4"/>
        <v>206435.65</v>
      </c>
      <c r="P35" s="25">
        <v>25331.11</v>
      </c>
      <c r="Q35" s="25">
        <f t="shared" si="5"/>
        <v>126655.55</v>
      </c>
      <c r="R35" s="25">
        <f t="shared" si="6"/>
        <v>79780.099999999991</v>
      </c>
      <c r="S35" s="26">
        <f t="shared" si="7"/>
        <v>0.38646474094954042</v>
      </c>
    </row>
    <row r="36" spans="1:19" ht="15" x14ac:dyDescent="0.2">
      <c r="A36" s="23">
        <v>45664</v>
      </c>
      <c r="B36">
        <f t="shared" si="0"/>
        <v>2025</v>
      </c>
      <c r="C36">
        <f t="shared" si="1"/>
        <v>1</v>
      </c>
      <c r="D36" t="str">
        <f t="shared" si="2"/>
        <v>Enero</v>
      </c>
      <c r="E36" t="str">
        <f t="shared" si="3"/>
        <v>T1</v>
      </c>
      <c r="F36" t="s">
        <v>151</v>
      </c>
      <c r="G36" t="s">
        <v>149</v>
      </c>
      <c r="H36" t="s">
        <v>93</v>
      </c>
      <c r="I36" t="s">
        <v>150</v>
      </c>
      <c r="J36" t="s">
        <v>77</v>
      </c>
      <c r="K36" t="s">
        <v>78</v>
      </c>
      <c r="L36" t="s">
        <v>117</v>
      </c>
      <c r="M36" s="24">
        <v>3</v>
      </c>
      <c r="N36" s="25">
        <v>52800.67</v>
      </c>
      <c r="O36" s="25">
        <f t="shared" si="4"/>
        <v>158402.01</v>
      </c>
      <c r="P36" s="25">
        <v>29847.22</v>
      </c>
      <c r="Q36" s="25">
        <f t="shared" si="5"/>
        <v>89541.66</v>
      </c>
      <c r="R36" s="25">
        <f t="shared" si="6"/>
        <v>68860.350000000006</v>
      </c>
      <c r="S36" s="26">
        <f t="shared" si="7"/>
        <v>0.43471891549861014</v>
      </c>
    </row>
    <row r="37" spans="1:19" ht="15" x14ac:dyDescent="0.2">
      <c r="A37" s="23">
        <v>45665</v>
      </c>
      <c r="B37">
        <f t="shared" si="0"/>
        <v>2025</v>
      </c>
      <c r="C37">
        <f t="shared" si="1"/>
        <v>1</v>
      </c>
      <c r="D37" t="str">
        <f t="shared" si="2"/>
        <v>Enero</v>
      </c>
      <c r="E37" t="str">
        <f t="shared" si="3"/>
        <v>T1</v>
      </c>
      <c r="F37" t="s">
        <v>152</v>
      </c>
      <c r="G37" t="s">
        <v>54</v>
      </c>
      <c r="H37" t="s">
        <v>55</v>
      </c>
      <c r="I37" t="s">
        <v>56</v>
      </c>
      <c r="J37" t="s">
        <v>77</v>
      </c>
      <c r="K37" t="s">
        <v>107</v>
      </c>
      <c r="L37" t="s">
        <v>108</v>
      </c>
      <c r="M37" s="24">
        <v>14</v>
      </c>
      <c r="N37" s="25">
        <v>64560.52</v>
      </c>
      <c r="O37" s="25">
        <f t="shared" si="4"/>
        <v>903847.27999999991</v>
      </c>
      <c r="P37" s="25">
        <v>41742.22</v>
      </c>
      <c r="Q37" s="25">
        <f t="shared" si="5"/>
        <v>584391.08000000007</v>
      </c>
      <c r="R37" s="25">
        <f t="shared" si="6"/>
        <v>319456.19999999984</v>
      </c>
      <c r="S37" s="26">
        <f t="shared" si="7"/>
        <v>0.35344046175588412</v>
      </c>
    </row>
    <row r="38" spans="1:19" ht="15" x14ac:dyDescent="0.2">
      <c r="A38" s="23">
        <v>45665</v>
      </c>
      <c r="B38">
        <f t="shared" si="0"/>
        <v>2025</v>
      </c>
      <c r="C38">
        <f t="shared" si="1"/>
        <v>1</v>
      </c>
      <c r="D38" t="str">
        <f t="shared" si="2"/>
        <v>Enero</v>
      </c>
      <c r="E38" t="str">
        <f t="shared" si="3"/>
        <v>T1</v>
      </c>
      <c r="F38" t="s">
        <v>153</v>
      </c>
      <c r="G38" t="s">
        <v>54</v>
      </c>
      <c r="H38" t="s">
        <v>55</v>
      </c>
      <c r="I38" t="s">
        <v>56</v>
      </c>
      <c r="J38" t="s">
        <v>70</v>
      </c>
      <c r="K38" t="s">
        <v>71</v>
      </c>
      <c r="L38" t="s">
        <v>72</v>
      </c>
      <c r="M38" s="24">
        <v>4</v>
      </c>
      <c r="N38" s="25">
        <v>56279.38</v>
      </c>
      <c r="O38" s="25">
        <f t="shared" si="4"/>
        <v>225117.52</v>
      </c>
      <c r="P38" s="25">
        <v>41503.85</v>
      </c>
      <c r="Q38" s="25">
        <f t="shared" si="5"/>
        <v>166015.4</v>
      </c>
      <c r="R38" s="25">
        <f t="shared" si="6"/>
        <v>59102.119999999995</v>
      </c>
      <c r="S38" s="26">
        <f t="shared" si="7"/>
        <v>0.26253896187200354</v>
      </c>
    </row>
    <row r="39" spans="1:19" ht="15" x14ac:dyDescent="0.2">
      <c r="A39" s="23">
        <v>45665</v>
      </c>
      <c r="B39">
        <f t="shared" si="0"/>
        <v>2025</v>
      </c>
      <c r="C39">
        <f t="shared" si="1"/>
        <v>1</v>
      </c>
      <c r="D39" t="str">
        <f t="shared" si="2"/>
        <v>Enero</v>
      </c>
      <c r="E39" t="str">
        <f t="shared" si="3"/>
        <v>T1</v>
      </c>
      <c r="F39" t="s">
        <v>154</v>
      </c>
      <c r="G39" t="s">
        <v>87</v>
      </c>
      <c r="H39" t="s">
        <v>88</v>
      </c>
      <c r="I39" t="s">
        <v>89</v>
      </c>
      <c r="J39" t="s">
        <v>77</v>
      </c>
      <c r="K39" t="s">
        <v>107</v>
      </c>
      <c r="L39" t="s">
        <v>108</v>
      </c>
      <c r="M39" s="24">
        <v>6</v>
      </c>
      <c r="N39" s="25">
        <v>64288.59</v>
      </c>
      <c r="O39" s="25">
        <f t="shared" si="4"/>
        <v>385731.54</v>
      </c>
      <c r="P39" s="25">
        <v>34163.660000000003</v>
      </c>
      <c r="Q39" s="25">
        <f t="shared" si="5"/>
        <v>204981.96000000002</v>
      </c>
      <c r="R39" s="25">
        <f t="shared" si="6"/>
        <v>180749.57999999996</v>
      </c>
      <c r="S39" s="26">
        <f t="shared" si="7"/>
        <v>0.46858906067157474</v>
      </c>
    </row>
    <row r="40" spans="1:19" ht="15" x14ac:dyDescent="0.2">
      <c r="A40" s="23">
        <v>45665</v>
      </c>
      <c r="B40">
        <f t="shared" si="0"/>
        <v>2025</v>
      </c>
      <c r="C40">
        <f t="shared" si="1"/>
        <v>1</v>
      </c>
      <c r="D40" t="str">
        <f t="shared" si="2"/>
        <v>Enero</v>
      </c>
      <c r="E40" t="str">
        <f t="shared" si="3"/>
        <v>T1</v>
      </c>
      <c r="F40" t="s">
        <v>155</v>
      </c>
      <c r="G40" t="s">
        <v>87</v>
      </c>
      <c r="H40" t="s">
        <v>88</v>
      </c>
      <c r="I40" t="s">
        <v>89</v>
      </c>
      <c r="J40" t="s">
        <v>125</v>
      </c>
      <c r="K40" t="s">
        <v>126</v>
      </c>
      <c r="L40" t="s">
        <v>127</v>
      </c>
      <c r="M40" s="24">
        <v>3</v>
      </c>
      <c r="N40" s="25">
        <v>62232.31</v>
      </c>
      <c r="O40" s="25">
        <f t="shared" si="4"/>
        <v>186696.93</v>
      </c>
      <c r="P40" s="25">
        <v>35026.050000000003</v>
      </c>
      <c r="Q40" s="25">
        <f t="shared" si="5"/>
        <v>105078.15000000001</v>
      </c>
      <c r="R40" s="25">
        <f t="shared" si="6"/>
        <v>81618.779999999984</v>
      </c>
      <c r="S40" s="26">
        <f t="shared" si="7"/>
        <v>0.43717258767993661</v>
      </c>
    </row>
    <row r="41" spans="1:19" ht="15" x14ac:dyDescent="0.2">
      <c r="A41" s="23">
        <v>45665</v>
      </c>
      <c r="B41">
        <f t="shared" si="0"/>
        <v>2025</v>
      </c>
      <c r="C41">
        <f t="shared" si="1"/>
        <v>1</v>
      </c>
      <c r="D41" t="str">
        <f t="shared" si="2"/>
        <v>Enero</v>
      </c>
      <c r="E41" t="str">
        <f t="shared" si="3"/>
        <v>T1</v>
      </c>
      <c r="F41" t="s">
        <v>156</v>
      </c>
      <c r="G41" t="s">
        <v>149</v>
      </c>
      <c r="H41" t="s">
        <v>93</v>
      </c>
      <c r="I41" t="s">
        <v>150</v>
      </c>
      <c r="J41" t="s">
        <v>70</v>
      </c>
      <c r="K41" t="s">
        <v>84</v>
      </c>
      <c r="L41" t="s">
        <v>85</v>
      </c>
      <c r="M41" s="24">
        <v>4</v>
      </c>
      <c r="N41" s="25">
        <v>40368.28</v>
      </c>
      <c r="O41" s="25">
        <f t="shared" si="4"/>
        <v>161473.12</v>
      </c>
      <c r="P41" s="25">
        <v>25521.56</v>
      </c>
      <c r="Q41" s="25">
        <f t="shared" si="5"/>
        <v>102086.24</v>
      </c>
      <c r="R41" s="25">
        <f t="shared" si="6"/>
        <v>59386.87999999999</v>
      </c>
      <c r="S41" s="26">
        <f t="shared" si="7"/>
        <v>0.36778183266663822</v>
      </c>
    </row>
    <row r="42" spans="1:19" ht="15" x14ac:dyDescent="0.2">
      <c r="A42" s="23">
        <v>45666</v>
      </c>
      <c r="B42">
        <f t="shared" si="0"/>
        <v>2025</v>
      </c>
      <c r="C42">
        <f t="shared" si="1"/>
        <v>1</v>
      </c>
      <c r="D42" t="str">
        <f t="shared" si="2"/>
        <v>Enero</v>
      </c>
      <c r="E42" t="str">
        <f t="shared" si="3"/>
        <v>T1</v>
      </c>
      <c r="F42" t="s">
        <v>157</v>
      </c>
      <c r="G42" t="s">
        <v>54</v>
      </c>
      <c r="H42" t="s">
        <v>55</v>
      </c>
      <c r="I42" t="s">
        <v>56</v>
      </c>
      <c r="J42" t="s">
        <v>57</v>
      </c>
      <c r="K42" t="s">
        <v>58</v>
      </c>
      <c r="L42" t="s">
        <v>59</v>
      </c>
      <c r="M42" s="24">
        <v>2</v>
      </c>
      <c r="N42" s="25">
        <v>57262.77</v>
      </c>
      <c r="O42" s="25">
        <f t="shared" si="4"/>
        <v>114525.54</v>
      </c>
      <c r="P42" s="25">
        <v>40232.49</v>
      </c>
      <c r="Q42" s="25">
        <f t="shared" si="5"/>
        <v>80464.98</v>
      </c>
      <c r="R42" s="25">
        <f t="shared" si="6"/>
        <v>34060.559999999998</v>
      </c>
      <c r="S42" s="26">
        <f t="shared" si="7"/>
        <v>0.29740580136098899</v>
      </c>
    </row>
    <row r="43" spans="1:19" ht="15" x14ac:dyDescent="0.2">
      <c r="A43" s="23">
        <v>45666</v>
      </c>
      <c r="B43">
        <f t="shared" si="0"/>
        <v>2025</v>
      </c>
      <c r="C43">
        <f t="shared" si="1"/>
        <v>1</v>
      </c>
      <c r="D43" t="str">
        <f t="shared" si="2"/>
        <v>Enero</v>
      </c>
      <c r="E43" t="str">
        <f t="shared" si="3"/>
        <v>T1</v>
      </c>
      <c r="F43" t="s">
        <v>158</v>
      </c>
      <c r="G43" t="s">
        <v>144</v>
      </c>
      <c r="H43" t="s">
        <v>88</v>
      </c>
      <c r="I43" t="s">
        <v>145</v>
      </c>
      <c r="J43" t="s">
        <v>125</v>
      </c>
      <c r="K43" t="s">
        <v>126</v>
      </c>
      <c r="L43" t="s">
        <v>127</v>
      </c>
      <c r="M43" s="24">
        <v>9</v>
      </c>
      <c r="N43" s="25">
        <v>13607.95</v>
      </c>
      <c r="O43" s="25">
        <f t="shared" si="4"/>
        <v>122471.55</v>
      </c>
      <c r="P43" s="25">
        <v>7305.57</v>
      </c>
      <c r="Q43" s="25">
        <f t="shared" si="5"/>
        <v>65750.13</v>
      </c>
      <c r="R43" s="25">
        <f t="shared" si="6"/>
        <v>56721.42</v>
      </c>
      <c r="S43" s="26">
        <f t="shared" si="7"/>
        <v>0.46313956180027116</v>
      </c>
    </row>
    <row r="44" spans="1:19" ht="15" x14ac:dyDescent="0.2">
      <c r="A44" s="23">
        <v>45666</v>
      </c>
      <c r="B44">
        <f t="shared" si="0"/>
        <v>2025</v>
      </c>
      <c r="C44">
        <f t="shared" si="1"/>
        <v>1</v>
      </c>
      <c r="D44" t="str">
        <f t="shared" si="2"/>
        <v>Enero</v>
      </c>
      <c r="E44" t="str">
        <f t="shared" si="3"/>
        <v>T1</v>
      </c>
      <c r="F44" t="s">
        <v>159</v>
      </c>
      <c r="G44" t="s">
        <v>92</v>
      </c>
      <c r="H44" t="s">
        <v>93</v>
      </c>
      <c r="I44" t="s">
        <v>94</v>
      </c>
      <c r="J44" t="s">
        <v>64</v>
      </c>
      <c r="K44" t="s">
        <v>96</v>
      </c>
      <c r="L44" t="s">
        <v>103</v>
      </c>
      <c r="M44" s="24">
        <v>17</v>
      </c>
      <c r="N44" s="25">
        <v>19879.97</v>
      </c>
      <c r="O44" s="25">
        <f t="shared" si="4"/>
        <v>337959.49</v>
      </c>
      <c r="P44" s="25">
        <v>12228</v>
      </c>
      <c r="Q44" s="25">
        <f t="shared" si="5"/>
        <v>207876</v>
      </c>
      <c r="R44" s="25">
        <f t="shared" si="6"/>
        <v>130083.48999999999</v>
      </c>
      <c r="S44" s="26">
        <f t="shared" si="7"/>
        <v>0.38490852853399676</v>
      </c>
    </row>
    <row r="45" spans="1:19" ht="15" x14ac:dyDescent="0.2">
      <c r="A45" s="23">
        <v>45666</v>
      </c>
      <c r="B45">
        <f t="shared" si="0"/>
        <v>2025</v>
      </c>
      <c r="C45">
        <f t="shared" si="1"/>
        <v>1</v>
      </c>
      <c r="D45" t="str">
        <f t="shared" si="2"/>
        <v>Enero</v>
      </c>
      <c r="E45" t="str">
        <f t="shared" si="3"/>
        <v>T1</v>
      </c>
      <c r="F45" t="s">
        <v>160</v>
      </c>
      <c r="G45" t="s">
        <v>149</v>
      </c>
      <c r="H45" t="s">
        <v>93</v>
      </c>
      <c r="I45" t="s">
        <v>150</v>
      </c>
      <c r="J45" t="s">
        <v>125</v>
      </c>
      <c r="K45" t="s">
        <v>138</v>
      </c>
      <c r="L45" t="s">
        <v>142</v>
      </c>
      <c r="M45" s="24">
        <v>4</v>
      </c>
      <c r="N45" s="25">
        <v>44168.87</v>
      </c>
      <c r="O45" s="25">
        <f t="shared" si="4"/>
        <v>176675.48</v>
      </c>
      <c r="P45" s="25">
        <v>25681.99</v>
      </c>
      <c r="Q45" s="25">
        <f t="shared" si="5"/>
        <v>102727.96</v>
      </c>
      <c r="R45" s="25">
        <f t="shared" si="6"/>
        <v>73947.520000000004</v>
      </c>
      <c r="S45" s="26">
        <f t="shared" si="7"/>
        <v>0.41854998780815539</v>
      </c>
    </row>
    <row r="46" spans="1:19" ht="15" x14ac:dyDescent="0.2">
      <c r="A46" s="23">
        <v>45667</v>
      </c>
      <c r="B46">
        <f t="shared" si="0"/>
        <v>2025</v>
      </c>
      <c r="C46">
        <f t="shared" si="1"/>
        <v>1</v>
      </c>
      <c r="D46" t="str">
        <f t="shared" si="2"/>
        <v>Enero</v>
      </c>
      <c r="E46" t="str">
        <f t="shared" si="3"/>
        <v>T1</v>
      </c>
      <c r="F46" t="s">
        <v>161</v>
      </c>
      <c r="G46" t="s">
        <v>54</v>
      </c>
      <c r="H46" t="s">
        <v>55</v>
      </c>
      <c r="I46" t="s">
        <v>56</v>
      </c>
      <c r="J46" t="s">
        <v>57</v>
      </c>
      <c r="K46" t="s">
        <v>58</v>
      </c>
      <c r="L46" t="s">
        <v>162</v>
      </c>
      <c r="M46" s="24">
        <v>7</v>
      </c>
      <c r="N46" s="25">
        <v>63292.45</v>
      </c>
      <c r="O46" s="25">
        <f t="shared" si="4"/>
        <v>443047.14999999997</v>
      </c>
      <c r="P46" s="25">
        <v>44328.12</v>
      </c>
      <c r="Q46" s="25">
        <f t="shared" si="5"/>
        <v>310296.84000000003</v>
      </c>
      <c r="R46" s="25">
        <f t="shared" si="6"/>
        <v>132750.30999999994</v>
      </c>
      <c r="S46" s="26">
        <f t="shared" si="7"/>
        <v>0.29963020865837858</v>
      </c>
    </row>
    <row r="47" spans="1:19" ht="15" x14ac:dyDescent="0.2">
      <c r="A47" s="23">
        <v>45667</v>
      </c>
      <c r="B47">
        <f t="shared" si="0"/>
        <v>2025</v>
      </c>
      <c r="C47">
        <f t="shared" si="1"/>
        <v>1</v>
      </c>
      <c r="D47" t="str">
        <f t="shared" si="2"/>
        <v>Enero</v>
      </c>
      <c r="E47" t="str">
        <f t="shared" si="3"/>
        <v>T1</v>
      </c>
      <c r="F47" t="s">
        <v>163</v>
      </c>
      <c r="G47" t="s">
        <v>68</v>
      </c>
      <c r="H47" t="s">
        <v>62</v>
      </c>
      <c r="I47" t="s">
        <v>69</v>
      </c>
      <c r="J47" t="s">
        <v>77</v>
      </c>
      <c r="K47" t="s">
        <v>78</v>
      </c>
      <c r="L47" t="s">
        <v>117</v>
      </c>
      <c r="M47" s="24">
        <v>148</v>
      </c>
      <c r="N47" s="25">
        <v>3208.39</v>
      </c>
      <c r="O47" s="25">
        <f t="shared" si="4"/>
        <v>474841.72</v>
      </c>
      <c r="P47" s="25">
        <v>2600.5700000000002</v>
      </c>
      <c r="Q47" s="25">
        <f t="shared" si="5"/>
        <v>384884.36000000004</v>
      </c>
      <c r="R47" s="25">
        <f t="shared" si="6"/>
        <v>89957.359999999928</v>
      </c>
      <c r="S47" s="26">
        <f t="shared" si="7"/>
        <v>0.18944704353273747</v>
      </c>
    </row>
    <row r="48" spans="1:19" ht="15" x14ac:dyDescent="0.2">
      <c r="A48" s="23">
        <v>45667</v>
      </c>
      <c r="B48">
        <f t="shared" si="0"/>
        <v>2025</v>
      </c>
      <c r="C48">
        <f t="shared" si="1"/>
        <v>1</v>
      </c>
      <c r="D48" t="str">
        <f t="shared" si="2"/>
        <v>Enero</v>
      </c>
      <c r="E48" t="str">
        <f t="shared" si="3"/>
        <v>T1</v>
      </c>
      <c r="F48" t="s">
        <v>164</v>
      </c>
      <c r="G48" t="s">
        <v>68</v>
      </c>
      <c r="H48" t="s">
        <v>62</v>
      </c>
      <c r="I48" t="s">
        <v>69</v>
      </c>
      <c r="J48" t="s">
        <v>125</v>
      </c>
      <c r="K48" t="s">
        <v>138</v>
      </c>
      <c r="L48" t="s">
        <v>142</v>
      </c>
      <c r="M48" s="24">
        <v>91</v>
      </c>
      <c r="N48" s="25">
        <v>3187.46</v>
      </c>
      <c r="O48" s="25">
        <f t="shared" si="4"/>
        <v>290058.86</v>
      </c>
      <c r="P48" s="25">
        <v>2586.19</v>
      </c>
      <c r="Q48" s="25">
        <f t="shared" si="5"/>
        <v>235343.29</v>
      </c>
      <c r="R48" s="25">
        <f t="shared" si="6"/>
        <v>54715.569999999978</v>
      </c>
      <c r="S48" s="26">
        <f t="shared" si="7"/>
        <v>0.1886360926882219</v>
      </c>
    </row>
    <row r="49" spans="1:19" ht="15" x14ac:dyDescent="0.2">
      <c r="A49" s="23">
        <v>45667</v>
      </c>
      <c r="B49">
        <f t="shared" si="0"/>
        <v>2025</v>
      </c>
      <c r="C49">
        <f t="shared" si="1"/>
        <v>1</v>
      </c>
      <c r="D49" t="str">
        <f t="shared" si="2"/>
        <v>Enero</v>
      </c>
      <c r="E49" t="str">
        <f t="shared" si="3"/>
        <v>T1</v>
      </c>
      <c r="F49" t="s">
        <v>165</v>
      </c>
      <c r="G49" t="s">
        <v>105</v>
      </c>
      <c r="H49" t="s">
        <v>62</v>
      </c>
      <c r="I49" t="s">
        <v>106</v>
      </c>
      <c r="J49" t="s">
        <v>125</v>
      </c>
      <c r="K49" t="s">
        <v>138</v>
      </c>
      <c r="L49" t="s">
        <v>139</v>
      </c>
      <c r="M49" s="24">
        <v>147</v>
      </c>
      <c r="N49" s="25">
        <v>1870.46</v>
      </c>
      <c r="O49" s="25">
        <f t="shared" si="4"/>
        <v>274957.62</v>
      </c>
      <c r="P49" s="25">
        <v>1504.44</v>
      </c>
      <c r="Q49" s="25">
        <f t="shared" si="5"/>
        <v>221152.68000000002</v>
      </c>
      <c r="R49" s="25">
        <f t="shared" si="6"/>
        <v>53804.939999999973</v>
      </c>
      <c r="S49" s="26">
        <f t="shared" si="7"/>
        <v>0.19568448403066616</v>
      </c>
    </row>
    <row r="50" spans="1:19" ht="15" x14ac:dyDescent="0.2">
      <c r="A50" s="23">
        <v>45667</v>
      </c>
      <c r="B50">
        <f t="shared" si="0"/>
        <v>2025</v>
      </c>
      <c r="C50">
        <f t="shared" si="1"/>
        <v>1</v>
      </c>
      <c r="D50" t="str">
        <f t="shared" si="2"/>
        <v>Enero</v>
      </c>
      <c r="E50" t="str">
        <f t="shared" si="3"/>
        <v>T1</v>
      </c>
      <c r="F50" t="s">
        <v>166</v>
      </c>
      <c r="G50" t="s">
        <v>144</v>
      </c>
      <c r="H50" t="s">
        <v>88</v>
      </c>
      <c r="I50" t="s">
        <v>145</v>
      </c>
      <c r="J50" t="s">
        <v>70</v>
      </c>
      <c r="K50" t="s">
        <v>71</v>
      </c>
      <c r="L50" t="s">
        <v>72</v>
      </c>
      <c r="M50" s="24">
        <v>4</v>
      </c>
      <c r="N50" s="25">
        <v>10718.54</v>
      </c>
      <c r="O50" s="25">
        <f t="shared" si="4"/>
        <v>42874.16</v>
      </c>
      <c r="P50" s="25">
        <v>6578.35</v>
      </c>
      <c r="Q50" s="25">
        <f t="shared" si="5"/>
        <v>26313.4</v>
      </c>
      <c r="R50" s="25">
        <f t="shared" si="6"/>
        <v>16560.760000000002</v>
      </c>
      <c r="S50" s="26">
        <f t="shared" si="7"/>
        <v>0.38626436063120539</v>
      </c>
    </row>
    <row r="51" spans="1:19" ht="15" x14ac:dyDescent="0.2">
      <c r="A51" s="23">
        <v>45667</v>
      </c>
      <c r="B51">
        <f t="shared" si="0"/>
        <v>2025</v>
      </c>
      <c r="C51">
        <f t="shared" si="1"/>
        <v>1</v>
      </c>
      <c r="D51" t="str">
        <f t="shared" si="2"/>
        <v>Enero</v>
      </c>
      <c r="E51" t="str">
        <f t="shared" si="3"/>
        <v>T1</v>
      </c>
      <c r="F51" t="s">
        <v>167</v>
      </c>
      <c r="G51" t="s">
        <v>92</v>
      </c>
      <c r="H51" t="s">
        <v>93</v>
      </c>
      <c r="I51" t="s">
        <v>94</v>
      </c>
      <c r="J51" t="s">
        <v>77</v>
      </c>
      <c r="K51" t="s">
        <v>78</v>
      </c>
      <c r="L51" t="s">
        <v>79</v>
      </c>
      <c r="M51" s="24">
        <v>1</v>
      </c>
      <c r="N51" s="25">
        <v>14792.03</v>
      </c>
      <c r="O51" s="25">
        <f t="shared" si="4"/>
        <v>14792.03</v>
      </c>
      <c r="P51" s="25">
        <v>8667.69</v>
      </c>
      <c r="Q51" s="25">
        <f t="shared" si="5"/>
        <v>8667.69</v>
      </c>
      <c r="R51" s="25">
        <f t="shared" si="6"/>
        <v>6124.34</v>
      </c>
      <c r="S51" s="26">
        <f t="shared" si="7"/>
        <v>0.41402971735454835</v>
      </c>
    </row>
    <row r="52" spans="1:19" ht="15" x14ac:dyDescent="0.2">
      <c r="A52" s="23">
        <v>45667</v>
      </c>
      <c r="B52">
        <f t="shared" si="0"/>
        <v>2025</v>
      </c>
      <c r="C52">
        <f t="shared" si="1"/>
        <v>1</v>
      </c>
      <c r="D52" t="str">
        <f t="shared" si="2"/>
        <v>Enero</v>
      </c>
      <c r="E52" t="str">
        <f t="shared" si="3"/>
        <v>T1</v>
      </c>
      <c r="F52" t="s">
        <v>168</v>
      </c>
      <c r="G52" t="s">
        <v>149</v>
      </c>
      <c r="H52" t="s">
        <v>93</v>
      </c>
      <c r="I52" t="s">
        <v>150</v>
      </c>
      <c r="J52" t="s">
        <v>57</v>
      </c>
      <c r="K52" t="s">
        <v>58</v>
      </c>
      <c r="L52" t="s">
        <v>162</v>
      </c>
      <c r="M52" s="24">
        <v>4</v>
      </c>
      <c r="N52" s="25">
        <v>47289.33</v>
      </c>
      <c r="O52" s="25">
        <f t="shared" si="4"/>
        <v>189157.32</v>
      </c>
      <c r="P52" s="25">
        <v>28770.33</v>
      </c>
      <c r="Q52" s="25">
        <f t="shared" si="5"/>
        <v>115081.32</v>
      </c>
      <c r="R52" s="25">
        <f t="shared" si="6"/>
        <v>74076</v>
      </c>
      <c r="S52" s="26">
        <f t="shared" si="7"/>
        <v>0.39161053878327307</v>
      </c>
    </row>
    <row r="53" spans="1:19" ht="15" x14ac:dyDescent="0.2">
      <c r="A53" s="23">
        <v>45668</v>
      </c>
      <c r="B53">
        <f t="shared" si="0"/>
        <v>2025</v>
      </c>
      <c r="C53">
        <f t="shared" si="1"/>
        <v>1</v>
      </c>
      <c r="D53" t="str">
        <f t="shared" si="2"/>
        <v>Enero</v>
      </c>
      <c r="E53" t="str">
        <f t="shared" si="3"/>
        <v>T1</v>
      </c>
      <c r="F53" t="s">
        <v>169</v>
      </c>
      <c r="G53" t="s">
        <v>54</v>
      </c>
      <c r="H53" t="s">
        <v>55</v>
      </c>
      <c r="I53" t="s">
        <v>56</v>
      </c>
      <c r="J53" t="s">
        <v>125</v>
      </c>
      <c r="K53" t="s">
        <v>138</v>
      </c>
      <c r="L53" t="s">
        <v>139</v>
      </c>
      <c r="M53" s="24">
        <v>10</v>
      </c>
      <c r="N53" s="25">
        <v>63454.080000000002</v>
      </c>
      <c r="O53" s="25">
        <f t="shared" si="4"/>
        <v>634540.80000000005</v>
      </c>
      <c r="P53" s="25">
        <v>43532.85</v>
      </c>
      <c r="Q53" s="25">
        <f t="shared" si="5"/>
        <v>435328.5</v>
      </c>
      <c r="R53" s="25">
        <f t="shared" si="6"/>
        <v>199212.30000000005</v>
      </c>
      <c r="S53" s="26">
        <f t="shared" si="7"/>
        <v>0.31394718826590823</v>
      </c>
    </row>
    <row r="54" spans="1:19" ht="15" x14ac:dyDescent="0.2">
      <c r="A54" s="23">
        <v>45668</v>
      </c>
      <c r="B54">
        <f t="shared" si="0"/>
        <v>2025</v>
      </c>
      <c r="C54">
        <f t="shared" si="1"/>
        <v>1</v>
      </c>
      <c r="D54" t="str">
        <f t="shared" si="2"/>
        <v>Enero</v>
      </c>
      <c r="E54" t="str">
        <f t="shared" si="3"/>
        <v>T1</v>
      </c>
      <c r="F54" t="s">
        <v>170</v>
      </c>
      <c r="G54" t="s">
        <v>54</v>
      </c>
      <c r="H54" t="s">
        <v>55</v>
      </c>
      <c r="I54" t="s">
        <v>56</v>
      </c>
      <c r="J54" t="s">
        <v>125</v>
      </c>
      <c r="K54" t="s">
        <v>138</v>
      </c>
      <c r="L54" t="s">
        <v>142</v>
      </c>
      <c r="M54" s="24">
        <v>7</v>
      </c>
      <c r="N54" s="25">
        <v>58524.43</v>
      </c>
      <c r="O54" s="25">
        <f t="shared" si="4"/>
        <v>409671.01</v>
      </c>
      <c r="P54" s="25">
        <v>40688.43</v>
      </c>
      <c r="Q54" s="25">
        <f t="shared" si="5"/>
        <v>284819.01</v>
      </c>
      <c r="R54" s="25">
        <f t="shared" si="6"/>
        <v>124852</v>
      </c>
      <c r="S54" s="26">
        <f t="shared" si="7"/>
        <v>0.30476161835322446</v>
      </c>
    </row>
    <row r="55" spans="1:19" ht="15" x14ac:dyDescent="0.2">
      <c r="A55" s="23">
        <v>45668</v>
      </c>
      <c r="B55">
        <f t="shared" si="0"/>
        <v>2025</v>
      </c>
      <c r="C55">
        <f t="shared" si="1"/>
        <v>1</v>
      </c>
      <c r="D55" t="str">
        <f t="shared" si="2"/>
        <v>Enero</v>
      </c>
      <c r="E55" t="str">
        <f t="shared" si="3"/>
        <v>T1</v>
      </c>
      <c r="F55" t="s">
        <v>171</v>
      </c>
      <c r="G55" t="s">
        <v>54</v>
      </c>
      <c r="H55" t="s">
        <v>55</v>
      </c>
      <c r="I55" t="s">
        <v>56</v>
      </c>
      <c r="J55" t="s">
        <v>125</v>
      </c>
      <c r="K55" t="s">
        <v>126</v>
      </c>
      <c r="L55" t="s">
        <v>127</v>
      </c>
      <c r="M55" s="24">
        <v>3</v>
      </c>
      <c r="N55" s="25">
        <v>71409.929999999993</v>
      </c>
      <c r="O55" s="25">
        <f t="shared" si="4"/>
        <v>214229.78999999998</v>
      </c>
      <c r="P55" s="25">
        <v>48695.519999999997</v>
      </c>
      <c r="Q55" s="25">
        <f t="shared" si="5"/>
        <v>146086.56</v>
      </c>
      <c r="R55" s="25">
        <f t="shared" si="6"/>
        <v>68143.229999999981</v>
      </c>
      <c r="S55" s="26">
        <f t="shared" si="7"/>
        <v>0.318084753759036</v>
      </c>
    </row>
    <row r="56" spans="1:19" ht="15" x14ac:dyDescent="0.2">
      <c r="A56" s="23">
        <v>45668</v>
      </c>
      <c r="B56">
        <f t="shared" si="0"/>
        <v>2025</v>
      </c>
      <c r="C56">
        <f t="shared" si="1"/>
        <v>1</v>
      </c>
      <c r="D56" t="str">
        <f t="shared" si="2"/>
        <v>Enero</v>
      </c>
      <c r="E56" t="str">
        <f t="shared" si="3"/>
        <v>T1</v>
      </c>
      <c r="F56" t="s">
        <v>172</v>
      </c>
      <c r="G56" t="s">
        <v>61</v>
      </c>
      <c r="H56" t="s">
        <v>62</v>
      </c>
      <c r="I56" t="s">
        <v>63</v>
      </c>
      <c r="J56" t="s">
        <v>70</v>
      </c>
      <c r="K56" t="s">
        <v>71</v>
      </c>
      <c r="L56" t="s">
        <v>72</v>
      </c>
      <c r="M56" s="24">
        <v>20</v>
      </c>
      <c r="N56" s="25">
        <v>5563.49</v>
      </c>
      <c r="O56" s="25">
        <f t="shared" si="4"/>
        <v>111269.79999999999</v>
      </c>
      <c r="P56" s="25">
        <v>4811.93</v>
      </c>
      <c r="Q56" s="25">
        <f t="shared" si="5"/>
        <v>96238.6</v>
      </c>
      <c r="R56" s="25">
        <f t="shared" si="6"/>
        <v>15031.199999999983</v>
      </c>
      <c r="S56" s="26">
        <f t="shared" si="7"/>
        <v>0.13508786750762547</v>
      </c>
    </row>
    <row r="57" spans="1:19" ht="15" x14ac:dyDescent="0.2">
      <c r="A57" s="23">
        <v>45668</v>
      </c>
      <c r="B57">
        <f t="shared" si="0"/>
        <v>2025</v>
      </c>
      <c r="C57">
        <f t="shared" si="1"/>
        <v>1</v>
      </c>
      <c r="D57" t="str">
        <f t="shared" si="2"/>
        <v>Enero</v>
      </c>
      <c r="E57" t="str">
        <f t="shared" si="3"/>
        <v>T1</v>
      </c>
      <c r="F57" t="s">
        <v>173</v>
      </c>
      <c r="G57" t="s">
        <v>92</v>
      </c>
      <c r="H57" t="s">
        <v>93</v>
      </c>
      <c r="I57" t="s">
        <v>94</v>
      </c>
      <c r="J57" t="s">
        <v>57</v>
      </c>
      <c r="K57" t="s">
        <v>81</v>
      </c>
      <c r="L57" t="s">
        <v>82</v>
      </c>
      <c r="M57" s="24">
        <v>15</v>
      </c>
      <c r="N57" s="25">
        <v>20830.88</v>
      </c>
      <c r="O57" s="25">
        <f t="shared" si="4"/>
        <v>312463.2</v>
      </c>
      <c r="P57" s="25">
        <v>12228.52</v>
      </c>
      <c r="Q57" s="25">
        <f t="shared" si="5"/>
        <v>183427.80000000002</v>
      </c>
      <c r="R57" s="25">
        <f t="shared" si="6"/>
        <v>129035.4</v>
      </c>
      <c r="S57" s="26">
        <f t="shared" si="7"/>
        <v>0.41296191039456803</v>
      </c>
    </row>
    <row r="58" spans="1:19" ht="15" x14ac:dyDescent="0.2">
      <c r="A58" s="23">
        <v>45669</v>
      </c>
      <c r="B58">
        <f t="shared" si="0"/>
        <v>2025</v>
      </c>
      <c r="C58">
        <f t="shared" si="1"/>
        <v>1</v>
      </c>
      <c r="D58" t="str">
        <f t="shared" si="2"/>
        <v>Enero</v>
      </c>
      <c r="E58" t="str">
        <f t="shared" si="3"/>
        <v>T1</v>
      </c>
      <c r="F58" t="s">
        <v>174</v>
      </c>
      <c r="G58" t="s">
        <v>54</v>
      </c>
      <c r="H58" t="s">
        <v>55</v>
      </c>
      <c r="I58" t="s">
        <v>56</v>
      </c>
      <c r="J58" t="s">
        <v>70</v>
      </c>
      <c r="K58" t="s">
        <v>71</v>
      </c>
      <c r="L58" t="s">
        <v>72</v>
      </c>
      <c r="M58" s="24">
        <v>6</v>
      </c>
      <c r="N58" s="25">
        <v>55773.71</v>
      </c>
      <c r="O58" s="25">
        <f t="shared" si="4"/>
        <v>334642.26</v>
      </c>
      <c r="P58" s="25">
        <v>41300.19</v>
      </c>
      <c r="Q58" s="25">
        <f t="shared" si="5"/>
        <v>247801.14</v>
      </c>
      <c r="R58" s="25">
        <f t="shared" si="6"/>
        <v>86841.12</v>
      </c>
      <c r="S58" s="26">
        <f t="shared" si="7"/>
        <v>0.25950434353389795</v>
      </c>
    </row>
    <row r="59" spans="1:19" ht="15" x14ac:dyDescent="0.2">
      <c r="A59" s="23">
        <v>45669</v>
      </c>
      <c r="B59">
        <f t="shared" si="0"/>
        <v>2025</v>
      </c>
      <c r="C59">
        <f t="shared" si="1"/>
        <v>1</v>
      </c>
      <c r="D59" t="str">
        <f t="shared" si="2"/>
        <v>Enero</v>
      </c>
      <c r="E59" t="str">
        <f t="shared" si="3"/>
        <v>T1</v>
      </c>
      <c r="F59" t="s">
        <v>175</v>
      </c>
      <c r="G59" t="s">
        <v>105</v>
      </c>
      <c r="H59" t="s">
        <v>62</v>
      </c>
      <c r="I59" t="s">
        <v>106</v>
      </c>
      <c r="J59" t="s">
        <v>64</v>
      </c>
      <c r="K59" t="s">
        <v>65</v>
      </c>
      <c r="L59" t="s">
        <v>123</v>
      </c>
      <c r="M59" s="24">
        <v>623</v>
      </c>
      <c r="N59" s="25">
        <v>1785.41</v>
      </c>
      <c r="O59" s="25">
        <f t="shared" si="4"/>
        <v>1112310.43</v>
      </c>
      <c r="P59" s="25">
        <v>1499.87</v>
      </c>
      <c r="Q59" s="25">
        <f t="shared" si="5"/>
        <v>934419.00999999989</v>
      </c>
      <c r="R59" s="25">
        <f t="shared" si="6"/>
        <v>177891.42000000004</v>
      </c>
      <c r="S59" s="26">
        <f t="shared" si="7"/>
        <v>0.15992965201270301</v>
      </c>
    </row>
    <row r="60" spans="1:19" ht="15" x14ac:dyDescent="0.2">
      <c r="A60" s="23">
        <v>45669</v>
      </c>
      <c r="B60">
        <f t="shared" si="0"/>
        <v>2025</v>
      </c>
      <c r="C60">
        <f t="shared" si="1"/>
        <v>1</v>
      </c>
      <c r="D60" t="str">
        <f t="shared" si="2"/>
        <v>Enero</v>
      </c>
      <c r="E60" t="str">
        <f t="shared" si="3"/>
        <v>T1</v>
      </c>
      <c r="F60" t="s">
        <v>176</v>
      </c>
      <c r="G60" t="s">
        <v>68</v>
      </c>
      <c r="H60" t="s">
        <v>62</v>
      </c>
      <c r="I60" t="s">
        <v>69</v>
      </c>
      <c r="J60" t="s">
        <v>57</v>
      </c>
      <c r="K60" t="s">
        <v>58</v>
      </c>
      <c r="L60" t="s">
        <v>162</v>
      </c>
      <c r="M60" s="24">
        <v>76</v>
      </c>
      <c r="N60" s="25">
        <v>3139.25</v>
      </c>
      <c r="O60" s="25">
        <f t="shared" si="4"/>
        <v>238583</v>
      </c>
      <c r="P60" s="25">
        <v>2591.12</v>
      </c>
      <c r="Q60" s="25">
        <f t="shared" si="5"/>
        <v>196925.12</v>
      </c>
      <c r="R60" s="25">
        <f t="shared" si="6"/>
        <v>41657.880000000005</v>
      </c>
      <c r="S60" s="26">
        <f t="shared" si="7"/>
        <v>0.17460539937883254</v>
      </c>
    </row>
    <row r="61" spans="1:19" ht="15" x14ac:dyDescent="0.2">
      <c r="A61" s="23">
        <v>45669</v>
      </c>
      <c r="B61">
        <f t="shared" si="0"/>
        <v>2025</v>
      </c>
      <c r="C61">
        <f t="shared" si="1"/>
        <v>1</v>
      </c>
      <c r="D61" t="str">
        <f t="shared" si="2"/>
        <v>Enero</v>
      </c>
      <c r="E61" t="str">
        <f t="shared" si="3"/>
        <v>T1</v>
      </c>
      <c r="F61" t="s">
        <v>177</v>
      </c>
      <c r="G61" t="s">
        <v>74</v>
      </c>
      <c r="H61" t="s">
        <v>75</v>
      </c>
      <c r="I61" t="s">
        <v>76</v>
      </c>
      <c r="J61" t="s">
        <v>77</v>
      </c>
      <c r="K61" t="s">
        <v>107</v>
      </c>
      <c r="L61" t="s">
        <v>108</v>
      </c>
      <c r="M61" s="24">
        <v>3</v>
      </c>
      <c r="N61" s="25">
        <v>39771.85</v>
      </c>
      <c r="O61" s="25">
        <f t="shared" si="4"/>
        <v>119315.54999999999</v>
      </c>
      <c r="P61" s="25">
        <v>25491.08</v>
      </c>
      <c r="Q61" s="25">
        <f t="shared" si="5"/>
        <v>76473.240000000005</v>
      </c>
      <c r="R61" s="25">
        <f t="shared" si="6"/>
        <v>42842.309999999983</v>
      </c>
      <c r="S61" s="26">
        <f t="shared" si="7"/>
        <v>0.35906727999829013</v>
      </c>
    </row>
    <row r="62" spans="1:19" ht="15" x14ac:dyDescent="0.2">
      <c r="A62" s="23">
        <v>45669</v>
      </c>
      <c r="B62">
        <f t="shared" si="0"/>
        <v>2025</v>
      </c>
      <c r="C62">
        <f t="shared" si="1"/>
        <v>1</v>
      </c>
      <c r="D62" t="str">
        <f t="shared" si="2"/>
        <v>Enero</v>
      </c>
      <c r="E62" t="str">
        <f t="shared" si="3"/>
        <v>T1</v>
      </c>
      <c r="F62" t="s">
        <v>178</v>
      </c>
      <c r="G62" t="s">
        <v>100</v>
      </c>
      <c r="H62" t="s">
        <v>88</v>
      </c>
      <c r="I62" t="s">
        <v>101</v>
      </c>
      <c r="J62" t="s">
        <v>125</v>
      </c>
      <c r="K62" t="s">
        <v>138</v>
      </c>
      <c r="L62" t="s">
        <v>139</v>
      </c>
      <c r="M62" s="24">
        <v>6</v>
      </c>
      <c r="N62" s="25">
        <v>35827.199999999997</v>
      </c>
      <c r="O62" s="25">
        <f t="shared" si="4"/>
        <v>214963.19999999998</v>
      </c>
      <c r="P62" s="25">
        <v>19831.2</v>
      </c>
      <c r="Q62" s="25">
        <f t="shared" si="5"/>
        <v>118987.20000000001</v>
      </c>
      <c r="R62" s="25">
        <f t="shared" si="6"/>
        <v>95975.999999999971</v>
      </c>
      <c r="S62" s="26">
        <f t="shared" si="7"/>
        <v>0.44647642015005351</v>
      </c>
    </row>
    <row r="63" spans="1:19" ht="15" x14ac:dyDescent="0.2">
      <c r="A63" s="23">
        <v>45669</v>
      </c>
      <c r="B63">
        <f t="shared" si="0"/>
        <v>2025</v>
      </c>
      <c r="C63">
        <f t="shared" si="1"/>
        <v>1</v>
      </c>
      <c r="D63" t="str">
        <f t="shared" si="2"/>
        <v>Enero</v>
      </c>
      <c r="E63" t="str">
        <f t="shared" si="3"/>
        <v>T1</v>
      </c>
      <c r="F63" t="s">
        <v>179</v>
      </c>
      <c r="G63" t="s">
        <v>149</v>
      </c>
      <c r="H63" t="s">
        <v>93</v>
      </c>
      <c r="I63" t="s">
        <v>150</v>
      </c>
      <c r="J63" t="s">
        <v>57</v>
      </c>
      <c r="K63" t="s">
        <v>81</v>
      </c>
      <c r="L63" t="s">
        <v>82</v>
      </c>
      <c r="M63" s="24">
        <v>3</v>
      </c>
      <c r="N63" s="25">
        <v>41895.35</v>
      </c>
      <c r="O63" s="25">
        <f t="shared" si="4"/>
        <v>125686.04999999999</v>
      </c>
      <c r="P63" s="25">
        <v>24420</v>
      </c>
      <c r="Q63" s="25">
        <f t="shared" si="5"/>
        <v>73260</v>
      </c>
      <c r="R63" s="25">
        <f t="shared" si="6"/>
        <v>52426.049999999988</v>
      </c>
      <c r="S63" s="26">
        <f t="shared" si="7"/>
        <v>0.41711908362145195</v>
      </c>
    </row>
    <row r="64" spans="1:19" ht="15" x14ac:dyDescent="0.2">
      <c r="A64" s="23">
        <v>45670</v>
      </c>
      <c r="B64">
        <f t="shared" si="0"/>
        <v>2025</v>
      </c>
      <c r="C64">
        <f t="shared" si="1"/>
        <v>1</v>
      </c>
      <c r="D64" t="str">
        <f t="shared" si="2"/>
        <v>Enero</v>
      </c>
      <c r="E64" t="str">
        <f t="shared" si="3"/>
        <v>T1</v>
      </c>
      <c r="F64" t="s">
        <v>180</v>
      </c>
      <c r="G64" t="s">
        <v>54</v>
      </c>
      <c r="H64" t="s">
        <v>55</v>
      </c>
      <c r="I64" t="s">
        <v>56</v>
      </c>
      <c r="J64" t="s">
        <v>125</v>
      </c>
      <c r="K64" t="s">
        <v>126</v>
      </c>
      <c r="L64" t="s">
        <v>127</v>
      </c>
      <c r="M64" s="24">
        <v>5</v>
      </c>
      <c r="N64" s="25">
        <v>67364.41</v>
      </c>
      <c r="O64" s="25">
        <f t="shared" si="4"/>
        <v>336822.05000000005</v>
      </c>
      <c r="P64" s="25">
        <v>46015.76</v>
      </c>
      <c r="Q64" s="25">
        <f t="shared" si="5"/>
        <v>230078.80000000002</v>
      </c>
      <c r="R64" s="25">
        <f t="shared" si="6"/>
        <v>106743.25000000003</v>
      </c>
      <c r="S64" s="26">
        <f t="shared" si="7"/>
        <v>0.31691289213399187</v>
      </c>
    </row>
    <row r="65" spans="1:19" ht="15" x14ac:dyDescent="0.2">
      <c r="A65" s="23">
        <v>45670</v>
      </c>
      <c r="B65">
        <f t="shared" si="0"/>
        <v>2025</v>
      </c>
      <c r="C65">
        <f t="shared" si="1"/>
        <v>1</v>
      </c>
      <c r="D65" t="str">
        <f t="shared" si="2"/>
        <v>Enero</v>
      </c>
      <c r="E65" t="str">
        <f t="shared" si="3"/>
        <v>T1</v>
      </c>
      <c r="F65" t="s">
        <v>181</v>
      </c>
      <c r="G65" t="s">
        <v>74</v>
      </c>
      <c r="H65" t="s">
        <v>75</v>
      </c>
      <c r="I65" t="s">
        <v>76</v>
      </c>
      <c r="J65" t="s">
        <v>70</v>
      </c>
      <c r="K65" t="s">
        <v>71</v>
      </c>
      <c r="L65" t="s">
        <v>72</v>
      </c>
      <c r="M65" s="24">
        <v>5</v>
      </c>
      <c r="N65" s="25">
        <v>36103.67</v>
      </c>
      <c r="O65" s="25">
        <f t="shared" si="4"/>
        <v>180518.34999999998</v>
      </c>
      <c r="P65" s="25">
        <v>26315.37</v>
      </c>
      <c r="Q65" s="25">
        <f t="shared" si="5"/>
        <v>131576.85</v>
      </c>
      <c r="R65" s="25">
        <f t="shared" si="6"/>
        <v>48941.499999999971</v>
      </c>
      <c r="S65" s="26">
        <f t="shared" si="7"/>
        <v>0.27111648206401162</v>
      </c>
    </row>
    <row r="66" spans="1:19" ht="15" x14ac:dyDescent="0.2">
      <c r="A66" s="23">
        <v>45671</v>
      </c>
      <c r="B66">
        <f t="shared" ref="B66:B129" si="8">YEAR($A66)</f>
        <v>2025</v>
      </c>
      <c r="C66">
        <f t="shared" ref="C66:C129" si="9">MONTH($A66)</f>
        <v>1</v>
      </c>
      <c r="D66" t="str">
        <f t="shared" ref="D66:D129" si="10">INDEX(lst_Meses,MONTH($A66))</f>
        <v>Enero</v>
      </c>
      <c r="E66" t="str">
        <f t="shared" ref="E66:E129" si="11">"T"&amp;ROUNDUP(MONTH($A66)/3,0)</f>
        <v>T1</v>
      </c>
      <c r="F66" t="s">
        <v>182</v>
      </c>
      <c r="G66" t="s">
        <v>183</v>
      </c>
      <c r="H66" t="s">
        <v>55</v>
      </c>
      <c r="I66" t="s">
        <v>184</v>
      </c>
      <c r="J66" t="s">
        <v>64</v>
      </c>
      <c r="K66" t="s">
        <v>96</v>
      </c>
      <c r="L66" t="s">
        <v>97</v>
      </c>
      <c r="M66" s="24">
        <v>2</v>
      </c>
      <c r="N66" s="25">
        <v>421692.79</v>
      </c>
      <c r="O66" s="25">
        <f t="shared" ref="O66:O129" si="12">$M66*$N66</f>
        <v>843385.58</v>
      </c>
      <c r="P66" s="25">
        <v>299083.95</v>
      </c>
      <c r="Q66" s="25">
        <f t="shared" ref="Q66:Q129" si="13">$M66*$P66</f>
        <v>598167.9</v>
      </c>
      <c r="R66" s="25">
        <f t="shared" ref="R66:R129" si="14">$O66-$Q66</f>
        <v>245217.67999999993</v>
      </c>
      <c r="S66" s="26">
        <f t="shared" ref="S66:S129" si="15">IFERROR($R66/$O66,0)</f>
        <v>0.29075393961561441</v>
      </c>
    </row>
    <row r="67" spans="1:19" ht="15" x14ac:dyDescent="0.2">
      <c r="A67" s="23">
        <v>45671</v>
      </c>
      <c r="B67">
        <f t="shared" si="8"/>
        <v>2025</v>
      </c>
      <c r="C67">
        <f t="shared" si="9"/>
        <v>1</v>
      </c>
      <c r="D67" t="str">
        <f t="shared" si="10"/>
        <v>Enero</v>
      </c>
      <c r="E67" t="str">
        <f t="shared" si="11"/>
        <v>T1</v>
      </c>
      <c r="F67" t="s">
        <v>185</v>
      </c>
      <c r="G67" t="s">
        <v>54</v>
      </c>
      <c r="H67" t="s">
        <v>55</v>
      </c>
      <c r="I67" t="s">
        <v>56</v>
      </c>
      <c r="J67" t="s">
        <v>77</v>
      </c>
      <c r="K67" t="s">
        <v>107</v>
      </c>
      <c r="L67" t="s">
        <v>112</v>
      </c>
      <c r="M67" s="24">
        <v>3</v>
      </c>
      <c r="N67" s="25">
        <v>55542.06</v>
      </c>
      <c r="O67" s="25">
        <f t="shared" si="12"/>
        <v>166626.18</v>
      </c>
      <c r="P67" s="25">
        <v>37264.04</v>
      </c>
      <c r="Q67" s="25">
        <f t="shared" si="13"/>
        <v>111792.12</v>
      </c>
      <c r="R67" s="25">
        <f t="shared" si="14"/>
        <v>54834.06</v>
      </c>
      <c r="S67" s="26">
        <f t="shared" si="15"/>
        <v>0.3290843011584374</v>
      </c>
    </row>
    <row r="68" spans="1:19" ht="15" x14ac:dyDescent="0.2">
      <c r="A68" s="23">
        <v>45671</v>
      </c>
      <c r="B68">
        <f t="shared" si="8"/>
        <v>2025</v>
      </c>
      <c r="C68">
        <f t="shared" si="9"/>
        <v>1</v>
      </c>
      <c r="D68" t="str">
        <f t="shared" si="10"/>
        <v>Enero</v>
      </c>
      <c r="E68" t="str">
        <f t="shared" si="11"/>
        <v>T1</v>
      </c>
      <c r="F68" t="s">
        <v>186</v>
      </c>
      <c r="G68" t="s">
        <v>114</v>
      </c>
      <c r="H68" t="s">
        <v>75</v>
      </c>
      <c r="I68" t="s">
        <v>115</v>
      </c>
      <c r="J68" t="s">
        <v>70</v>
      </c>
      <c r="K68" t="s">
        <v>84</v>
      </c>
      <c r="L68" t="s">
        <v>147</v>
      </c>
      <c r="M68" s="24">
        <v>4</v>
      </c>
      <c r="N68" s="25">
        <v>96577.21</v>
      </c>
      <c r="O68" s="25">
        <f t="shared" si="12"/>
        <v>386308.84</v>
      </c>
      <c r="P68" s="25">
        <v>68483.64</v>
      </c>
      <c r="Q68" s="25">
        <f t="shared" si="13"/>
        <v>273934.56</v>
      </c>
      <c r="R68" s="25">
        <f t="shared" si="14"/>
        <v>112374.28000000003</v>
      </c>
      <c r="S68" s="26">
        <f t="shared" si="15"/>
        <v>0.29089233370895684</v>
      </c>
    </row>
    <row r="69" spans="1:19" ht="15" x14ac:dyDescent="0.2">
      <c r="A69" s="23">
        <v>45671</v>
      </c>
      <c r="B69">
        <f t="shared" si="8"/>
        <v>2025</v>
      </c>
      <c r="C69">
        <f t="shared" si="9"/>
        <v>1</v>
      </c>
      <c r="D69" t="str">
        <f t="shared" si="10"/>
        <v>Enero</v>
      </c>
      <c r="E69" t="str">
        <f t="shared" si="11"/>
        <v>T1</v>
      </c>
      <c r="F69" t="s">
        <v>187</v>
      </c>
      <c r="G69" t="s">
        <v>188</v>
      </c>
      <c r="H69" t="s">
        <v>88</v>
      </c>
      <c r="I69" t="s">
        <v>189</v>
      </c>
      <c r="J69" t="s">
        <v>77</v>
      </c>
      <c r="K69" t="s">
        <v>78</v>
      </c>
      <c r="L69" t="s">
        <v>79</v>
      </c>
      <c r="M69" s="24">
        <v>2</v>
      </c>
      <c r="N69" s="25">
        <v>94931.16</v>
      </c>
      <c r="O69" s="25">
        <f t="shared" si="12"/>
        <v>189862.32</v>
      </c>
      <c r="P69" s="25">
        <v>49550.84</v>
      </c>
      <c r="Q69" s="25">
        <f t="shared" si="13"/>
        <v>99101.68</v>
      </c>
      <c r="R69" s="25">
        <f t="shared" si="14"/>
        <v>90760.640000000014</v>
      </c>
      <c r="S69" s="26">
        <f t="shared" si="15"/>
        <v>0.47803397746324816</v>
      </c>
    </row>
    <row r="70" spans="1:19" ht="15" x14ac:dyDescent="0.2">
      <c r="A70" s="23">
        <v>45672</v>
      </c>
      <c r="B70">
        <f t="shared" si="8"/>
        <v>2025</v>
      </c>
      <c r="C70">
        <f t="shared" si="9"/>
        <v>1</v>
      </c>
      <c r="D70" t="str">
        <f t="shared" si="10"/>
        <v>Enero</v>
      </c>
      <c r="E70" t="str">
        <f t="shared" si="11"/>
        <v>T1</v>
      </c>
      <c r="F70" t="s">
        <v>190</v>
      </c>
      <c r="G70" t="s">
        <v>54</v>
      </c>
      <c r="H70" t="s">
        <v>55</v>
      </c>
      <c r="I70" t="s">
        <v>56</v>
      </c>
      <c r="J70" t="s">
        <v>64</v>
      </c>
      <c r="K70" t="s">
        <v>96</v>
      </c>
      <c r="L70" t="s">
        <v>97</v>
      </c>
      <c r="M70" s="24">
        <v>18</v>
      </c>
      <c r="N70" s="25">
        <v>59775.98</v>
      </c>
      <c r="O70" s="25">
        <f t="shared" si="12"/>
        <v>1075967.6400000001</v>
      </c>
      <c r="P70" s="25">
        <v>42128.36</v>
      </c>
      <c r="Q70" s="25">
        <f t="shared" si="13"/>
        <v>758310.48</v>
      </c>
      <c r="R70" s="25">
        <f t="shared" si="14"/>
        <v>317657.16000000015</v>
      </c>
      <c r="S70" s="26">
        <f t="shared" si="15"/>
        <v>0.29522928775069862</v>
      </c>
    </row>
    <row r="71" spans="1:19" ht="15" x14ac:dyDescent="0.2">
      <c r="A71" s="23">
        <v>45672</v>
      </c>
      <c r="B71">
        <f t="shared" si="8"/>
        <v>2025</v>
      </c>
      <c r="C71">
        <f t="shared" si="9"/>
        <v>1</v>
      </c>
      <c r="D71" t="str">
        <f t="shared" si="10"/>
        <v>Enero</v>
      </c>
      <c r="E71" t="str">
        <f t="shared" si="11"/>
        <v>T1</v>
      </c>
      <c r="F71" t="s">
        <v>191</v>
      </c>
      <c r="G71" t="s">
        <v>54</v>
      </c>
      <c r="H71" t="s">
        <v>55</v>
      </c>
      <c r="I71" t="s">
        <v>56</v>
      </c>
      <c r="J71" t="s">
        <v>70</v>
      </c>
      <c r="K71" t="s">
        <v>84</v>
      </c>
      <c r="L71" t="s">
        <v>147</v>
      </c>
      <c r="M71" s="24">
        <v>8</v>
      </c>
      <c r="N71" s="25">
        <v>54905.91</v>
      </c>
      <c r="O71" s="25">
        <f t="shared" si="12"/>
        <v>439247.28</v>
      </c>
      <c r="P71" s="25">
        <v>39700.01</v>
      </c>
      <c r="Q71" s="25">
        <f t="shared" si="13"/>
        <v>317600.08</v>
      </c>
      <c r="R71" s="25">
        <f t="shared" si="14"/>
        <v>121647.20000000001</v>
      </c>
      <c r="S71" s="26">
        <f t="shared" si="15"/>
        <v>0.27694468591814614</v>
      </c>
    </row>
    <row r="72" spans="1:19" ht="15" x14ac:dyDescent="0.2">
      <c r="A72" s="23">
        <v>45672</v>
      </c>
      <c r="B72">
        <f t="shared" si="8"/>
        <v>2025</v>
      </c>
      <c r="C72">
        <f t="shared" si="9"/>
        <v>1</v>
      </c>
      <c r="D72" t="str">
        <f t="shared" si="10"/>
        <v>Enero</v>
      </c>
      <c r="E72" t="str">
        <f t="shared" si="11"/>
        <v>T1</v>
      </c>
      <c r="F72" t="s">
        <v>192</v>
      </c>
      <c r="G72" t="s">
        <v>68</v>
      </c>
      <c r="H72" t="s">
        <v>62</v>
      </c>
      <c r="I72" t="s">
        <v>69</v>
      </c>
      <c r="J72" t="s">
        <v>64</v>
      </c>
      <c r="K72" t="s">
        <v>96</v>
      </c>
      <c r="L72" t="s">
        <v>97</v>
      </c>
      <c r="M72" s="24">
        <v>65</v>
      </c>
      <c r="N72" s="25">
        <v>3094.36</v>
      </c>
      <c r="O72" s="25">
        <f t="shared" si="12"/>
        <v>201133.4</v>
      </c>
      <c r="P72" s="25">
        <v>2593.13</v>
      </c>
      <c r="Q72" s="25">
        <f t="shared" si="13"/>
        <v>168553.45</v>
      </c>
      <c r="R72" s="25">
        <f t="shared" si="14"/>
        <v>32579.949999999983</v>
      </c>
      <c r="S72" s="26">
        <f t="shared" si="15"/>
        <v>0.16198179914424946</v>
      </c>
    </row>
    <row r="73" spans="1:19" ht="15" x14ac:dyDescent="0.2">
      <c r="A73" s="23">
        <v>45672</v>
      </c>
      <c r="B73">
        <f t="shared" si="8"/>
        <v>2025</v>
      </c>
      <c r="C73">
        <f t="shared" si="9"/>
        <v>1</v>
      </c>
      <c r="D73" t="str">
        <f t="shared" si="10"/>
        <v>Enero</v>
      </c>
      <c r="E73" t="str">
        <f t="shared" si="11"/>
        <v>T1</v>
      </c>
      <c r="F73" t="s">
        <v>193</v>
      </c>
      <c r="G73" t="s">
        <v>100</v>
      </c>
      <c r="H73" t="s">
        <v>88</v>
      </c>
      <c r="I73" t="s">
        <v>101</v>
      </c>
      <c r="J73" t="s">
        <v>70</v>
      </c>
      <c r="K73" t="s">
        <v>84</v>
      </c>
      <c r="L73" t="s">
        <v>85</v>
      </c>
      <c r="M73" s="24">
        <v>5</v>
      </c>
      <c r="N73" s="25">
        <v>34636.230000000003</v>
      </c>
      <c r="O73" s="25">
        <f t="shared" si="12"/>
        <v>173181.15000000002</v>
      </c>
      <c r="P73" s="25">
        <v>20703.64</v>
      </c>
      <c r="Q73" s="25">
        <f t="shared" si="13"/>
        <v>103518.2</v>
      </c>
      <c r="R73" s="25">
        <f t="shared" si="14"/>
        <v>69662.950000000026</v>
      </c>
      <c r="S73" s="26">
        <f t="shared" si="15"/>
        <v>0.40225480659991009</v>
      </c>
    </row>
    <row r="74" spans="1:19" ht="15" x14ac:dyDescent="0.2">
      <c r="A74" s="23">
        <v>45672</v>
      </c>
      <c r="B74">
        <f t="shared" si="8"/>
        <v>2025</v>
      </c>
      <c r="C74">
        <f t="shared" si="9"/>
        <v>1</v>
      </c>
      <c r="D74" t="str">
        <f t="shared" si="10"/>
        <v>Enero</v>
      </c>
      <c r="E74" t="str">
        <f t="shared" si="11"/>
        <v>T1</v>
      </c>
      <c r="F74" t="s">
        <v>194</v>
      </c>
      <c r="G74" t="s">
        <v>149</v>
      </c>
      <c r="H74" t="s">
        <v>93</v>
      </c>
      <c r="I74" t="s">
        <v>150</v>
      </c>
      <c r="J74" t="s">
        <v>125</v>
      </c>
      <c r="K74" t="s">
        <v>138</v>
      </c>
      <c r="L74" t="s">
        <v>139</v>
      </c>
      <c r="M74" s="24">
        <v>2</v>
      </c>
      <c r="N74" s="25">
        <v>49115.25</v>
      </c>
      <c r="O74" s="25">
        <f t="shared" si="12"/>
        <v>98230.5</v>
      </c>
      <c r="P74" s="25">
        <v>29117.279999999999</v>
      </c>
      <c r="Q74" s="25">
        <f t="shared" si="13"/>
        <v>58234.559999999998</v>
      </c>
      <c r="R74" s="25">
        <f t="shared" si="14"/>
        <v>39995.94</v>
      </c>
      <c r="S74" s="26">
        <f t="shared" si="15"/>
        <v>0.40716416998793659</v>
      </c>
    </row>
    <row r="75" spans="1:19" ht="15" x14ac:dyDescent="0.2">
      <c r="A75" s="23">
        <v>45673</v>
      </c>
      <c r="B75">
        <f t="shared" si="8"/>
        <v>2025</v>
      </c>
      <c r="C75">
        <f t="shared" si="9"/>
        <v>1</v>
      </c>
      <c r="D75" t="str">
        <f t="shared" si="10"/>
        <v>Enero</v>
      </c>
      <c r="E75" t="str">
        <f t="shared" si="11"/>
        <v>T1</v>
      </c>
      <c r="F75" t="s">
        <v>195</v>
      </c>
      <c r="G75" t="s">
        <v>74</v>
      </c>
      <c r="H75" t="s">
        <v>75</v>
      </c>
      <c r="I75" t="s">
        <v>76</v>
      </c>
      <c r="J75" t="s">
        <v>64</v>
      </c>
      <c r="K75" t="s">
        <v>65</v>
      </c>
      <c r="L75" t="s">
        <v>123</v>
      </c>
      <c r="M75" s="24">
        <v>11</v>
      </c>
      <c r="N75" s="25">
        <v>41587.919999999998</v>
      </c>
      <c r="O75" s="25">
        <f t="shared" si="12"/>
        <v>457467.12</v>
      </c>
      <c r="P75" s="25">
        <v>28951.94</v>
      </c>
      <c r="Q75" s="25">
        <f t="shared" si="13"/>
        <v>318471.33999999997</v>
      </c>
      <c r="R75" s="25">
        <f t="shared" si="14"/>
        <v>138995.78000000003</v>
      </c>
      <c r="S75" s="26">
        <f t="shared" si="15"/>
        <v>0.30383774903866323</v>
      </c>
    </row>
    <row r="76" spans="1:19" ht="15" x14ac:dyDescent="0.2">
      <c r="A76" s="23">
        <v>45673</v>
      </c>
      <c r="B76">
        <f t="shared" si="8"/>
        <v>2025</v>
      </c>
      <c r="C76">
        <f t="shared" si="9"/>
        <v>1</v>
      </c>
      <c r="D76" t="str">
        <f t="shared" si="10"/>
        <v>Enero</v>
      </c>
      <c r="E76" t="str">
        <f t="shared" si="11"/>
        <v>T1</v>
      </c>
      <c r="F76" t="s">
        <v>196</v>
      </c>
      <c r="G76" t="s">
        <v>144</v>
      </c>
      <c r="H76" t="s">
        <v>88</v>
      </c>
      <c r="I76" t="s">
        <v>145</v>
      </c>
      <c r="J76" t="s">
        <v>64</v>
      </c>
      <c r="K76" t="s">
        <v>96</v>
      </c>
      <c r="L76" t="s">
        <v>103</v>
      </c>
      <c r="M76" s="24">
        <v>43</v>
      </c>
      <c r="N76" s="25">
        <v>12650.29</v>
      </c>
      <c r="O76" s="25">
        <f t="shared" si="12"/>
        <v>543962.47000000009</v>
      </c>
      <c r="P76" s="25">
        <v>7060.23</v>
      </c>
      <c r="Q76" s="25">
        <f t="shared" si="13"/>
        <v>303589.88999999996</v>
      </c>
      <c r="R76" s="25">
        <f t="shared" si="14"/>
        <v>240372.58000000013</v>
      </c>
      <c r="S76" s="26">
        <f t="shared" si="15"/>
        <v>0.44189184595768177</v>
      </c>
    </row>
    <row r="77" spans="1:19" ht="15" x14ac:dyDescent="0.2">
      <c r="A77" s="23">
        <v>45673</v>
      </c>
      <c r="B77">
        <f t="shared" si="8"/>
        <v>2025</v>
      </c>
      <c r="C77">
        <f t="shared" si="9"/>
        <v>1</v>
      </c>
      <c r="D77" t="str">
        <f t="shared" si="10"/>
        <v>Enero</v>
      </c>
      <c r="E77" t="str">
        <f t="shared" si="11"/>
        <v>T1</v>
      </c>
      <c r="F77" t="s">
        <v>197</v>
      </c>
      <c r="G77" t="s">
        <v>92</v>
      </c>
      <c r="H77" t="s">
        <v>93</v>
      </c>
      <c r="I77" t="s">
        <v>94</v>
      </c>
      <c r="J77" t="s">
        <v>64</v>
      </c>
      <c r="K77" t="s">
        <v>96</v>
      </c>
      <c r="L77" t="s">
        <v>103</v>
      </c>
      <c r="M77" s="24">
        <v>6</v>
      </c>
      <c r="N77" s="25">
        <v>19992.43</v>
      </c>
      <c r="O77" s="25">
        <f t="shared" si="12"/>
        <v>119954.58</v>
      </c>
      <c r="P77" s="25">
        <v>12300.75</v>
      </c>
      <c r="Q77" s="25">
        <f t="shared" si="13"/>
        <v>73804.5</v>
      </c>
      <c r="R77" s="25">
        <f t="shared" si="14"/>
        <v>46150.080000000002</v>
      </c>
      <c r="S77" s="26">
        <f t="shared" si="15"/>
        <v>0.38472962016123102</v>
      </c>
    </row>
    <row r="78" spans="1:19" ht="15" x14ac:dyDescent="0.2">
      <c r="A78" s="23">
        <v>45674</v>
      </c>
      <c r="B78">
        <f t="shared" si="8"/>
        <v>2025</v>
      </c>
      <c r="C78">
        <f t="shared" si="9"/>
        <v>1</v>
      </c>
      <c r="D78" t="str">
        <f t="shared" si="10"/>
        <v>Enero</v>
      </c>
      <c r="E78" t="str">
        <f t="shared" si="11"/>
        <v>T1</v>
      </c>
      <c r="F78" t="s">
        <v>198</v>
      </c>
      <c r="G78" t="s">
        <v>68</v>
      </c>
      <c r="H78" t="s">
        <v>62</v>
      </c>
      <c r="I78" t="s">
        <v>69</v>
      </c>
      <c r="J78" t="s">
        <v>77</v>
      </c>
      <c r="K78" t="s">
        <v>78</v>
      </c>
      <c r="L78" t="s">
        <v>117</v>
      </c>
      <c r="M78" s="24">
        <v>132</v>
      </c>
      <c r="N78" s="25">
        <v>3238.75</v>
      </c>
      <c r="O78" s="25">
        <f t="shared" si="12"/>
        <v>427515</v>
      </c>
      <c r="P78" s="25">
        <v>2598.85</v>
      </c>
      <c r="Q78" s="25">
        <f t="shared" si="13"/>
        <v>343048.2</v>
      </c>
      <c r="R78" s="25">
        <f t="shared" si="14"/>
        <v>84466.799999999988</v>
      </c>
      <c r="S78" s="26">
        <f t="shared" si="15"/>
        <v>0.19757622539560013</v>
      </c>
    </row>
    <row r="79" spans="1:19" ht="15" x14ac:dyDescent="0.2">
      <c r="A79" s="23">
        <v>45675</v>
      </c>
      <c r="B79">
        <f t="shared" si="8"/>
        <v>2025</v>
      </c>
      <c r="C79">
        <f t="shared" si="9"/>
        <v>1</v>
      </c>
      <c r="D79" t="str">
        <f t="shared" si="10"/>
        <v>Enero</v>
      </c>
      <c r="E79" t="str">
        <f t="shared" si="11"/>
        <v>T1</v>
      </c>
      <c r="F79" t="s">
        <v>199</v>
      </c>
      <c r="G79" t="s">
        <v>54</v>
      </c>
      <c r="H79" t="s">
        <v>55</v>
      </c>
      <c r="I79" t="s">
        <v>56</v>
      </c>
      <c r="J79" t="s">
        <v>57</v>
      </c>
      <c r="K79" t="s">
        <v>81</v>
      </c>
      <c r="L79" t="s">
        <v>82</v>
      </c>
      <c r="M79" s="24">
        <v>17</v>
      </c>
      <c r="N79" s="25">
        <v>59653.96</v>
      </c>
      <c r="O79" s="25">
        <f t="shared" si="12"/>
        <v>1014117.32</v>
      </c>
      <c r="P79" s="25">
        <v>42032.08</v>
      </c>
      <c r="Q79" s="25">
        <f t="shared" si="13"/>
        <v>714545.36</v>
      </c>
      <c r="R79" s="25">
        <f t="shared" si="14"/>
        <v>299571.95999999996</v>
      </c>
      <c r="S79" s="26">
        <f t="shared" si="15"/>
        <v>0.29540167995553018</v>
      </c>
    </row>
    <row r="80" spans="1:19" ht="15" x14ac:dyDescent="0.2">
      <c r="A80" s="23">
        <v>45675</v>
      </c>
      <c r="B80">
        <f t="shared" si="8"/>
        <v>2025</v>
      </c>
      <c r="C80">
        <f t="shared" si="9"/>
        <v>1</v>
      </c>
      <c r="D80" t="str">
        <f t="shared" si="10"/>
        <v>Enero</v>
      </c>
      <c r="E80" t="str">
        <f t="shared" si="11"/>
        <v>T1</v>
      </c>
      <c r="F80" t="s">
        <v>200</v>
      </c>
      <c r="G80" t="s">
        <v>61</v>
      </c>
      <c r="H80" t="s">
        <v>62</v>
      </c>
      <c r="I80" t="s">
        <v>63</v>
      </c>
      <c r="J80" t="s">
        <v>70</v>
      </c>
      <c r="K80" t="s">
        <v>84</v>
      </c>
      <c r="L80" t="s">
        <v>147</v>
      </c>
      <c r="M80" s="24">
        <v>55</v>
      </c>
      <c r="N80" s="25">
        <v>5627.42</v>
      </c>
      <c r="O80" s="25">
        <f t="shared" si="12"/>
        <v>309508.09999999998</v>
      </c>
      <c r="P80" s="25">
        <v>4820.13</v>
      </c>
      <c r="Q80" s="25">
        <f t="shared" si="13"/>
        <v>265107.15000000002</v>
      </c>
      <c r="R80" s="25">
        <f t="shared" si="14"/>
        <v>44400.949999999953</v>
      </c>
      <c r="S80" s="26">
        <f t="shared" si="15"/>
        <v>0.14345650404625906</v>
      </c>
    </row>
    <row r="81" spans="1:19" ht="15" x14ac:dyDescent="0.2">
      <c r="A81" s="23">
        <v>45675</v>
      </c>
      <c r="B81">
        <f t="shared" si="8"/>
        <v>2025</v>
      </c>
      <c r="C81">
        <f t="shared" si="9"/>
        <v>1</v>
      </c>
      <c r="D81" t="str">
        <f t="shared" si="10"/>
        <v>Enero</v>
      </c>
      <c r="E81" t="str">
        <f t="shared" si="11"/>
        <v>T1</v>
      </c>
      <c r="F81" t="s">
        <v>201</v>
      </c>
      <c r="G81" t="s">
        <v>149</v>
      </c>
      <c r="H81" t="s">
        <v>93</v>
      </c>
      <c r="I81" t="s">
        <v>150</v>
      </c>
      <c r="J81" t="s">
        <v>77</v>
      </c>
      <c r="K81" t="s">
        <v>107</v>
      </c>
      <c r="L81" t="s">
        <v>108</v>
      </c>
      <c r="M81" s="24">
        <v>4</v>
      </c>
      <c r="N81" s="25">
        <v>49549.79</v>
      </c>
      <c r="O81" s="25">
        <f t="shared" si="12"/>
        <v>198199.16</v>
      </c>
      <c r="P81" s="25">
        <v>28018.37</v>
      </c>
      <c r="Q81" s="25">
        <f t="shared" si="13"/>
        <v>112073.48</v>
      </c>
      <c r="R81" s="25">
        <f t="shared" si="14"/>
        <v>86125.680000000008</v>
      </c>
      <c r="S81" s="26">
        <f t="shared" si="15"/>
        <v>0.43454109492694121</v>
      </c>
    </row>
    <row r="82" spans="1:19" ht="15" x14ac:dyDescent="0.2">
      <c r="A82" s="23">
        <v>45675</v>
      </c>
      <c r="B82">
        <f t="shared" si="8"/>
        <v>2025</v>
      </c>
      <c r="C82">
        <f t="shared" si="9"/>
        <v>1</v>
      </c>
      <c r="D82" t="str">
        <f t="shared" si="10"/>
        <v>Enero</v>
      </c>
      <c r="E82" t="str">
        <f t="shared" si="11"/>
        <v>T1</v>
      </c>
      <c r="F82" t="s">
        <v>202</v>
      </c>
      <c r="G82" t="s">
        <v>92</v>
      </c>
      <c r="H82" t="s">
        <v>93</v>
      </c>
      <c r="I82" t="s">
        <v>94</v>
      </c>
      <c r="J82" t="s">
        <v>125</v>
      </c>
      <c r="K82" t="s">
        <v>126</v>
      </c>
      <c r="L82" t="s">
        <v>127</v>
      </c>
      <c r="M82" s="24">
        <v>1</v>
      </c>
      <c r="N82" s="25">
        <v>15050.11</v>
      </c>
      <c r="O82" s="25">
        <f t="shared" si="12"/>
        <v>15050.11</v>
      </c>
      <c r="P82" s="25">
        <v>9175.7900000000009</v>
      </c>
      <c r="Q82" s="25">
        <f t="shared" si="13"/>
        <v>9175.7900000000009</v>
      </c>
      <c r="R82" s="25">
        <f t="shared" si="14"/>
        <v>5874.32</v>
      </c>
      <c r="S82" s="26">
        <f t="shared" si="15"/>
        <v>0.39031741296243017</v>
      </c>
    </row>
    <row r="83" spans="1:19" ht="15" x14ac:dyDescent="0.2">
      <c r="A83" s="23">
        <v>45676</v>
      </c>
      <c r="B83">
        <f t="shared" si="8"/>
        <v>2025</v>
      </c>
      <c r="C83">
        <f t="shared" si="9"/>
        <v>1</v>
      </c>
      <c r="D83" t="str">
        <f t="shared" si="10"/>
        <v>Enero</v>
      </c>
      <c r="E83" t="str">
        <f t="shared" si="11"/>
        <v>T1</v>
      </c>
      <c r="F83" t="s">
        <v>203</v>
      </c>
      <c r="G83" t="s">
        <v>114</v>
      </c>
      <c r="H83" t="s">
        <v>75</v>
      </c>
      <c r="I83" t="s">
        <v>115</v>
      </c>
      <c r="J83" t="s">
        <v>125</v>
      </c>
      <c r="K83" t="s">
        <v>126</v>
      </c>
      <c r="L83" t="s">
        <v>131</v>
      </c>
      <c r="M83" s="24">
        <v>3</v>
      </c>
      <c r="N83" s="25">
        <v>87500</v>
      </c>
      <c r="O83" s="25">
        <f t="shared" si="12"/>
        <v>262500</v>
      </c>
      <c r="P83" s="25">
        <v>59840.06</v>
      </c>
      <c r="Q83" s="25">
        <f t="shared" si="13"/>
        <v>179520.18</v>
      </c>
      <c r="R83" s="25">
        <f t="shared" si="14"/>
        <v>82979.820000000007</v>
      </c>
      <c r="S83" s="26">
        <f t="shared" si="15"/>
        <v>0.31611360000000005</v>
      </c>
    </row>
    <row r="84" spans="1:19" ht="15" x14ac:dyDescent="0.2">
      <c r="A84" s="23">
        <v>45676</v>
      </c>
      <c r="B84">
        <f t="shared" si="8"/>
        <v>2025</v>
      </c>
      <c r="C84">
        <f t="shared" si="9"/>
        <v>1</v>
      </c>
      <c r="D84" t="str">
        <f t="shared" si="10"/>
        <v>Enero</v>
      </c>
      <c r="E84" t="str">
        <f t="shared" si="11"/>
        <v>T1</v>
      </c>
      <c r="F84" t="s">
        <v>204</v>
      </c>
      <c r="G84" t="s">
        <v>74</v>
      </c>
      <c r="H84" t="s">
        <v>75</v>
      </c>
      <c r="I84" t="s">
        <v>76</v>
      </c>
      <c r="J84" t="s">
        <v>70</v>
      </c>
      <c r="K84" t="s">
        <v>84</v>
      </c>
      <c r="L84" t="s">
        <v>147</v>
      </c>
      <c r="M84" s="24">
        <v>4</v>
      </c>
      <c r="N84" s="25">
        <v>37169.879999999997</v>
      </c>
      <c r="O84" s="25">
        <f t="shared" si="12"/>
        <v>148679.51999999999</v>
      </c>
      <c r="P84" s="25">
        <v>26377.52</v>
      </c>
      <c r="Q84" s="25">
        <f t="shared" si="13"/>
        <v>105510.08</v>
      </c>
      <c r="R84" s="25">
        <f t="shared" si="14"/>
        <v>43169.439999999988</v>
      </c>
      <c r="S84" s="26">
        <f t="shared" si="15"/>
        <v>0.29035229599880324</v>
      </c>
    </row>
    <row r="85" spans="1:19" ht="15" x14ac:dyDescent="0.2">
      <c r="A85" s="23">
        <v>45676</v>
      </c>
      <c r="B85">
        <f t="shared" si="8"/>
        <v>2025</v>
      </c>
      <c r="C85">
        <f t="shared" si="9"/>
        <v>1</v>
      </c>
      <c r="D85" t="str">
        <f t="shared" si="10"/>
        <v>Enero</v>
      </c>
      <c r="E85" t="str">
        <f t="shared" si="11"/>
        <v>T1</v>
      </c>
      <c r="F85" t="s">
        <v>205</v>
      </c>
      <c r="G85" t="s">
        <v>206</v>
      </c>
      <c r="H85" t="s">
        <v>93</v>
      </c>
      <c r="I85" t="s">
        <v>207</v>
      </c>
      <c r="J85" t="s">
        <v>64</v>
      </c>
      <c r="K85" t="s">
        <v>65</v>
      </c>
      <c r="L85" t="s">
        <v>123</v>
      </c>
      <c r="M85" s="24">
        <v>3</v>
      </c>
      <c r="N85" s="25">
        <v>124069.38</v>
      </c>
      <c r="O85" s="25">
        <f t="shared" si="12"/>
        <v>372208.14</v>
      </c>
      <c r="P85" s="25">
        <v>75394.399999999994</v>
      </c>
      <c r="Q85" s="25">
        <f t="shared" si="13"/>
        <v>226183.19999999998</v>
      </c>
      <c r="R85" s="25">
        <f t="shared" si="14"/>
        <v>146024.94000000003</v>
      </c>
      <c r="S85" s="26">
        <f t="shared" si="15"/>
        <v>0.39232065155802348</v>
      </c>
    </row>
    <row r="86" spans="1:19" ht="15" x14ac:dyDescent="0.2">
      <c r="A86" s="23">
        <v>45677</v>
      </c>
      <c r="B86">
        <f t="shared" si="8"/>
        <v>2025</v>
      </c>
      <c r="C86">
        <f t="shared" si="9"/>
        <v>1</v>
      </c>
      <c r="D86" t="str">
        <f t="shared" si="10"/>
        <v>Enero</v>
      </c>
      <c r="E86" t="str">
        <f t="shared" si="11"/>
        <v>T1</v>
      </c>
      <c r="F86" t="s">
        <v>208</v>
      </c>
      <c r="G86" t="s">
        <v>183</v>
      </c>
      <c r="H86" t="s">
        <v>55</v>
      </c>
      <c r="I86" t="s">
        <v>184</v>
      </c>
      <c r="J86" t="s">
        <v>64</v>
      </c>
      <c r="K86" t="s">
        <v>65</v>
      </c>
      <c r="L86" t="s">
        <v>123</v>
      </c>
      <c r="M86" s="24">
        <v>4</v>
      </c>
      <c r="N86" s="25">
        <v>379452.84</v>
      </c>
      <c r="O86" s="25">
        <f t="shared" si="12"/>
        <v>1517811.36</v>
      </c>
      <c r="P86" s="25">
        <v>266364.63</v>
      </c>
      <c r="Q86" s="25">
        <f t="shared" si="13"/>
        <v>1065458.52</v>
      </c>
      <c r="R86" s="25">
        <f t="shared" si="14"/>
        <v>452352.84000000008</v>
      </c>
      <c r="S86" s="26">
        <f t="shared" si="15"/>
        <v>0.29802968400500052</v>
      </c>
    </row>
    <row r="87" spans="1:19" ht="15" x14ac:dyDescent="0.2">
      <c r="A87" s="23">
        <v>45677</v>
      </c>
      <c r="B87">
        <f t="shared" si="8"/>
        <v>2025</v>
      </c>
      <c r="C87">
        <f t="shared" si="9"/>
        <v>1</v>
      </c>
      <c r="D87" t="str">
        <f t="shared" si="10"/>
        <v>Enero</v>
      </c>
      <c r="E87" t="str">
        <f t="shared" si="11"/>
        <v>T1</v>
      </c>
      <c r="F87" t="s">
        <v>209</v>
      </c>
      <c r="G87" t="s">
        <v>110</v>
      </c>
      <c r="H87" t="s">
        <v>62</v>
      </c>
      <c r="I87" t="s">
        <v>69</v>
      </c>
      <c r="J87" t="s">
        <v>70</v>
      </c>
      <c r="K87" t="s">
        <v>84</v>
      </c>
      <c r="L87" t="s">
        <v>85</v>
      </c>
      <c r="M87" s="24">
        <v>39</v>
      </c>
      <c r="N87" s="25">
        <v>6333.31</v>
      </c>
      <c r="O87" s="25">
        <f t="shared" si="12"/>
        <v>246999.09000000003</v>
      </c>
      <c r="P87" s="25">
        <v>5446.14</v>
      </c>
      <c r="Q87" s="25">
        <f t="shared" si="13"/>
        <v>212399.46000000002</v>
      </c>
      <c r="R87" s="25">
        <f t="shared" si="14"/>
        <v>34599.630000000005</v>
      </c>
      <c r="S87" s="26">
        <f t="shared" si="15"/>
        <v>0.14007998976838337</v>
      </c>
    </row>
    <row r="88" spans="1:19" ht="15" x14ac:dyDescent="0.2">
      <c r="A88" s="23">
        <v>45679</v>
      </c>
      <c r="B88">
        <f t="shared" si="8"/>
        <v>2025</v>
      </c>
      <c r="C88">
        <f t="shared" si="9"/>
        <v>1</v>
      </c>
      <c r="D88" t="str">
        <f t="shared" si="10"/>
        <v>Enero</v>
      </c>
      <c r="E88" t="str">
        <f t="shared" si="11"/>
        <v>T1</v>
      </c>
      <c r="F88" t="s">
        <v>210</v>
      </c>
      <c r="G88" t="s">
        <v>54</v>
      </c>
      <c r="H88" t="s">
        <v>55</v>
      </c>
      <c r="I88" t="s">
        <v>56</v>
      </c>
      <c r="J88" t="s">
        <v>64</v>
      </c>
      <c r="K88" t="s">
        <v>65</v>
      </c>
      <c r="L88" t="s">
        <v>66</v>
      </c>
      <c r="M88" s="24">
        <v>14</v>
      </c>
      <c r="N88" s="25">
        <v>60356.84</v>
      </c>
      <c r="O88" s="25">
        <f t="shared" si="12"/>
        <v>844995.76</v>
      </c>
      <c r="P88" s="25">
        <v>42842.49</v>
      </c>
      <c r="Q88" s="25">
        <f t="shared" si="13"/>
        <v>599794.86</v>
      </c>
      <c r="R88" s="25">
        <f t="shared" si="14"/>
        <v>245200.90000000002</v>
      </c>
      <c r="S88" s="26">
        <f t="shared" si="15"/>
        <v>0.29018003593296138</v>
      </c>
    </row>
    <row r="89" spans="1:19" ht="15" x14ac:dyDescent="0.2">
      <c r="A89" s="23">
        <v>45679</v>
      </c>
      <c r="B89">
        <f t="shared" si="8"/>
        <v>2025</v>
      </c>
      <c r="C89">
        <f t="shared" si="9"/>
        <v>1</v>
      </c>
      <c r="D89" t="str">
        <f t="shared" si="10"/>
        <v>Enero</v>
      </c>
      <c r="E89" t="str">
        <f t="shared" si="11"/>
        <v>T1</v>
      </c>
      <c r="F89" t="s">
        <v>211</v>
      </c>
      <c r="G89" t="s">
        <v>54</v>
      </c>
      <c r="H89" t="s">
        <v>55</v>
      </c>
      <c r="I89" t="s">
        <v>56</v>
      </c>
      <c r="J89" t="s">
        <v>77</v>
      </c>
      <c r="K89" t="s">
        <v>107</v>
      </c>
      <c r="L89" t="s">
        <v>112</v>
      </c>
      <c r="M89" s="24">
        <v>9</v>
      </c>
      <c r="N89" s="25">
        <v>65848.34</v>
      </c>
      <c r="O89" s="25">
        <f t="shared" si="12"/>
        <v>592635.05999999994</v>
      </c>
      <c r="P89" s="25">
        <v>43021.15</v>
      </c>
      <c r="Q89" s="25">
        <f t="shared" si="13"/>
        <v>387190.35000000003</v>
      </c>
      <c r="R89" s="25">
        <f t="shared" si="14"/>
        <v>205444.7099999999</v>
      </c>
      <c r="S89" s="26">
        <f t="shared" si="15"/>
        <v>0.34666310494691271</v>
      </c>
    </row>
    <row r="90" spans="1:19" ht="15" x14ac:dyDescent="0.2">
      <c r="A90" s="23">
        <v>45679</v>
      </c>
      <c r="B90">
        <f t="shared" si="8"/>
        <v>2025</v>
      </c>
      <c r="C90">
        <f t="shared" si="9"/>
        <v>1</v>
      </c>
      <c r="D90" t="str">
        <f t="shared" si="10"/>
        <v>Enero</v>
      </c>
      <c r="E90" t="str">
        <f t="shared" si="11"/>
        <v>T1</v>
      </c>
      <c r="F90" t="s">
        <v>212</v>
      </c>
      <c r="G90" t="s">
        <v>114</v>
      </c>
      <c r="H90" t="s">
        <v>75</v>
      </c>
      <c r="I90" t="s">
        <v>115</v>
      </c>
      <c r="J90" t="s">
        <v>57</v>
      </c>
      <c r="K90" t="s">
        <v>58</v>
      </c>
      <c r="L90" t="s">
        <v>59</v>
      </c>
      <c r="M90" s="24">
        <v>3</v>
      </c>
      <c r="N90" s="25">
        <v>111044.52</v>
      </c>
      <c r="O90" s="25">
        <f t="shared" si="12"/>
        <v>333133.56</v>
      </c>
      <c r="P90" s="25">
        <v>74240.84</v>
      </c>
      <c r="Q90" s="25">
        <f t="shared" si="13"/>
        <v>222722.52</v>
      </c>
      <c r="R90" s="25">
        <f t="shared" si="14"/>
        <v>110411.04000000001</v>
      </c>
      <c r="S90" s="26">
        <f t="shared" si="15"/>
        <v>0.33143175367861472</v>
      </c>
    </row>
    <row r="91" spans="1:19" ht="15" x14ac:dyDescent="0.2">
      <c r="A91" s="23">
        <v>45679</v>
      </c>
      <c r="B91">
        <f t="shared" si="8"/>
        <v>2025</v>
      </c>
      <c r="C91">
        <f t="shared" si="9"/>
        <v>1</v>
      </c>
      <c r="D91" t="str">
        <f t="shared" si="10"/>
        <v>Enero</v>
      </c>
      <c r="E91" t="str">
        <f t="shared" si="11"/>
        <v>T1</v>
      </c>
      <c r="F91" t="s">
        <v>213</v>
      </c>
      <c r="G91" t="s">
        <v>188</v>
      </c>
      <c r="H91" t="s">
        <v>88</v>
      </c>
      <c r="I91" t="s">
        <v>189</v>
      </c>
      <c r="J91" t="s">
        <v>57</v>
      </c>
      <c r="K91" t="s">
        <v>58</v>
      </c>
      <c r="L91" t="s">
        <v>59</v>
      </c>
      <c r="M91" s="24">
        <v>5</v>
      </c>
      <c r="N91" s="25">
        <v>68692.81</v>
      </c>
      <c r="O91" s="25">
        <f t="shared" si="12"/>
        <v>343464.05</v>
      </c>
      <c r="P91" s="25">
        <v>39590.75</v>
      </c>
      <c r="Q91" s="25">
        <f t="shared" si="13"/>
        <v>197953.75</v>
      </c>
      <c r="R91" s="25">
        <f t="shared" si="14"/>
        <v>145510.29999999999</v>
      </c>
      <c r="S91" s="26">
        <f t="shared" si="15"/>
        <v>0.42365511033833086</v>
      </c>
    </row>
    <row r="92" spans="1:19" ht="15" x14ac:dyDescent="0.2">
      <c r="A92" s="23">
        <v>45680</v>
      </c>
      <c r="B92">
        <f t="shared" si="8"/>
        <v>2025</v>
      </c>
      <c r="C92">
        <f t="shared" si="9"/>
        <v>1</v>
      </c>
      <c r="D92" t="str">
        <f t="shared" si="10"/>
        <v>Enero</v>
      </c>
      <c r="E92" t="str">
        <f t="shared" si="11"/>
        <v>T1</v>
      </c>
      <c r="F92" t="s">
        <v>214</v>
      </c>
      <c r="G92" t="s">
        <v>61</v>
      </c>
      <c r="H92" t="s">
        <v>62</v>
      </c>
      <c r="I92" t="s">
        <v>63</v>
      </c>
      <c r="J92" t="s">
        <v>57</v>
      </c>
      <c r="K92" t="s">
        <v>81</v>
      </c>
      <c r="L92" t="s">
        <v>129</v>
      </c>
      <c r="M92" s="24">
        <v>49</v>
      </c>
      <c r="N92" s="25">
        <v>5808.98</v>
      </c>
      <c r="O92" s="25">
        <f t="shared" si="12"/>
        <v>284640.01999999996</v>
      </c>
      <c r="P92" s="25">
        <v>4799.0200000000004</v>
      </c>
      <c r="Q92" s="25">
        <f t="shared" si="13"/>
        <v>235151.98</v>
      </c>
      <c r="R92" s="25">
        <f t="shared" si="14"/>
        <v>49488.03999999995</v>
      </c>
      <c r="S92" s="26">
        <f t="shared" si="15"/>
        <v>0.17386184837957769</v>
      </c>
    </row>
    <row r="93" spans="1:19" ht="15" x14ac:dyDescent="0.2">
      <c r="A93" s="23">
        <v>45680</v>
      </c>
      <c r="B93">
        <f t="shared" si="8"/>
        <v>2025</v>
      </c>
      <c r="C93">
        <f t="shared" si="9"/>
        <v>1</v>
      </c>
      <c r="D93" t="str">
        <f t="shared" si="10"/>
        <v>Enero</v>
      </c>
      <c r="E93" t="str">
        <f t="shared" si="11"/>
        <v>T1</v>
      </c>
      <c r="F93" t="s">
        <v>215</v>
      </c>
      <c r="G93" t="s">
        <v>144</v>
      </c>
      <c r="H93" t="s">
        <v>88</v>
      </c>
      <c r="I93" t="s">
        <v>145</v>
      </c>
      <c r="J93" t="s">
        <v>64</v>
      </c>
      <c r="K93" t="s">
        <v>96</v>
      </c>
      <c r="L93" t="s">
        <v>97</v>
      </c>
      <c r="M93" s="24">
        <v>39</v>
      </c>
      <c r="N93" s="25">
        <v>12316.29</v>
      </c>
      <c r="O93" s="25">
        <f t="shared" si="12"/>
        <v>480335.31000000006</v>
      </c>
      <c r="P93" s="25">
        <v>7078.39</v>
      </c>
      <c r="Q93" s="25">
        <f t="shared" si="13"/>
        <v>276057.21000000002</v>
      </c>
      <c r="R93" s="25">
        <f t="shared" si="14"/>
        <v>204278.10000000003</v>
      </c>
      <c r="S93" s="26">
        <f t="shared" si="15"/>
        <v>0.42528228874117124</v>
      </c>
    </row>
    <row r="94" spans="1:19" ht="15" x14ac:dyDescent="0.2">
      <c r="A94" s="23">
        <v>45680</v>
      </c>
      <c r="B94">
        <f t="shared" si="8"/>
        <v>2025</v>
      </c>
      <c r="C94">
        <f t="shared" si="9"/>
        <v>1</v>
      </c>
      <c r="D94" t="str">
        <f t="shared" si="10"/>
        <v>Enero</v>
      </c>
      <c r="E94" t="str">
        <f t="shared" si="11"/>
        <v>T1</v>
      </c>
      <c r="F94" t="s">
        <v>216</v>
      </c>
      <c r="G94" t="s">
        <v>144</v>
      </c>
      <c r="H94" t="s">
        <v>88</v>
      </c>
      <c r="I94" t="s">
        <v>145</v>
      </c>
      <c r="J94" t="s">
        <v>57</v>
      </c>
      <c r="K94" t="s">
        <v>58</v>
      </c>
      <c r="L94" t="s">
        <v>162</v>
      </c>
      <c r="M94" s="24">
        <v>9</v>
      </c>
      <c r="N94" s="25">
        <v>13305.3</v>
      </c>
      <c r="O94" s="25">
        <f t="shared" si="12"/>
        <v>119747.7</v>
      </c>
      <c r="P94" s="25">
        <v>7296.4</v>
      </c>
      <c r="Q94" s="25">
        <f t="shared" si="13"/>
        <v>65667.599999999991</v>
      </c>
      <c r="R94" s="25">
        <f t="shared" si="14"/>
        <v>54080.100000000006</v>
      </c>
      <c r="S94" s="26">
        <f t="shared" si="15"/>
        <v>0.45161702479463078</v>
      </c>
    </row>
    <row r="95" spans="1:19" ht="15" x14ac:dyDescent="0.2">
      <c r="A95" s="23">
        <v>45680</v>
      </c>
      <c r="B95">
        <f t="shared" si="8"/>
        <v>2025</v>
      </c>
      <c r="C95">
        <f t="shared" si="9"/>
        <v>1</v>
      </c>
      <c r="D95" t="str">
        <f t="shared" si="10"/>
        <v>Enero</v>
      </c>
      <c r="E95" t="str">
        <f t="shared" si="11"/>
        <v>T1</v>
      </c>
      <c r="F95" t="s">
        <v>217</v>
      </c>
      <c r="G95" t="s">
        <v>87</v>
      </c>
      <c r="H95" t="s">
        <v>88</v>
      </c>
      <c r="I95" t="s">
        <v>89</v>
      </c>
      <c r="J95" t="s">
        <v>70</v>
      </c>
      <c r="K95" t="s">
        <v>71</v>
      </c>
      <c r="L95" t="s">
        <v>72</v>
      </c>
      <c r="M95" s="24">
        <v>2</v>
      </c>
      <c r="N95" s="25">
        <v>56732.66</v>
      </c>
      <c r="O95" s="25">
        <f t="shared" si="12"/>
        <v>113465.32</v>
      </c>
      <c r="P95" s="25">
        <v>34478.43</v>
      </c>
      <c r="Q95" s="25">
        <f t="shared" si="13"/>
        <v>68956.86</v>
      </c>
      <c r="R95" s="25">
        <f t="shared" si="14"/>
        <v>44508.460000000006</v>
      </c>
      <c r="S95" s="26">
        <f t="shared" si="15"/>
        <v>0.3922648788193609</v>
      </c>
    </row>
    <row r="96" spans="1:19" ht="15" x14ac:dyDescent="0.2">
      <c r="A96" s="23">
        <v>45680</v>
      </c>
      <c r="B96">
        <f t="shared" si="8"/>
        <v>2025</v>
      </c>
      <c r="C96">
        <f t="shared" si="9"/>
        <v>1</v>
      </c>
      <c r="D96" t="str">
        <f t="shared" si="10"/>
        <v>Enero</v>
      </c>
      <c r="E96" t="str">
        <f t="shared" si="11"/>
        <v>T1</v>
      </c>
      <c r="F96" t="s">
        <v>218</v>
      </c>
      <c r="G96" t="s">
        <v>149</v>
      </c>
      <c r="H96" t="s">
        <v>93</v>
      </c>
      <c r="I96" t="s">
        <v>150</v>
      </c>
      <c r="J96" t="s">
        <v>77</v>
      </c>
      <c r="K96" t="s">
        <v>107</v>
      </c>
      <c r="L96" t="s">
        <v>112</v>
      </c>
      <c r="M96" s="24">
        <v>5</v>
      </c>
      <c r="N96" s="25">
        <v>48979.31</v>
      </c>
      <c r="O96" s="25">
        <f t="shared" si="12"/>
        <v>244896.55</v>
      </c>
      <c r="P96" s="25">
        <v>27835.21</v>
      </c>
      <c r="Q96" s="25">
        <f t="shared" si="13"/>
        <v>139176.04999999999</v>
      </c>
      <c r="R96" s="25">
        <f t="shared" si="14"/>
        <v>105720.5</v>
      </c>
      <c r="S96" s="26">
        <f t="shared" si="15"/>
        <v>0.4316945257089167</v>
      </c>
    </row>
    <row r="97" spans="1:19" ht="15" x14ac:dyDescent="0.2">
      <c r="A97" s="23">
        <v>45681</v>
      </c>
      <c r="B97">
        <f t="shared" si="8"/>
        <v>2025</v>
      </c>
      <c r="C97">
        <f t="shared" si="9"/>
        <v>1</v>
      </c>
      <c r="D97" t="str">
        <f t="shared" si="10"/>
        <v>Enero</v>
      </c>
      <c r="E97" t="str">
        <f t="shared" si="11"/>
        <v>T1</v>
      </c>
      <c r="F97" t="s">
        <v>219</v>
      </c>
      <c r="G97" t="s">
        <v>54</v>
      </c>
      <c r="H97" t="s">
        <v>55</v>
      </c>
      <c r="I97" t="s">
        <v>56</v>
      </c>
      <c r="J97" t="s">
        <v>57</v>
      </c>
      <c r="K97" t="s">
        <v>81</v>
      </c>
      <c r="L97" t="s">
        <v>129</v>
      </c>
      <c r="M97" s="24">
        <v>6</v>
      </c>
      <c r="N97" s="25">
        <v>66027.03</v>
      </c>
      <c r="O97" s="25">
        <f t="shared" si="12"/>
        <v>396162.18</v>
      </c>
      <c r="P97" s="25">
        <v>45252.91</v>
      </c>
      <c r="Q97" s="25">
        <f t="shared" si="13"/>
        <v>271517.46000000002</v>
      </c>
      <c r="R97" s="25">
        <f t="shared" si="14"/>
        <v>124644.71999999997</v>
      </c>
      <c r="S97" s="26">
        <f t="shared" si="15"/>
        <v>0.31463053843251765</v>
      </c>
    </row>
    <row r="98" spans="1:19" ht="15" x14ac:dyDescent="0.2">
      <c r="A98" s="23">
        <v>45681</v>
      </c>
      <c r="B98">
        <f t="shared" si="8"/>
        <v>2025</v>
      </c>
      <c r="C98">
        <f t="shared" si="9"/>
        <v>1</v>
      </c>
      <c r="D98" t="str">
        <f t="shared" si="10"/>
        <v>Enero</v>
      </c>
      <c r="E98" t="str">
        <f t="shared" si="11"/>
        <v>T1</v>
      </c>
      <c r="F98" t="s">
        <v>220</v>
      </c>
      <c r="G98" t="s">
        <v>74</v>
      </c>
      <c r="H98" t="s">
        <v>75</v>
      </c>
      <c r="I98" t="s">
        <v>76</v>
      </c>
      <c r="J98" t="s">
        <v>77</v>
      </c>
      <c r="K98" t="s">
        <v>107</v>
      </c>
      <c r="L98" t="s">
        <v>108</v>
      </c>
      <c r="M98" s="24">
        <v>11</v>
      </c>
      <c r="N98" s="25">
        <v>44549.89</v>
      </c>
      <c r="O98" s="25">
        <f t="shared" si="12"/>
        <v>490048.79</v>
      </c>
      <c r="P98" s="25">
        <v>28554.2</v>
      </c>
      <c r="Q98" s="25">
        <f t="shared" si="13"/>
        <v>314096.2</v>
      </c>
      <c r="R98" s="25">
        <f t="shared" si="14"/>
        <v>175952.58999999997</v>
      </c>
      <c r="S98" s="26">
        <f t="shared" si="15"/>
        <v>0.35905116712970553</v>
      </c>
    </row>
    <row r="99" spans="1:19" ht="15" x14ac:dyDescent="0.2">
      <c r="A99" s="23">
        <v>45682</v>
      </c>
      <c r="B99">
        <f t="shared" si="8"/>
        <v>2025</v>
      </c>
      <c r="C99">
        <f t="shared" si="9"/>
        <v>1</v>
      </c>
      <c r="D99" t="str">
        <f t="shared" si="10"/>
        <v>Enero</v>
      </c>
      <c r="E99" t="str">
        <f t="shared" si="11"/>
        <v>T1</v>
      </c>
      <c r="F99" t="s">
        <v>221</v>
      </c>
      <c r="G99" t="s">
        <v>54</v>
      </c>
      <c r="H99" t="s">
        <v>55</v>
      </c>
      <c r="I99" t="s">
        <v>56</v>
      </c>
      <c r="J99" t="s">
        <v>77</v>
      </c>
      <c r="K99" t="s">
        <v>78</v>
      </c>
      <c r="L99" t="s">
        <v>79</v>
      </c>
      <c r="M99" s="24">
        <v>5</v>
      </c>
      <c r="N99" s="25">
        <v>57249.599999999999</v>
      </c>
      <c r="O99" s="25">
        <f t="shared" si="12"/>
        <v>286248</v>
      </c>
      <c r="P99" s="25">
        <v>38642.449999999997</v>
      </c>
      <c r="Q99" s="25">
        <f t="shared" si="13"/>
        <v>193212.25</v>
      </c>
      <c r="R99" s="25">
        <f t="shared" si="14"/>
        <v>93035.75</v>
      </c>
      <c r="S99" s="26">
        <f t="shared" si="15"/>
        <v>0.3250179913920796</v>
      </c>
    </row>
    <row r="100" spans="1:19" ht="15" x14ac:dyDescent="0.2">
      <c r="A100" s="23">
        <v>45682</v>
      </c>
      <c r="B100">
        <f t="shared" si="8"/>
        <v>2025</v>
      </c>
      <c r="C100">
        <f t="shared" si="9"/>
        <v>1</v>
      </c>
      <c r="D100" t="str">
        <f t="shared" si="10"/>
        <v>Enero</v>
      </c>
      <c r="E100" t="str">
        <f t="shared" si="11"/>
        <v>T1</v>
      </c>
      <c r="F100" t="s">
        <v>222</v>
      </c>
      <c r="G100" t="s">
        <v>110</v>
      </c>
      <c r="H100" t="s">
        <v>62</v>
      </c>
      <c r="I100" t="s">
        <v>69</v>
      </c>
      <c r="J100" t="s">
        <v>125</v>
      </c>
      <c r="K100" t="s">
        <v>126</v>
      </c>
      <c r="L100" t="s">
        <v>131</v>
      </c>
      <c r="M100" s="24">
        <v>20</v>
      </c>
      <c r="N100" s="25">
        <v>6575.95</v>
      </c>
      <c r="O100" s="25">
        <f t="shared" si="12"/>
        <v>131519</v>
      </c>
      <c r="P100" s="25">
        <v>5385.67</v>
      </c>
      <c r="Q100" s="25">
        <f t="shared" si="13"/>
        <v>107713.4</v>
      </c>
      <c r="R100" s="25">
        <f t="shared" si="14"/>
        <v>23805.600000000006</v>
      </c>
      <c r="S100" s="26">
        <f t="shared" si="15"/>
        <v>0.18100502588979545</v>
      </c>
    </row>
    <row r="101" spans="1:19" ht="15" x14ac:dyDescent="0.2">
      <c r="A101" s="23">
        <v>45682</v>
      </c>
      <c r="B101">
        <f t="shared" si="8"/>
        <v>2025</v>
      </c>
      <c r="C101">
        <f t="shared" si="9"/>
        <v>1</v>
      </c>
      <c r="D101" t="str">
        <f t="shared" si="10"/>
        <v>Enero</v>
      </c>
      <c r="E101" t="str">
        <f t="shared" si="11"/>
        <v>T1</v>
      </c>
      <c r="F101" t="s">
        <v>223</v>
      </c>
      <c r="G101" t="s">
        <v>74</v>
      </c>
      <c r="H101" t="s">
        <v>75</v>
      </c>
      <c r="I101" t="s">
        <v>76</v>
      </c>
      <c r="J101" t="s">
        <v>125</v>
      </c>
      <c r="K101" t="s">
        <v>138</v>
      </c>
      <c r="L101" t="s">
        <v>142</v>
      </c>
      <c r="M101" s="24">
        <v>1</v>
      </c>
      <c r="N101" s="25">
        <v>4463.68</v>
      </c>
      <c r="O101" s="25">
        <f t="shared" si="12"/>
        <v>4463.68</v>
      </c>
      <c r="P101" s="25">
        <v>2975.86</v>
      </c>
      <c r="Q101" s="25">
        <f t="shared" si="13"/>
        <v>2975.86</v>
      </c>
      <c r="R101" s="25">
        <f t="shared" si="14"/>
        <v>1487.8200000000002</v>
      </c>
      <c r="S101" s="26">
        <f t="shared" si="15"/>
        <v>0.3333169044375941</v>
      </c>
    </row>
    <row r="102" spans="1:19" ht="15" x14ac:dyDescent="0.2">
      <c r="A102" s="23">
        <v>45682</v>
      </c>
      <c r="B102">
        <f t="shared" si="8"/>
        <v>2025</v>
      </c>
      <c r="C102">
        <f t="shared" si="9"/>
        <v>1</v>
      </c>
      <c r="D102" t="str">
        <f t="shared" si="10"/>
        <v>Enero</v>
      </c>
      <c r="E102" t="str">
        <f t="shared" si="11"/>
        <v>T1</v>
      </c>
      <c r="F102" t="s">
        <v>224</v>
      </c>
      <c r="G102" t="s">
        <v>87</v>
      </c>
      <c r="H102" t="s">
        <v>88</v>
      </c>
      <c r="I102" t="s">
        <v>89</v>
      </c>
      <c r="J102" t="s">
        <v>77</v>
      </c>
      <c r="K102" t="s">
        <v>107</v>
      </c>
      <c r="L102" t="s">
        <v>112</v>
      </c>
      <c r="M102" s="24">
        <v>6</v>
      </c>
      <c r="N102" s="25">
        <v>61482.49</v>
      </c>
      <c r="O102" s="25">
        <f t="shared" si="12"/>
        <v>368894.94</v>
      </c>
      <c r="P102" s="25">
        <v>31693.63</v>
      </c>
      <c r="Q102" s="25">
        <f t="shared" si="13"/>
        <v>190161.78</v>
      </c>
      <c r="R102" s="25">
        <f t="shared" si="14"/>
        <v>178733.16</v>
      </c>
      <c r="S102" s="26">
        <f t="shared" si="15"/>
        <v>0.48450965470006174</v>
      </c>
    </row>
    <row r="103" spans="1:19" ht="15" x14ac:dyDescent="0.2">
      <c r="A103" s="23">
        <v>45682</v>
      </c>
      <c r="B103">
        <f t="shared" si="8"/>
        <v>2025</v>
      </c>
      <c r="C103">
        <f t="shared" si="9"/>
        <v>1</v>
      </c>
      <c r="D103" t="str">
        <f t="shared" si="10"/>
        <v>Enero</v>
      </c>
      <c r="E103" t="str">
        <f t="shared" si="11"/>
        <v>T1</v>
      </c>
      <c r="F103" t="s">
        <v>225</v>
      </c>
      <c r="G103" t="s">
        <v>92</v>
      </c>
      <c r="H103" t="s">
        <v>93</v>
      </c>
      <c r="I103" t="s">
        <v>94</v>
      </c>
      <c r="J103" t="s">
        <v>125</v>
      </c>
      <c r="K103" t="s">
        <v>126</v>
      </c>
      <c r="L103" t="s">
        <v>127</v>
      </c>
      <c r="M103" s="24">
        <v>3</v>
      </c>
      <c r="N103" s="25">
        <v>17510.32</v>
      </c>
      <c r="O103" s="25">
        <f t="shared" si="12"/>
        <v>52530.96</v>
      </c>
      <c r="P103" s="25">
        <v>10161.23</v>
      </c>
      <c r="Q103" s="25">
        <f t="shared" si="13"/>
        <v>30483.69</v>
      </c>
      <c r="R103" s="25">
        <f t="shared" si="14"/>
        <v>22047.27</v>
      </c>
      <c r="S103" s="26">
        <f t="shared" si="15"/>
        <v>0.419700496621421</v>
      </c>
    </row>
    <row r="104" spans="1:19" ht="15" x14ac:dyDescent="0.2">
      <c r="A104" s="23">
        <v>45683</v>
      </c>
      <c r="B104">
        <f t="shared" si="8"/>
        <v>2025</v>
      </c>
      <c r="C104">
        <f t="shared" si="9"/>
        <v>1</v>
      </c>
      <c r="D104" t="str">
        <f t="shared" si="10"/>
        <v>Enero</v>
      </c>
      <c r="E104" t="str">
        <f t="shared" si="11"/>
        <v>T1</v>
      </c>
      <c r="F104" t="s">
        <v>226</v>
      </c>
      <c r="G104" t="s">
        <v>61</v>
      </c>
      <c r="H104" t="s">
        <v>62</v>
      </c>
      <c r="I104" t="s">
        <v>63</v>
      </c>
      <c r="J104" t="s">
        <v>77</v>
      </c>
      <c r="K104" t="s">
        <v>107</v>
      </c>
      <c r="L104" t="s">
        <v>108</v>
      </c>
      <c r="M104" s="24">
        <v>69</v>
      </c>
      <c r="N104" s="25">
        <v>6144.77</v>
      </c>
      <c r="O104" s="25">
        <f t="shared" si="12"/>
        <v>423989.13</v>
      </c>
      <c r="P104" s="25">
        <v>4807.28</v>
      </c>
      <c r="Q104" s="25">
        <f t="shared" si="13"/>
        <v>331702.32</v>
      </c>
      <c r="R104" s="25">
        <f t="shared" si="14"/>
        <v>92286.81</v>
      </c>
      <c r="S104" s="26">
        <f t="shared" si="15"/>
        <v>0.21766315093974226</v>
      </c>
    </row>
    <row r="105" spans="1:19" ht="15" x14ac:dyDescent="0.2">
      <c r="A105" s="23">
        <v>45683</v>
      </c>
      <c r="B105">
        <f t="shared" si="8"/>
        <v>2025</v>
      </c>
      <c r="C105">
        <f t="shared" si="9"/>
        <v>1</v>
      </c>
      <c r="D105" t="str">
        <f t="shared" si="10"/>
        <v>Enero</v>
      </c>
      <c r="E105" t="str">
        <f t="shared" si="11"/>
        <v>T1</v>
      </c>
      <c r="F105" t="s">
        <v>227</v>
      </c>
      <c r="G105" t="s">
        <v>68</v>
      </c>
      <c r="H105" t="s">
        <v>62</v>
      </c>
      <c r="I105" t="s">
        <v>69</v>
      </c>
      <c r="J105" t="s">
        <v>57</v>
      </c>
      <c r="K105" t="s">
        <v>81</v>
      </c>
      <c r="L105" t="s">
        <v>82</v>
      </c>
      <c r="M105" s="24">
        <v>236</v>
      </c>
      <c r="N105" s="25">
        <v>3143.42</v>
      </c>
      <c r="O105" s="25">
        <f t="shared" si="12"/>
        <v>741847.12</v>
      </c>
      <c r="P105" s="25">
        <v>2597.02</v>
      </c>
      <c r="Q105" s="25">
        <f t="shared" si="13"/>
        <v>612896.72</v>
      </c>
      <c r="R105" s="25">
        <f t="shared" si="14"/>
        <v>128950.40000000002</v>
      </c>
      <c r="S105" s="26">
        <f t="shared" si="15"/>
        <v>0.17382341526108508</v>
      </c>
    </row>
    <row r="106" spans="1:19" ht="15" x14ac:dyDescent="0.2">
      <c r="A106" s="23">
        <v>45683</v>
      </c>
      <c r="B106">
        <f t="shared" si="8"/>
        <v>2025</v>
      </c>
      <c r="C106">
        <f t="shared" si="9"/>
        <v>1</v>
      </c>
      <c r="D106" t="str">
        <f t="shared" si="10"/>
        <v>Enero</v>
      </c>
      <c r="E106" t="str">
        <f t="shared" si="11"/>
        <v>T1</v>
      </c>
      <c r="F106" t="s">
        <v>228</v>
      </c>
      <c r="G106" t="s">
        <v>74</v>
      </c>
      <c r="H106" t="s">
        <v>75</v>
      </c>
      <c r="I106" t="s">
        <v>76</v>
      </c>
      <c r="J106" t="s">
        <v>64</v>
      </c>
      <c r="K106" t="s">
        <v>96</v>
      </c>
      <c r="L106" t="s">
        <v>103</v>
      </c>
      <c r="M106" s="24">
        <v>21</v>
      </c>
      <c r="N106" s="25">
        <v>40580.03</v>
      </c>
      <c r="O106" s="25">
        <f t="shared" si="12"/>
        <v>852180.63</v>
      </c>
      <c r="P106" s="25">
        <v>27929.05</v>
      </c>
      <c r="Q106" s="25">
        <f t="shared" si="13"/>
        <v>586510.04999999993</v>
      </c>
      <c r="R106" s="25">
        <f t="shared" si="14"/>
        <v>265670.58000000007</v>
      </c>
      <c r="S106" s="26">
        <f t="shared" si="15"/>
        <v>0.3117538355688747</v>
      </c>
    </row>
    <row r="107" spans="1:19" ht="15" x14ac:dyDescent="0.2">
      <c r="A107" s="23">
        <v>45683</v>
      </c>
      <c r="B107">
        <f t="shared" si="8"/>
        <v>2025</v>
      </c>
      <c r="C107">
        <f t="shared" si="9"/>
        <v>1</v>
      </c>
      <c r="D107" t="str">
        <f t="shared" si="10"/>
        <v>Enero</v>
      </c>
      <c r="E107" t="str">
        <f t="shared" si="11"/>
        <v>T1</v>
      </c>
      <c r="F107" t="s">
        <v>229</v>
      </c>
      <c r="G107" t="s">
        <v>100</v>
      </c>
      <c r="H107" t="s">
        <v>88</v>
      </c>
      <c r="I107" t="s">
        <v>101</v>
      </c>
      <c r="J107" t="s">
        <v>64</v>
      </c>
      <c r="K107" t="s">
        <v>65</v>
      </c>
      <c r="L107" t="s">
        <v>66</v>
      </c>
      <c r="M107" s="24">
        <v>24</v>
      </c>
      <c r="N107" s="25">
        <v>37013.07</v>
      </c>
      <c r="O107" s="25">
        <f t="shared" si="12"/>
        <v>888313.67999999993</v>
      </c>
      <c r="P107" s="25">
        <v>20647.47</v>
      </c>
      <c r="Q107" s="25">
        <f t="shared" si="13"/>
        <v>495539.28</v>
      </c>
      <c r="R107" s="25">
        <f t="shared" si="14"/>
        <v>392774.39999999991</v>
      </c>
      <c r="S107" s="26">
        <f t="shared" si="15"/>
        <v>0.44215732442620936</v>
      </c>
    </row>
    <row r="108" spans="1:19" ht="15" x14ac:dyDescent="0.2">
      <c r="A108" s="23">
        <v>45683</v>
      </c>
      <c r="B108">
        <f t="shared" si="8"/>
        <v>2025</v>
      </c>
      <c r="C108">
        <f t="shared" si="9"/>
        <v>1</v>
      </c>
      <c r="D108" t="str">
        <f t="shared" si="10"/>
        <v>Enero</v>
      </c>
      <c r="E108" t="str">
        <f t="shared" si="11"/>
        <v>T1</v>
      </c>
      <c r="F108" t="s">
        <v>230</v>
      </c>
      <c r="G108" t="s">
        <v>100</v>
      </c>
      <c r="H108" t="s">
        <v>88</v>
      </c>
      <c r="I108" t="s">
        <v>101</v>
      </c>
      <c r="J108" t="s">
        <v>77</v>
      </c>
      <c r="K108" t="s">
        <v>78</v>
      </c>
      <c r="L108" t="s">
        <v>117</v>
      </c>
      <c r="M108" s="24">
        <v>4</v>
      </c>
      <c r="N108" s="25">
        <v>39265.71</v>
      </c>
      <c r="O108" s="25">
        <f t="shared" si="12"/>
        <v>157062.84</v>
      </c>
      <c r="P108" s="25">
        <v>21302.39</v>
      </c>
      <c r="Q108" s="25">
        <f t="shared" si="13"/>
        <v>85209.56</v>
      </c>
      <c r="R108" s="25">
        <f t="shared" si="14"/>
        <v>71853.279999999999</v>
      </c>
      <c r="S108" s="26">
        <f t="shared" si="15"/>
        <v>0.4574810948280319</v>
      </c>
    </row>
    <row r="109" spans="1:19" ht="15" x14ac:dyDescent="0.2">
      <c r="A109" s="23">
        <v>45683</v>
      </c>
      <c r="B109">
        <f t="shared" si="8"/>
        <v>2025</v>
      </c>
      <c r="C109">
        <f t="shared" si="9"/>
        <v>1</v>
      </c>
      <c r="D109" t="str">
        <f t="shared" si="10"/>
        <v>Enero</v>
      </c>
      <c r="E109" t="str">
        <f t="shared" si="11"/>
        <v>T1</v>
      </c>
      <c r="F109" t="s">
        <v>231</v>
      </c>
      <c r="G109" t="s">
        <v>100</v>
      </c>
      <c r="H109" t="s">
        <v>88</v>
      </c>
      <c r="I109" t="s">
        <v>101</v>
      </c>
      <c r="J109" t="s">
        <v>125</v>
      </c>
      <c r="K109" t="s">
        <v>138</v>
      </c>
      <c r="L109" t="s">
        <v>142</v>
      </c>
      <c r="M109" s="24">
        <v>10</v>
      </c>
      <c r="N109" s="25">
        <v>36730.300000000003</v>
      </c>
      <c r="O109" s="25">
        <f t="shared" si="12"/>
        <v>367303</v>
      </c>
      <c r="P109" s="25">
        <v>20134.59</v>
      </c>
      <c r="Q109" s="25">
        <f t="shared" si="13"/>
        <v>201345.9</v>
      </c>
      <c r="R109" s="25">
        <f t="shared" si="14"/>
        <v>165957.1</v>
      </c>
      <c r="S109" s="26">
        <f t="shared" si="15"/>
        <v>0.45182614898326451</v>
      </c>
    </row>
    <row r="110" spans="1:19" ht="15" x14ac:dyDescent="0.2">
      <c r="A110" s="23">
        <v>45683</v>
      </c>
      <c r="B110">
        <f t="shared" si="8"/>
        <v>2025</v>
      </c>
      <c r="C110">
        <f t="shared" si="9"/>
        <v>1</v>
      </c>
      <c r="D110" t="str">
        <f t="shared" si="10"/>
        <v>Enero</v>
      </c>
      <c r="E110" t="str">
        <f t="shared" si="11"/>
        <v>T1</v>
      </c>
      <c r="F110" t="s">
        <v>232</v>
      </c>
      <c r="G110" t="s">
        <v>92</v>
      </c>
      <c r="H110" t="s">
        <v>93</v>
      </c>
      <c r="I110" t="s">
        <v>94</v>
      </c>
      <c r="J110" t="s">
        <v>57</v>
      </c>
      <c r="K110" t="s">
        <v>58</v>
      </c>
      <c r="L110" t="s">
        <v>59</v>
      </c>
      <c r="M110" s="24">
        <v>3</v>
      </c>
      <c r="N110" s="25">
        <v>21033.9</v>
      </c>
      <c r="O110" s="25">
        <f t="shared" si="12"/>
        <v>63101.700000000004</v>
      </c>
      <c r="P110" s="25">
        <v>12591.79</v>
      </c>
      <c r="Q110" s="25">
        <f t="shared" si="13"/>
        <v>37775.370000000003</v>
      </c>
      <c r="R110" s="25">
        <f t="shared" si="14"/>
        <v>25326.33</v>
      </c>
      <c r="S110" s="26">
        <f t="shared" si="15"/>
        <v>0.40135733268675805</v>
      </c>
    </row>
    <row r="111" spans="1:19" ht="15" x14ac:dyDescent="0.2">
      <c r="A111" s="23">
        <v>45683</v>
      </c>
      <c r="B111">
        <f t="shared" si="8"/>
        <v>2025</v>
      </c>
      <c r="C111">
        <f t="shared" si="9"/>
        <v>1</v>
      </c>
      <c r="D111" t="str">
        <f t="shared" si="10"/>
        <v>Enero</v>
      </c>
      <c r="E111" t="str">
        <f t="shared" si="11"/>
        <v>T1</v>
      </c>
      <c r="F111" t="s">
        <v>233</v>
      </c>
      <c r="G111" t="s">
        <v>149</v>
      </c>
      <c r="H111" t="s">
        <v>93</v>
      </c>
      <c r="I111" t="s">
        <v>150</v>
      </c>
      <c r="J111" t="s">
        <v>70</v>
      </c>
      <c r="K111" t="s">
        <v>71</v>
      </c>
      <c r="L111" t="s">
        <v>90</v>
      </c>
      <c r="M111" s="24">
        <v>2</v>
      </c>
      <c r="N111" s="25">
        <v>46182.2</v>
      </c>
      <c r="O111" s="25">
        <f t="shared" si="12"/>
        <v>92364.4</v>
      </c>
      <c r="P111" s="25">
        <v>29027.040000000001</v>
      </c>
      <c r="Q111" s="25">
        <f t="shared" si="13"/>
        <v>58054.080000000002</v>
      </c>
      <c r="R111" s="25">
        <f t="shared" si="14"/>
        <v>34310.319999999992</v>
      </c>
      <c r="S111" s="26">
        <f t="shared" si="15"/>
        <v>0.37146692881673021</v>
      </c>
    </row>
    <row r="112" spans="1:19" ht="15" x14ac:dyDescent="0.2">
      <c r="A112" s="23">
        <v>45684</v>
      </c>
      <c r="B112">
        <f t="shared" si="8"/>
        <v>2025</v>
      </c>
      <c r="C112">
        <f t="shared" si="9"/>
        <v>1</v>
      </c>
      <c r="D112" t="str">
        <f t="shared" si="10"/>
        <v>Enero</v>
      </c>
      <c r="E112" t="str">
        <f t="shared" si="11"/>
        <v>T1</v>
      </c>
      <c r="F112" t="s">
        <v>234</v>
      </c>
      <c r="G112" t="s">
        <v>54</v>
      </c>
      <c r="H112" t="s">
        <v>55</v>
      </c>
      <c r="I112" t="s">
        <v>56</v>
      </c>
      <c r="J112" t="s">
        <v>77</v>
      </c>
      <c r="K112" t="s">
        <v>78</v>
      </c>
      <c r="L112" t="s">
        <v>117</v>
      </c>
      <c r="M112" s="24">
        <v>4</v>
      </c>
      <c r="N112" s="25">
        <v>59766.51</v>
      </c>
      <c r="O112" s="25">
        <f t="shared" si="12"/>
        <v>239066.04</v>
      </c>
      <c r="P112" s="25">
        <v>40098.65</v>
      </c>
      <c r="Q112" s="25">
        <f t="shared" si="13"/>
        <v>160394.6</v>
      </c>
      <c r="R112" s="25">
        <f t="shared" si="14"/>
        <v>78671.44</v>
      </c>
      <c r="S112" s="26">
        <f t="shared" si="15"/>
        <v>0.3290782747729456</v>
      </c>
    </row>
    <row r="113" spans="1:19" ht="15" x14ac:dyDescent="0.2">
      <c r="A113" s="23">
        <v>45684</v>
      </c>
      <c r="B113">
        <f t="shared" si="8"/>
        <v>2025</v>
      </c>
      <c r="C113">
        <f t="shared" si="9"/>
        <v>1</v>
      </c>
      <c r="D113" t="str">
        <f t="shared" si="10"/>
        <v>Enero</v>
      </c>
      <c r="E113" t="str">
        <f t="shared" si="11"/>
        <v>T1</v>
      </c>
      <c r="F113" t="s">
        <v>235</v>
      </c>
      <c r="G113" t="s">
        <v>110</v>
      </c>
      <c r="H113" t="s">
        <v>62</v>
      </c>
      <c r="I113" t="s">
        <v>69</v>
      </c>
      <c r="J113" t="s">
        <v>64</v>
      </c>
      <c r="K113" t="s">
        <v>96</v>
      </c>
      <c r="L113" t="s">
        <v>97</v>
      </c>
      <c r="M113" s="24">
        <v>87</v>
      </c>
      <c r="N113" s="25">
        <v>6439.5</v>
      </c>
      <c r="O113" s="25">
        <f t="shared" si="12"/>
        <v>560236.5</v>
      </c>
      <c r="P113" s="25">
        <v>5416.08</v>
      </c>
      <c r="Q113" s="25">
        <f t="shared" si="13"/>
        <v>471198.96</v>
      </c>
      <c r="R113" s="25">
        <f t="shared" si="14"/>
        <v>89037.539999999979</v>
      </c>
      <c r="S113" s="26">
        <f t="shared" si="15"/>
        <v>0.15892848823666431</v>
      </c>
    </row>
    <row r="114" spans="1:19" ht="15" x14ac:dyDescent="0.2">
      <c r="A114" s="23">
        <v>45684</v>
      </c>
      <c r="B114">
        <f t="shared" si="8"/>
        <v>2025</v>
      </c>
      <c r="C114">
        <f t="shared" si="9"/>
        <v>1</v>
      </c>
      <c r="D114" t="str">
        <f t="shared" si="10"/>
        <v>Enero</v>
      </c>
      <c r="E114" t="str">
        <f t="shared" si="11"/>
        <v>T1</v>
      </c>
      <c r="F114" t="s">
        <v>236</v>
      </c>
      <c r="G114" t="s">
        <v>149</v>
      </c>
      <c r="H114" t="s">
        <v>93</v>
      </c>
      <c r="I114" t="s">
        <v>150</v>
      </c>
      <c r="J114" t="s">
        <v>125</v>
      </c>
      <c r="K114" t="s">
        <v>126</v>
      </c>
      <c r="L114" t="s">
        <v>127</v>
      </c>
      <c r="M114" s="24">
        <v>2</v>
      </c>
      <c r="N114" s="25">
        <v>44294.29</v>
      </c>
      <c r="O114" s="25">
        <f t="shared" si="12"/>
        <v>88588.58</v>
      </c>
      <c r="P114" s="25">
        <v>26804.36</v>
      </c>
      <c r="Q114" s="25">
        <f t="shared" si="13"/>
        <v>53608.72</v>
      </c>
      <c r="R114" s="25">
        <f t="shared" si="14"/>
        <v>34979.86</v>
      </c>
      <c r="S114" s="26">
        <f t="shared" si="15"/>
        <v>0.39485744099295866</v>
      </c>
    </row>
    <row r="115" spans="1:19" ht="15" x14ac:dyDescent="0.2">
      <c r="A115" s="23">
        <v>45685</v>
      </c>
      <c r="B115">
        <f t="shared" si="8"/>
        <v>2025</v>
      </c>
      <c r="C115">
        <f t="shared" si="9"/>
        <v>1</v>
      </c>
      <c r="D115" t="str">
        <f t="shared" si="10"/>
        <v>Enero</v>
      </c>
      <c r="E115" t="str">
        <f t="shared" si="11"/>
        <v>T1</v>
      </c>
      <c r="F115" t="s">
        <v>237</v>
      </c>
      <c r="G115" t="s">
        <v>114</v>
      </c>
      <c r="H115" t="s">
        <v>75</v>
      </c>
      <c r="I115" t="s">
        <v>115</v>
      </c>
      <c r="J115" t="s">
        <v>57</v>
      </c>
      <c r="K115" t="s">
        <v>81</v>
      </c>
      <c r="L115" t="s">
        <v>129</v>
      </c>
      <c r="M115" s="24">
        <v>5</v>
      </c>
      <c r="N115" s="25">
        <v>101604.61</v>
      </c>
      <c r="O115" s="25">
        <f t="shared" si="12"/>
        <v>508023.05</v>
      </c>
      <c r="P115" s="25">
        <v>68017.75</v>
      </c>
      <c r="Q115" s="25">
        <f t="shared" si="13"/>
        <v>340088.75</v>
      </c>
      <c r="R115" s="25">
        <f t="shared" si="14"/>
        <v>167934.3</v>
      </c>
      <c r="S115" s="26">
        <f t="shared" si="15"/>
        <v>0.33056433167747012</v>
      </c>
    </row>
    <row r="116" spans="1:19" ht="15" x14ac:dyDescent="0.2">
      <c r="A116" s="23">
        <v>45685</v>
      </c>
      <c r="B116">
        <f t="shared" si="8"/>
        <v>2025</v>
      </c>
      <c r="C116">
        <f t="shared" si="9"/>
        <v>1</v>
      </c>
      <c r="D116" t="str">
        <f t="shared" si="10"/>
        <v>Enero</v>
      </c>
      <c r="E116" t="str">
        <f t="shared" si="11"/>
        <v>T1</v>
      </c>
      <c r="F116" t="s">
        <v>238</v>
      </c>
      <c r="G116" t="s">
        <v>114</v>
      </c>
      <c r="H116" t="s">
        <v>75</v>
      </c>
      <c r="I116" t="s">
        <v>115</v>
      </c>
      <c r="J116" t="s">
        <v>125</v>
      </c>
      <c r="K116" t="s">
        <v>138</v>
      </c>
      <c r="L116" t="s">
        <v>139</v>
      </c>
      <c r="M116" s="24">
        <v>4</v>
      </c>
      <c r="N116" s="25">
        <v>99243.4</v>
      </c>
      <c r="O116" s="25">
        <f t="shared" si="12"/>
        <v>396973.6</v>
      </c>
      <c r="P116" s="25">
        <v>66934.58</v>
      </c>
      <c r="Q116" s="25">
        <f t="shared" si="13"/>
        <v>267738.32</v>
      </c>
      <c r="R116" s="25">
        <f t="shared" si="14"/>
        <v>129235.27999999997</v>
      </c>
      <c r="S116" s="26">
        <f t="shared" si="15"/>
        <v>0.32555132129693254</v>
      </c>
    </row>
    <row r="117" spans="1:19" ht="15" x14ac:dyDescent="0.2">
      <c r="A117" s="23">
        <v>45685</v>
      </c>
      <c r="B117">
        <f t="shared" si="8"/>
        <v>2025</v>
      </c>
      <c r="C117">
        <f t="shared" si="9"/>
        <v>1</v>
      </c>
      <c r="D117" t="str">
        <f t="shared" si="10"/>
        <v>Enero</v>
      </c>
      <c r="E117" t="str">
        <f t="shared" si="11"/>
        <v>T1</v>
      </c>
      <c r="F117" t="s">
        <v>239</v>
      </c>
      <c r="G117" t="s">
        <v>100</v>
      </c>
      <c r="H117" t="s">
        <v>88</v>
      </c>
      <c r="I117" t="s">
        <v>101</v>
      </c>
      <c r="J117" t="s">
        <v>57</v>
      </c>
      <c r="K117" t="s">
        <v>81</v>
      </c>
      <c r="L117" t="s">
        <v>129</v>
      </c>
      <c r="M117" s="24">
        <v>6</v>
      </c>
      <c r="N117" s="25">
        <v>35636.53</v>
      </c>
      <c r="O117" s="25">
        <f t="shared" si="12"/>
        <v>213819.18</v>
      </c>
      <c r="P117" s="25">
        <v>19450.169999999998</v>
      </c>
      <c r="Q117" s="25">
        <f t="shared" si="13"/>
        <v>116701.01999999999</v>
      </c>
      <c r="R117" s="25">
        <f t="shared" si="14"/>
        <v>97118.16</v>
      </c>
      <c r="S117" s="26">
        <f t="shared" si="15"/>
        <v>0.45420696122770654</v>
      </c>
    </row>
    <row r="118" spans="1:19" ht="15" x14ac:dyDescent="0.2">
      <c r="A118" s="23">
        <v>45685</v>
      </c>
      <c r="B118">
        <f t="shared" si="8"/>
        <v>2025</v>
      </c>
      <c r="C118">
        <f t="shared" si="9"/>
        <v>1</v>
      </c>
      <c r="D118" t="str">
        <f t="shared" si="10"/>
        <v>Enero</v>
      </c>
      <c r="E118" t="str">
        <f t="shared" si="11"/>
        <v>T1</v>
      </c>
      <c r="F118" t="s">
        <v>240</v>
      </c>
      <c r="G118" t="s">
        <v>92</v>
      </c>
      <c r="H118" t="s">
        <v>93</v>
      </c>
      <c r="I118" t="s">
        <v>94</v>
      </c>
      <c r="J118" t="s">
        <v>70</v>
      </c>
      <c r="K118" t="s">
        <v>71</v>
      </c>
      <c r="L118" t="s">
        <v>72</v>
      </c>
      <c r="M118" s="24">
        <v>4</v>
      </c>
      <c r="N118" s="25">
        <v>16721.939999999999</v>
      </c>
      <c r="O118" s="25">
        <f t="shared" si="12"/>
        <v>66887.759999999995</v>
      </c>
      <c r="P118" s="25">
        <v>10839.78</v>
      </c>
      <c r="Q118" s="25">
        <f t="shared" si="13"/>
        <v>43359.12</v>
      </c>
      <c r="R118" s="25">
        <f t="shared" si="14"/>
        <v>23528.639999999992</v>
      </c>
      <c r="S118" s="26">
        <f t="shared" si="15"/>
        <v>0.35176301314321179</v>
      </c>
    </row>
    <row r="119" spans="1:19" ht="15" x14ac:dyDescent="0.2">
      <c r="A119" s="23">
        <v>45689</v>
      </c>
      <c r="B119">
        <f t="shared" si="8"/>
        <v>2025</v>
      </c>
      <c r="C119">
        <f t="shared" si="9"/>
        <v>2</v>
      </c>
      <c r="D119" t="str">
        <f t="shared" si="10"/>
        <v>Febrero</v>
      </c>
      <c r="E119" t="str">
        <f t="shared" si="11"/>
        <v>T1</v>
      </c>
      <c r="F119" t="s">
        <v>241</v>
      </c>
      <c r="G119" t="s">
        <v>54</v>
      </c>
      <c r="H119" t="s">
        <v>55</v>
      </c>
      <c r="I119" t="s">
        <v>56</v>
      </c>
      <c r="J119" t="s">
        <v>57</v>
      </c>
      <c r="K119" t="s">
        <v>81</v>
      </c>
      <c r="L119" t="s">
        <v>82</v>
      </c>
      <c r="M119" s="24">
        <v>11</v>
      </c>
      <c r="N119" s="25">
        <v>62508.91</v>
      </c>
      <c r="O119" s="25">
        <f t="shared" si="12"/>
        <v>687598.01</v>
      </c>
      <c r="P119" s="25">
        <v>43264.04</v>
      </c>
      <c r="Q119" s="25">
        <f t="shared" si="13"/>
        <v>475904.44</v>
      </c>
      <c r="R119" s="25">
        <f t="shared" si="14"/>
        <v>211693.57</v>
      </c>
      <c r="S119" s="26">
        <f t="shared" si="15"/>
        <v>0.30787402947835757</v>
      </c>
    </row>
    <row r="120" spans="1:19" ht="15" x14ac:dyDescent="0.2">
      <c r="A120" s="23">
        <v>45689</v>
      </c>
      <c r="B120">
        <f t="shared" si="8"/>
        <v>2025</v>
      </c>
      <c r="C120">
        <f t="shared" si="9"/>
        <v>2</v>
      </c>
      <c r="D120" t="str">
        <f t="shared" si="10"/>
        <v>Febrero</v>
      </c>
      <c r="E120" t="str">
        <f t="shared" si="11"/>
        <v>T1</v>
      </c>
      <c r="F120" t="s">
        <v>242</v>
      </c>
      <c r="G120" t="s">
        <v>54</v>
      </c>
      <c r="H120" t="s">
        <v>55</v>
      </c>
      <c r="I120" t="s">
        <v>56</v>
      </c>
      <c r="J120" t="s">
        <v>57</v>
      </c>
      <c r="K120" t="s">
        <v>58</v>
      </c>
      <c r="L120" t="s">
        <v>162</v>
      </c>
      <c r="M120" s="24">
        <v>3</v>
      </c>
      <c r="N120" s="25">
        <v>52338.59</v>
      </c>
      <c r="O120" s="25">
        <f t="shared" si="12"/>
        <v>157015.76999999999</v>
      </c>
      <c r="P120" s="25">
        <v>37277.589999999997</v>
      </c>
      <c r="Q120" s="25">
        <f t="shared" si="13"/>
        <v>111832.76999999999</v>
      </c>
      <c r="R120" s="25">
        <f t="shared" si="14"/>
        <v>45183</v>
      </c>
      <c r="S120" s="26">
        <f t="shared" si="15"/>
        <v>0.28776090452570469</v>
      </c>
    </row>
    <row r="121" spans="1:19" ht="15" x14ac:dyDescent="0.2">
      <c r="A121" s="23">
        <v>45689</v>
      </c>
      <c r="B121">
        <f t="shared" si="8"/>
        <v>2025</v>
      </c>
      <c r="C121">
        <f t="shared" si="9"/>
        <v>2</v>
      </c>
      <c r="D121" t="str">
        <f t="shared" si="10"/>
        <v>Febrero</v>
      </c>
      <c r="E121" t="str">
        <f t="shared" si="11"/>
        <v>T1</v>
      </c>
      <c r="F121" t="s">
        <v>243</v>
      </c>
      <c r="G121" t="s">
        <v>114</v>
      </c>
      <c r="H121" t="s">
        <v>75</v>
      </c>
      <c r="I121" t="s">
        <v>115</v>
      </c>
      <c r="J121" t="s">
        <v>64</v>
      </c>
      <c r="K121" t="s">
        <v>96</v>
      </c>
      <c r="L121" t="s">
        <v>103</v>
      </c>
      <c r="M121" s="24">
        <v>10</v>
      </c>
      <c r="N121" s="25">
        <v>90759.33</v>
      </c>
      <c r="O121" s="25">
        <f t="shared" si="12"/>
        <v>907593.3</v>
      </c>
      <c r="P121" s="25">
        <v>62374.65</v>
      </c>
      <c r="Q121" s="25">
        <f t="shared" si="13"/>
        <v>623746.5</v>
      </c>
      <c r="R121" s="25">
        <f t="shared" si="14"/>
        <v>283846.80000000005</v>
      </c>
      <c r="S121" s="26">
        <f t="shared" si="15"/>
        <v>0.31274668951390455</v>
      </c>
    </row>
    <row r="122" spans="1:19" ht="15" x14ac:dyDescent="0.2">
      <c r="A122" s="23">
        <v>45689</v>
      </c>
      <c r="B122">
        <f t="shared" si="8"/>
        <v>2025</v>
      </c>
      <c r="C122">
        <f t="shared" si="9"/>
        <v>2</v>
      </c>
      <c r="D122" t="str">
        <f t="shared" si="10"/>
        <v>Febrero</v>
      </c>
      <c r="E122" t="str">
        <f t="shared" si="11"/>
        <v>T1</v>
      </c>
      <c r="F122" t="s">
        <v>244</v>
      </c>
      <c r="G122" t="s">
        <v>92</v>
      </c>
      <c r="H122" t="s">
        <v>93</v>
      </c>
      <c r="I122" t="s">
        <v>94</v>
      </c>
      <c r="J122" t="s">
        <v>125</v>
      </c>
      <c r="K122" t="s">
        <v>126</v>
      </c>
      <c r="L122" t="s">
        <v>127</v>
      </c>
      <c r="M122" s="24">
        <v>4</v>
      </c>
      <c r="N122" s="25">
        <v>21973.82</v>
      </c>
      <c r="O122" s="25">
        <f t="shared" si="12"/>
        <v>87895.28</v>
      </c>
      <c r="P122" s="25">
        <v>12849.09</v>
      </c>
      <c r="Q122" s="25">
        <f t="shared" si="13"/>
        <v>51396.36</v>
      </c>
      <c r="R122" s="25">
        <f t="shared" si="14"/>
        <v>36498.92</v>
      </c>
      <c r="S122" s="26">
        <f t="shared" si="15"/>
        <v>0.41525460752841337</v>
      </c>
    </row>
    <row r="123" spans="1:19" ht="15" x14ac:dyDescent="0.2">
      <c r="A123" s="23">
        <v>45689</v>
      </c>
      <c r="B123">
        <f t="shared" si="8"/>
        <v>2025</v>
      </c>
      <c r="C123">
        <f t="shared" si="9"/>
        <v>2</v>
      </c>
      <c r="D123" t="str">
        <f t="shared" si="10"/>
        <v>Febrero</v>
      </c>
      <c r="E123" t="str">
        <f t="shared" si="11"/>
        <v>T1</v>
      </c>
      <c r="F123" t="s">
        <v>245</v>
      </c>
      <c r="G123" t="s">
        <v>92</v>
      </c>
      <c r="H123" t="s">
        <v>93</v>
      </c>
      <c r="I123" t="s">
        <v>94</v>
      </c>
      <c r="J123" t="s">
        <v>125</v>
      </c>
      <c r="K123" t="s">
        <v>126</v>
      </c>
      <c r="L123" t="s">
        <v>127</v>
      </c>
      <c r="M123" s="24">
        <v>3</v>
      </c>
      <c r="N123" s="25">
        <v>19224.89</v>
      </c>
      <c r="O123" s="25">
        <f t="shared" si="12"/>
        <v>57674.67</v>
      </c>
      <c r="P123" s="25">
        <v>11482.44</v>
      </c>
      <c r="Q123" s="25">
        <f t="shared" si="13"/>
        <v>34447.32</v>
      </c>
      <c r="R123" s="25">
        <f t="shared" si="14"/>
        <v>23227.35</v>
      </c>
      <c r="S123" s="26">
        <f t="shared" si="15"/>
        <v>0.40273052277542287</v>
      </c>
    </row>
    <row r="124" spans="1:19" ht="15" x14ac:dyDescent="0.2">
      <c r="A124" s="23">
        <v>45690</v>
      </c>
      <c r="B124">
        <f t="shared" si="8"/>
        <v>2025</v>
      </c>
      <c r="C124">
        <f t="shared" si="9"/>
        <v>2</v>
      </c>
      <c r="D124" t="str">
        <f t="shared" si="10"/>
        <v>Febrero</v>
      </c>
      <c r="E124" t="str">
        <f t="shared" si="11"/>
        <v>T1</v>
      </c>
      <c r="F124" t="s">
        <v>246</v>
      </c>
      <c r="G124" t="s">
        <v>54</v>
      </c>
      <c r="H124" t="s">
        <v>55</v>
      </c>
      <c r="I124" t="s">
        <v>56</v>
      </c>
      <c r="J124" t="s">
        <v>70</v>
      </c>
      <c r="K124" t="s">
        <v>84</v>
      </c>
      <c r="L124" t="s">
        <v>85</v>
      </c>
      <c r="M124" s="24">
        <v>6</v>
      </c>
      <c r="N124" s="25">
        <v>58119.93</v>
      </c>
      <c r="O124" s="25">
        <f t="shared" si="12"/>
        <v>348719.58</v>
      </c>
      <c r="P124" s="25">
        <v>42472.86</v>
      </c>
      <c r="Q124" s="25">
        <f t="shared" si="13"/>
        <v>254837.16</v>
      </c>
      <c r="R124" s="25">
        <f t="shared" si="14"/>
        <v>93882.420000000013</v>
      </c>
      <c r="S124" s="26">
        <f t="shared" si="15"/>
        <v>0.26922038619110522</v>
      </c>
    </row>
    <row r="125" spans="1:19" ht="15" x14ac:dyDescent="0.2">
      <c r="A125" s="23">
        <v>45690</v>
      </c>
      <c r="B125">
        <f t="shared" si="8"/>
        <v>2025</v>
      </c>
      <c r="C125">
        <f t="shared" si="9"/>
        <v>2</v>
      </c>
      <c r="D125" t="str">
        <f t="shared" si="10"/>
        <v>Febrero</v>
      </c>
      <c r="E125" t="str">
        <f t="shared" si="11"/>
        <v>T1</v>
      </c>
      <c r="F125" t="s">
        <v>247</v>
      </c>
      <c r="G125" t="s">
        <v>110</v>
      </c>
      <c r="H125" t="s">
        <v>62</v>
      </c>
      <c r="I125" t="s">
        <v>69</v>
      </c>
      <c r="J125" t="s">
        <v>125</v>
      </c>
      <c r="K125" t="s">
        <v>126</v>
      </c>
      <c r="L125" t="s">
        <v>127</v>
      </c>
      <c r="M125" s="24">
        <v>26</v>
      </c>
      <c r="N125" s="25">
        <v>6502.66</v>
      </c>
      <c r="O125" s="25">
        <f t="shared" si="12"/>
        <v>169069.16</v>
      </c>
      <c r="P125" s="25">
        <v>5301.13</v>
      </c>
      <c r="Q125" s="25">
        <f t="shared" si="13"/>
        <v>137829.38</v>
      </c>
      <c r="R125" s="25">
        <f t="shared" si="14"/>
        <v>31239.78</v>
      </c>
      <c r="S125" s="26">
        <f t="shared" si="15"/>
        <v>0.18477515355254617</v>
      </c>
    </row>
    <row r="126" spans="1:19" ht="15" x14ac:dyDescent="0.2">
      <c r="A126" s="23">
        <v>45690</v>
      </c>
      <c r="B126">
        <f t="shared" si="8"/>
        <v>2025</v>
      </c>
      <c r="C126">
        <f t="shared" si="9"/>
        <v>2</v>
      </c>
      <c r="D126" t="str">
        <f t="shared" si="10"/>
        <v>Febrero</v>
      </c>
      <c r="E126" t="str">
        <f t="shared" si="11"/>
        <v>T1</v>
      </c>
      <c r="F126" t="s">
        <v>248</v>
      </c>
      <c r="G126" t="s">
        <v>74</v>
      </c>
      <c r="H126" t="s">
        <v>75</v>
      </c>
      <c r="I126" t="s">
        <v>76</v>
      </c>
      <c r="J126" t="s">
        <v>125</v>
      </c>
      <c r="K126" t="s">
        <v>126</v>
      </c>
      <c r="L126" t="s">
        <v>131</v>
      </c>
      <c r="M126" s="24">
        <v>3</v>
      </c>
      <c r="N126" s="25">
        <v>36129.94</v>
      </c>
      <c r="O126" s="25">
        <f t="shared" si="12"/>
        <v>108389.82</v>
      </c>
      <c r="P126" s="25">
        <v>24522.7</v>
      </c>
      <c r="Q126" s="25">
        <f t="shared" si="13"/>
        <v>73568.100000000006</v>
      </c>
      <c r="R126" s="25">
        <f t="shared" si="14"/>
        <v>34821.72</v>
      </c>
      <c r="S126" s="26">
        <f t="shared" si="15"/>
        <v>0.32126374967686078</v>
      </c>
    </row>
    <row r="127" spans="1:19" ht="15" x14ac:dyDescent="0.2">
      <c r="A127" s="23">
        <v>45690</v>
      </c>
      <c r="B127">
        <f t="shared" si="8"/>
        <v>2025</v>
      </c>
      <c r="C127">
        <f t="shared" si="9"/>
        <v>2</v>
      </c>
      <c r="D127" t="str">
        <f t="shared" si="10"/>
        <v>Febrero</v>
      </c>
      <c r="E127" t="str">
        <f t="shared" si="11"/>
        <v>T1</v>
      </c>
      <c r="F127" t="s">
        <v>249</v>
      </c>
      <c r="G127" t="s">
        <v>87</v>
      </c>
      <c r="H127" t="s">
        <v>88</v>
      </c>
      <c r="I127" t="s">
        <v>89</v>
      </c>
      <c r="J127" t="s">
        <v>77</v>
      </c>
      <c r="K127" t="s">
        <v>107</v>
      </c>
      <c r="L127" t="s">
        <v>108</v>
      </c>
      <c r="M127" s="24">
        <v>5</v>
      </c>
      <c r="N127" s="25">
        <v>61480.75</v>
      </c>
      <c r="O127" s="25">
        <f t="shared" si="12"/>
        <v>307403.75</v>
      </c>
      <c r="P127" s="25">
        <v>31446.58</v>
      </c>
      <c r="Q127" s="25">
        <f t="shared" si="13"/>
        <v>157232.90000000002</v>
      </c>
      <c r="R127" s="25">
        <f t="shared" si="14"/>
        <v>150170.84999999998</v>
      </c>
      <c r="S127" s="26">
        <f t="shared" si="15"/>
        <v>0.4885133964696266</v>
      </c>
    </row>
    <row r="128" spans="1:19" ht="15" x14ac:dyDescent="0.2">
      <c r="A128" s="23">
        <v>45690</v>
      </c>
      <c r="B128">
        <f t="shared" si="8"/>
        <v>2025</v>
      </c>
      <c r="C128">
        <f t="shared" si="9"/>
        <v>2</v>
      </c>
      <c r="D128" t="str">
        <f t="shared" si="10"/>
        <v>Febrero</v>
      </c>
      <c r="E128" t="str">
        <f t="shared" si="11"/>
        <v>T1</v>
      </c>
      <c r="F128" t="s">
        <v>250</v>
      </c>
      <c r="G128" t="s">
        <v>100</v>
      </c>
      <c r="H128" t="s">
        <v>88</v>
      </c>
      <c r="I128" t="s">
        <v>101</v>
      </c>
      <c r="J128" t="s">
        <v>70</v>
      </c>
      <c r="K128" t="s">
        <v>71</v>
      </c>
      <c r="L128" t="s">
        <v>72</v>
      </c>
      <c r="M128" s="24">
        <v>3</v>
      </c>
      <c r="N128" s="25">
        <v>33128.47</v>
      </c>
      <c r="O128" s="25">
        <f t="shared" si="12"/>
        <v>99385.41</v>
      </c>
      <c r="P128" s="25">
        <v>19717.919999999998</v>
      </c>
      <c r="Q128" s="25">
        <f t="shared" si="13"/>
        <v>59153.759999999995</v>
      </c>
      <c r="R128" s="25">
        <f t="shared" si="14"/>
        <v>40231.650000000009</v>
      </c>
      <c r="S128" s="26">
        <f t="shared" si="15"/>
        <v>0.40480438728380763</v>
      </c>
    </row>
    <row r="129" spans="1:19" ht="15" x14ac:dyDescent="0.2">
      <c r="A129" s="23">
        <v>45691</v>
      </c>
      <c r="B129">
        <f t="shared" si="8"/>
        <v>2025</v>
      </c>
      <c r="C129">
        <f t="shared" si="9"/>
        <v>2</v>
      </c>
      <c r="D129" t="str">
        <f t="shared" si="10"/>
        <v>Febrero</v>
      </c>
      <c r="E129" t="str">
        <f t="shared" si="11"/>
        <v>T1</v>
      </c>
      <c r="F129" t="s">
        <v>251</v>
      </c>
      <c r="G129" t="s">
        <v>54</v>
      </c>
      <c r="H129" t="s">
        <v>55</v>
      </c>
      <c r="I129" t="s">
        <v>56</v>
      </c>
      <c r="J129" t="s">
        <v>57</v>
      </c>
      <c r="K129" t="s">
        <v>58</v>
      </c>
      <c r="L129" t="s">
        <v>59</v>
      </c>
      <c r="M129" s="24">
        <v>8</v>
      </c>
      <c r="N129" s="25">
        <v>61042.400000000001</v>
      </c>
      <c r="O129" s="25">
        <f t="shared" si="12"/>
        <v>488339.20000000001</v>
      </c>
      <c r="P129" s="25">
        <v>43027.16</v>
      </c>
      <c r="Q129" s="25">
        <f t="shared" si="13"/>
        <v>344217.28</v>
      </c>
      <c r="R129" s="25">
        <f t="shared" si="14"/>
        <v>144121.91999999998</v>
      </c>
      <c r="S129" s="26">
        <f t="shared" si="15"/>
        <v>0.29512666605506988</v>
      </c>
    </row>
    <row r="130" spans="1:19" ht="15" x14ac:dyDescent="0.2">
      <c r="A130" s="23">
        <v>45691</v>
      </c>
      <c r="B130">
        <f t="shared" ref="B130:B193" si="16">YEAR($A130)</f>
        <v>2025</v>
      </c>
      <c r="C130">
        <f t="shared" ref="C130:C193" si="17">MONTH($A130)</f>
        <v>2</v>
      </c>
      <c r="D130" t="str">
        <f t="shared" ref="D130:D193" si="18">INDEX(lst_Meses,MONTH($A130))</f>
        <v>Febrero</v>
      </c>
      <c r="E130" t="str">
        <f t="shared" ref="E130:E193" si="19">"T"&amp;ROUNDUP(MONTH($A130)/3,0)</f>
        <v>T1</v>
      </c>
      <c r="F130" t="s">
        <v>252</v>
      </c>
      <c r="G130" t="s">
        <v>54</v>
      </c>
      <c r="H130" t="s">
        <v>55</v>
      </c>
      <c r="I130" t="s">
        <v>56</v>
      </c>
      <c r="J130" t="s">
        <v>125</v>
      </c>
      <c r="K130" t="s">
        <v>126</v>
      </c>
      <c r="L130" t="s">
        <v>127</v>
      </c>
      <c r="M130" s="24">
        <v>4</v>
      </c>
      <c r="N130" s="25">
        <v>54781.81</v>
      </c>
      <c r="O130" s="25">
        <f t="shared" ref="O130:O193" si="20">$M130*$N130</f>
        <v>219127.24</v>
      </c>
      <c r="P130" s="25">
        <v>38244.230000000003</v>
      </c>
      <c r="Q130" s="25">
        <f t="shared" ref="Q130:Q193" si="21">$M130*$P130</f>
        <v>152976.92000000001</v>
      </c>
      <c r="R130" s="25">
        <f t="shared" ref="R130:R193" si="22">$O130-$Q130</f>
        <v>66150.319999999978</v>
      </c>
      <c r="S130" s="26">
        <f t="shared" ref="S130:S193" si="23">IFERROR($R130/$O130,0)</f>
        <v>0.30188086154875121</v>
      </c>
    </row>
    <row r="131" spans="1:19" ht="15" x14ac:dyDescent="0.2">
      <c r="A131" s="23">
        <v>45691</v>
      </c>
      <c r="B131">
        <f t="shared" si="16"/>
        <v>2025</v>
      </c>
      <c r="C131">
        <f t="shared" si="17"/>
        <v>2</v>
      </c>
      <c r="D131" t="str">
        <f t="shared" si="18"/>
        <v>Febrero</v>
      </c>
      <c r="E131" t="str">
        <f t="shared" si="19"/>
        <v>T1</v>
      </c>
      <c r="F131" t="s">
        <v>253</v>
      </c>
      <c r="G131" t="s">
        <v>105</v>
      </c>
      <c r="H131" t="s">
        <v>62</v>
      </c>
      <c r="I131" t="s">
        <v>106</v>
      </c>
      <c r="J131" t="s">
        <v>77</v>
      </c>
      <c r="K131" t="s">
        <v>78</v>
      </c>
      <c r="L131" t="s">
        <v>117</v>
      </c>
      <c r="M131" s="24">
        <v>8</v>
      </c>
      <c r="N131" s="25">
        <v>1791.03</v>
      </c>
      <c r="O131" s="25">
        <f t="shared" si="20"/>
        <v>14328.24</v>
      </c>
      <c r="P131" s="25">
        <v>1443.04</v>
      </c>
      <c r="Q131" s="25">
        <f t="shared" si="21"/>
        <v>11544.32</v>
      </c>
      <c r="R131" s="25">
        <f t="shared" si="22"/>
        <v>2783.92</v>
      </c>
      <c r="S131" s="26">
        <f t="shared" si="23"/>
        <v>0.19429601960882845</v>
      </c>
    </row>
    <row r="132" spans="1:19" ht="15" x14ac:dyDescent="0.2">
      <c r="A132" s="23">
        <v>45691</v>
      </c>
      <c r="B132">
        <f t="shared" si="16"/>
        <v>2025</v>
      </c>
      <c r="C132">
        <f t="shared" si="17"/>
        <v>2</v>
      </c>
      <c r="D132" t="str">
        <f t="shared" si="18"/>
        <v>Febrero</v>
      </c>
      <c r="E132" t="str">
        <f t="shared" si="19"/>
        <v>T1</v>
      </c>
      <c r="F132" t="s">
        <v>254</v>
      </c>
      <c r="G132" t="s">
        <v>110</v>
      </c>
      <c r="H132" t="s">
        <v>62</v>
      </c>
      <c r="I132" t="s">
        <v>69</v>
      </c>
      <c r="J132" t="s">
        <v>57</v>
      </c>
      <c r="K132" t="s">
        <v>81</v>
      </c>
      <c r="L132" t="s">
        <v>129</v>
      </c>
      <c r="M132" s="24">
        <v>105</v>
      </c>
      <c r="N132" s="25">
        <v>6561.16</v>
      </c>
      <c r="O132" s="25">
        <f t="shared" si="20"/>
        <v>688921.79999999993</v>
      </c>
      <c r="P132" s="25">
        <v>5402.85</v>
      </c>
      <c r="Q132" s="25">
        <f t="shared" si="21"/>
        <v>567299.25</v>
      </c>
      <c r="R132" s="25">
        <f t="shared" si="22"/>
        <v>121622.54999999993</v>
      </c>
      <c r="S132" s="26">
        <f t="shared" si="23"/>
        <v>0.17654042882660984</v>
      </c>
    </row>
    <row r="133" spans="1:19" ht="15" x14ac:dyDescent="0.2">
      <c r="A133" s="23">
        <v>45691</v>
      </c>
      <c r="B133">
        <f t="shared" si="16"/>
        <v>2025</v>
      </c>
      <c r="C133">
        <f t="shared" si="17"/>
        <v>2</v>
      </c>
      <c r="D133" t="str">
        <f t="shared" si="18"/>
        <v>Febrero</v>
      </c>
      <c r="E133" t="str">
        <f t="shared" si="19"/>
        <v>T1</v>
      </c>
      <c r="F133" t="s">
        <v>255</v>
      </c>
      <c r="G133" t="s">
        <v>74</v>
      </c>
      <c r="H133" t="s">
        <v>75</v>
      </c>
      <c r="I133" t="s">
        <v>76</v>
      </c>
      <c r="J133" t="s">
        <v>77</v>
      </c>
      <c r="K133" t="s">
        <v>78</v>
      </c>
      <c r="L133" t="s">
        <v>79</v>
      </c>
      <c r="M133" s="24">
        <v>5</v>
      </c>
      <c r="N133" s="25">
        <v>40092.01</v>
      </c>
      <c r="O133" s="25">
        <f t="shared" si="20"/>
        <v>200460.05000000002</v>
      </c>
      <c r="P133" s="25">
        <v>26685.279999999999</v>
      </c>
      <c r="Q133" s="25">
        <f t="shared" si="21"/>
        <v>133426.4</v>
      </c>
      <c r="R133" s="25">
        <f t="shared" si="22"/>
        <v>67033.650000000023</v>
      </c>
      <c r="S133" s="26">
        <f t="shared" si="23"/>
        <v>0.3343990485884844</v>
      </c>
    </row>
    <row r="134" spans="1:19" ht="15" x14ac:dyDescent="0.2">
      <c r="A134" s="23">
        <v>45691</v>
      </c>
      <c r="B134">
        <f t="shared" si="16"/>
        <v>2025</v>
      </c>
      <c r="C134">
        <f t="shared" si="17"/>
        <v>2</v>
      </c>
      <c r="D134" t="str">
        <f t="shared" si="18"/>
        <v>Febrero</v>
      </c>
      <c r="E134" t="str">
        <f t="shared" si="19"/>
        <v>T1</v>
      </c>
      <c r="F134" t="s">
        <v>256</v>
      </c>
      <c r="G134" t="s">
        <v>74</v>
      </c>
      <c r="H134" t="s">
        <v>75</v>
      </c>
      <c r="I134" t="s">
        <v>76</v>
      </c>
      <c r="J134" t="s">
        <v>57</v>
      </c>
      <c r="K134" t="s">
        <v>81</v>
      </c>
      <c r="L134" t="s">
        <v>129</v>
      </c>
      <c r="M134" s="24">
        <v>3</v>
      </c>
      <c r="N134" s="25">
        <v>44340.41</v>
      </c>
      <c r="O134" s="25">
        <f t="shared" si="20"/>
        <v>133021.23000000001</v>
      </c>
      <c r="P134" s="25">
        <v>29757.599999999999</v>
      </c>
      <c r="Q134" s="25">
        <f t="shared" si="21"/>
        <v>89272.799999999988</v>
      </c>
      <c r="R134" s="25">
        <f t="shared" si="22"/>
        <v>43748.430000000022</v>
      </c>
      <c r="S134" s="26">
        <f t="shared" si="23"/>
        <v>0.32888306625942354</v>
      </c>
    </row>
    <row r="135" spans="1:19" ht="15" x14ac:dyDescent="0.2">
      <c r="A135" s="23">
        <v>45691</v>
      </c>
      <c r="B135">
        <f t="shared" si="16"/>
        <v>2025</v>
      </c>
      <c r="C135">
        <f t="shared" si="17"/>
        <v>2</v>
      </c>
      <c r="D135" t="str">
        <f t="shared" si="18"/>
        <v>Febrero</v>
      </c>
      <c r="E135" t="str">
        <f t="shared" si="19"/>
        <v>T1</v>
      </c>
      <c r="F135" t="s">
        <v>257</v>
      </c>
      <c r="G135" t="s">
        <v>92</v>
      </c>
      <c r="H135" t="s">
        <v>93</v>
      </c>
      <c r="I135" t="s">
        <v>94</v>
      </c>
      <c r="J135" t="s">
        <v>64</v>
      </c>
      <c r="K135" t="s">
        <v>65</v>
      </c>
      <c r="L135" t="s">
        <v>66</v>
      </c>
      <c r="M135" s="24">
        <v>14</v>
      </c>
      <c r="N135" s="25">
        <v>20097.689999999999</v>
      </c>
      <c r="O135" s="25">
        <f t="shared" si="20"/>
        <v>281367.65999999997</v>
      </c>
      <c r="P135" s="25">
        <v>12150.13</v>
      </c>
      <c r="Q135" s="25">
        <f t="shared" si="21"/>
        <v>170101.81999999998</v>
      </c>
      <c r="R135" s="25">
        <f t="shared" si="22"/>
        <v>111265.84</v>
      </c>
      <c r="S135" s="26">
        <f t="shared" si="23"/>
        <v>0.39544644185476047</v>
      </c>
    </row>
    <row r="136" spans="1:19" ht="15" x14ac:dyDescent="0.2">
      <c r="A136" s="23">
        <v>45692</v>
      </c>
      <c r="B136">
        <f t="shared" si="16"/>
        <v>2025</v>
      </c>
      <c r="C136">
        <f t="shared" si="17"/>
        <v>2</v>
      </c>
      <c r="D136" t="str">
        <f t="shared" si="18"/>
        <v>Febrero</v>
      </c>
      <c r="E136" t="str">
        <f t="shared" si="19"/>
        <v>T1</v>
      </c>
      <c r="F136" t="s">
        <v>258</v>
      </c>
      <c r="G136" t="s">
        <v>54</v>
      </c>
      <c r="H136" t="s">
        <v>55</v>
      </c>
      <c r="I136" t="s">
        <v>56</v>
      </c>
      <c r="J136" t="s">
        <v>125</v>
      </c>
      <c r="K136" t="s">
        <v>126</v>
      </c>
      <c r="L136" t="s">
        <v>127</v>
      </c>
      <c r="M136" s="24">
        <v>3</v>
      </c>
      <c r="N136" s="25">
        <v>54817.24</v>
      </c>
      <c r="O136" s="25">
        <f t="shared" si="20"/>
        <v>164451.72</v>
      </c>
      <c r="P136" s="25">
        <v>38852.559999999998</v>
      </c>
      <c r="Q136" s="25">
        <f t="shared" si="21"/>
        <v>116557.68</v>
      </c>
      <c r="R136" s="25">
        <f t="shared" si="22"/>
        <v>47894.040000000008</v>
      </c>
      <c r="S136" s="26">
        <f t="shared" si="23"/>
        <v>0.291234655374842</v>
      </c>
    </row>
    <row r="137" spans="1:19" ht="15" x14ac:dyDescent="0.2">
      <c r="A137" s="23">
        <v>45692</v>
      </c>
      <c r="B137">
        <f t="shared" si="16"/>
        <v>2025</v>
      </c>
      <c r="C137">
        <f t="shared" si="17"/>
        <v>2</v>
      </c>
      <c r="D137" t="str">
        <f t="shared" si="18"/>
        <v>Febrero</v>
      </c>
      <c r="E137" t="str">
        <f t="shared" si="19"/>
        <v>T1</v>
      </c>
      <c r="F137" t="s">
        <v>259</v>
      </c>
      <c r="G137" t="s">
        <v>61</v>
      </c>
      <c r="H137" t="s">
        <v>62</v>
      </c>
      <c r="I137" t="s">
        <v>63</v>
      </c>
      <c r="J137" t="s">
        <v>77</v>
      </c>
      <c r="K137" t="s">
        <v>78</v>
      </c>
      <c r="L137" t="s">
        <v>79</v>
      </c>
      <c r="M137" s="24">
        <v>37</v>
      </c>
      <c r="N137" s="25">
        <v>6055.8</v>
      </c>
      <c r="O137" s="25">
        <f t="shared" si="20"/>
        <v>224064.6</v>
      </c>
      <c r="P137" s="25">
        <v>4845.3599999999997</v>
      </c>
      <c r="Q137" s="25">
        <f t="shared" si="21"/>
        <v>179278.31999999998</v>
      </c>
      <c r="R137" s="25">
        <f t="shared" si="22"/>
        <v>44786.280000000028</v>
      </c>
      <c r="S137" s="26">
        <f t="shared" si="23"/>
        <v>0.19988110571683357</v>
      </c>
    </row>
    <row r="138" spans="1:19" ht="15" x14ac:dyDescent="0.2">
      <c r="A138" s="23">
        <v>45692</v>
      </c>
      <c r="B138">
        <f t="shared" si="16"/>
        <v>2025</v>
      </c>
      <c r="C138">
        <f t="shared" si="17"/>
        <v>2</v>
      </c>
      <c r="D138" t="str">
        <f t="shared" si="18"/>
        <v>Febrero</v>
      </c>
      <c r="E138" t="str">
        <f t="shared" si="19"/>
        <v>T1</v>
      </c>
      <c r="F138" t="s">
        <v>260</v>
      </c>
      <c r="G138" t="s">
        <v>61</v>
      </c>
      <c r="H138" t="s">
        <v>62</v>
      </c>
      <c r="I138" t="s">
        <v>63</v>
      </c>
      <c r="J138" t="s">
        <v>125</v>
      </c>
      <c r="K138" t="s">
        <v>138</v>
      </c>
      <c r="L138" t="s">
        <v>139</v>
      </c>
      <c r="M138" s="24">
        <v>38</v>
      </c>
      <c r="N138" s="25">
        <v>5891.07</v>
      </c>
      <c r="O138" s="25">
        <f t="shared" si="20"/>
        <v>223860.65999999997</v>
      </c>
      <c r="P138" s="25">
        <v>4818.6000000000004</v>
      </c>
      <c r="Q138" s="25">
        <f t="shared" si="21"/>
        <v>183106.80000000002</v>
      </c>
      <c r="R138" s="25">
        <f t="shared" si="22"/>
        <v>40753.859999999957</v>
      </c>
      <c r="S138" s="26">
        <f t="shared" si="23"/>
        <v>0.1820501199272796</v>
      </c>
    </row>
    <row r="139" spans="1:19" ht="15" x14ac:dyDescent="0.2">
      <c r="A139" s="23">
        <v>45692</v>
      </c>
      <c r="B139">
        <f t="shared" si="16"/>
        <v>2025</v>
      </c>
      <c r="C139">
        <f t="shared" si="17"/>
        <v>2</v>
      </c>
      <c r="D139" t="str">
        <f t="shared" si="18"/>
        <v>Febrero</v>
      </c>
      <c r="E139" t="str">
        <f t="shared" si="19"/>
        <v>T1</v>
      </c>
      <c r="F139" t="s">
        <v>261</v>
      </c>
      <c r="G139" t="s">
        <v>114</v>
      </c>
      <c r="H139" t="s">
        <v>75</v>
      </c>
      <c r="I139" t="s">
        <v>115</v>
      </c>
      <c r="J139" t="s">
        <v>77</v>
      </c>
      <c r="K139" t="s">
        <v>107</v>
      </c>
      <c r="L139" t="s">
        <v>108</v>
      </c>
      <c r="M139" s="24">
        <v>4</v>
      </c>
      <c r="N139" s="25">
        <v>95744.97</v>
      </c>
      <c r="O139" s="25">
        <f t="shared" si="20"/>
        <v>382979.88</v>
      </c>
      <c r="P139" s="25">
        <v>59995.97</v>
      </c>
      <c r="Q139" s="25">
        <f t="shared" si="21"/>
        <v>239983.88</v>
      </c>
      <c r="R139" s="25">
        <f t="shared" si="22"/>
        <v>142996</v>
      </c>
      <c r="S139" s="26">
        <f t="shared" si="23"/>
        <v>0.37337731684494757</v>
      </c>
    </row>
    <row r="140" spans="1:19" ht="15" x14ac:dyDescent="0.2">
      <c r="A140" s="23">
        <v>45692</v>
      </c>
      <c r="B140">
        <f t="shared" si="16"/>
        <v>2025</v>
      </c>
      <c r="C140">
        <f t="shared" si="17"/>
        <v>2</v>
      </c>
      <c r="D140" t="str">
        <f t="shared" si="18"/>
        <v>Febrero</v>
      </c>
      <c r="E140" t="str">
        <f t="shared" si="19"/>
        <v>T1</v>
      </c>
      <c r="F140" t="s">
        <v>262</v>
      </c>
      <c r="G140" t="s">
        <v>114</v>
      </c>
      <c r="H140" t="s">
        <v>75</v>
      </c>
      <c r="I140" t="s">
        <v>115</v>
      </c>
      <c r="J140" t="s">
        <v>77</v>
      </c>
      <c r="K140" t="s">
        <v>107</v>
      </c>
      <c r="L140" t="s">
        <v>108</v>
      </c>
      <c r="M140" s="24">
        <v>6</v>
      </c>
      <c r="N140" s="25">
        <v>102317.17</v>
      </c>
      <c r="O140" s="25">
        <f t="shared" si="20"/>
        <v>613903.02</v>
      </c>
      <c r="P140" s="25">
        <v>64404.86</v>
      </c>
      <c r="Q140" s="25">
        <f t="shared" si="21"/>
        <v>386429.16000000003</v>
      </c>
      <c r="R140" s="25">
        <f t="shared" si="22"/>
        <v>227473.86</v>
      </c>
      <c r="S140" s="26">
        <f t="shared" si="23"/>
        <v>0.3705371249028877</v>
      </c>
    </row>
    <row r="141" spans="1:19" ht="15" x14ac:dyDescent="0.2">
      <c r="A141" s="23">
        <v>45692</v>
      </c>
      <c r="B141">
        <f t="shared" si="16"/>
        <v>2025</v>
      </c>
      <c r="C141">
        <f t="shared" si="17"/>
        <v>2</v>
      </c>
      <c r="D141" t="str">
        <f t="shared" si="18"/>
        <v>Febrero</v>
      </c>
      <c r="E141" t="str">
        <f t="shared" si="19"/>
        <v>T1</v>
      </c>
      <c r="F141" t="s">
        <v>263</v>
      </c>
      <c r="G141" t="s">
        <v>87</v>
      </c>
      <c r="H141" t="s">
        <v>88</v>
      </c>
      <c r="I141" t="s">
        <v>89</v>
      </c>
      <c r="J141" t="s">
        <v>57</v>
      </c>
      <c r="K141" t="s">
        <v>58</v>
      </c>
      <c r="L141" t="s">
        <v>59</v>
      </c>
      <c r="M141" s="24">
        <v>5</v>
      </c>
      <c r="N141" s="25">
        <v>54295.9</v>
      </c>
      <c r="O141" s="25">
        <f t="shared" si="20"/>
        <v>271479.5</v>
      </c>
      <c r="P141" s="25">
        <v>30825.07</v>
      </c>
      <c r="Q141" s="25">
        <f t="shared" si="21"/>
        <v>154125.35</v>
      </c>
      <c r="R141" s="25">
        <f t="shared" si="22"/>
        <v>117354.15</v>
      </c>
      <c r="S141" s="26">
        <f t="shared" si="23"/>
        <v>0.4322762860547481</v>
      </c>
    </row>
    <row r="142" spans="1:19" ht="15" x14ac:dyDescent="0.2">
      <c r="A142" s="23">
        <v>45692</v>
      </c>
      <c r="B142">
        <f t="shared" si="16"/>
        <v>2025</v>
      </c>
      <c r="C142">
        <f t="shared" si="17"/>
        <v>2</v>
      </c>
      <c r="D142" t="str">
        <f t="shared" si="18"/>
        <v>Febrero</v>
      </c>
      <c r="E142" t="str">
        <f t="shared" si="19"/>
        <v>T1</v>
      </c>
      <c r="F142" t="s">
        <v>264</v>
      </c>
      <c r="G142" t="s">
        <v>149</v>
      </c>
      <c r="H142" t="s">
        <v>93</v>
      </c>
      <c r="I142" t="s">
        <v>150</v>
      </c>
      <c r="J142" t="s">
        <v>125</v>
      </c>
      <c r="K142" t="s">
        <v>138</v>
      </c>
      <c r="L142" t="s">
        <v>139</v>
      </c>
      <c r="M142" s="24">
        <v>3</v>
      </c>
      <c r="N142" s="25">
        <v>48341.72</v>
      </c>
      <c r="O142" s="25">
        <f t="shared" si="20"/>
        <v>145025.16</v>
      </c>
      <c r="P142" s="25">
        <v>28718.95</v>
      </c>
      <c r="Q142" s="25">
        <f t="shared" si="21"/>
        <v>86156.85</v>
      </c>
      <c r="R142" s="25">
        <f t="shared" si="22"/>
        <v>58868.31</v>
      </c>
      <c r="S142" s="26">
        <f t="shared" si="23"/>
        <v>0.4059179110714306</v>
      </c>
    </row>
    <row r="143" spans="1:19" ht="15" x14ac:dyDescent="0.2">
      <c r="A143" s="23">
        <v>45692</v>
      </c>
      <c r="B143">
        <f t="shared" si="16"/>
        <v>2025</v>
      </c>
      <c r="C143">
        <f t="shared" si="17"/>
        <v>2</v>
      </c>
      <c r="D143" t="str">
        <f t="shared" si="18"/>
        <v>Febrero</v>
      </c>
      <c r="E143" t="str">
        <f t="shared" si="19"/>
        <v>T1</v>
      </c>
      <c r="F143" t="s">
        <v>265</v>
      </c>
      <c r="G143" t="s">
        <v>92</v>
      </c>
      <c r="H143" t="s">
        <v>93</v>
      </c>
      <c r="I143" t="s">
        <v>94</v>
      </c>
      <c r="J143" t="s">
        <v>70</v>
      </c>
      <c r="K143" t="s">
        <v>84</v>
      </c>
      <c r="L143" t="s">
        <v>147</v>
      </c>
      <c r="M143" s="24">
        <v>8</v>
      </c>
      <c r="N143" s="25">
        <v>18300.28</v>
      </c>
      <c r="O143" s="25">
        <f t="shared" si="20"/>
        <v>146402.23999999999</v>
      </c>
      <c r="P143" s="25">
        <v>11504.35</v>
      </c>
      <c r="Q143" s="25">
        <f t="shared" si="21"/>
        <v>92034.8</v>
      </c>
      <c r="R143" s="25">
        <f t="shared" si="22"/>
        <v>54367.439999999988</v>
      </c>
      <c r="S143" s="26">
        <f t="shared" si="23"/>
        <v>0.37135661312285928</v>
      </c>
    </row>
    <row r="144" spans="1:19" ht="15" x14ac:dyDescent="0.2">
      <c r="A144" s="23">
        <v>45693</v>
      </c>
      <c r="B144">
        <f t="shared" si="16"/>
        <v>2025</v>
      </c>
      <c r="C144">
        <f t="shared" si="17"/>
        <v>2</v>
      </c>
      <c r="D144" t="str">
        <f t="shared" si="18"/>
        <v>Febrero</v>
      </c>
      <c r="E144" t="str">
        <f t="shared" si="19"/>
        <v>T1</v>
      </c>
      <c r="F144" t="s">
        <v>266</v>
      </c>
      <c r="G144" t="s">
        <v>105</v>
      </c>
      <c r="H144" t="s">
        <v>62</v>
      </c>
      <c r="I144" t="s">
        <v>106</v>
      </c>
      <c r="J144" t="s">
        <v>64</v>
      </c>
      <c r="K144" t="s">
        <v>96</v>
      </c>
      <c r="L144" t="s">
        <v>97</v>
      </c>
      <c r="M144" s="24">
        <v>516</v>
      </c>
      <c r="N144" s="25">
        <v>1790.46</v>
      </c>
      <c r="O144" s="25">
        <f t="shared" si="20"/>
        <v>923877.36</v>
      </c>
      <c r="P144" s="25">
        <v>1501</v>
      </c>
      <c r="Q144" s="25">
        <f t="shared" si="21"/>
        <v>774516</v>
      </c>
      <c r="R144" s="25">
        <f t="shared" si="22"/>
        <v>149361.35999999999</v>
      </c>
      <c r="S144" s="26">
        <f t="shared" si="23"/>
        <v>0.16166795125275069</v>
      </c>
    </row>
    <row r="145" spans="1:19" ht="15" x14ac:dyDescent="0.2">
      <c r="A145" s="23">
        <v>45693</v>
      </c>
      <c r="B145">
        <f t="shared" si="16"/>
        <v>2025</v>
      </c>
      <c r="C145">
        <f t="shared" si="17"/>
        <v>2</v>
      </c>
      <c r="D145" t="str">
        <f t="shared" si="18"/>
        <v>Febrero</v>
      </c>
      <c r="E145" t="str">
        <f t="shared" si="19"/>
        <v>T1</v>
      </c>
      <c r="F145" t="s">
        <v>267</v>
      </c>
      <c r="G145" t="s">
        <v>105</v>
      </c>
      <c r="H145" t="s">
        <v>62</v>
      </c>
      <c r="I145" t="s">
        <v>106</v>
      </c>
      <c r="J145" t="s">
        <v>125</v>
      </c>
      <c r="K145" t="s">
        <v>126</v>
      </c>
      <c r="L145" t="s">
        <v>131</v>
      </c>
      <c r="M145" s="24">
        <v>119</v>
      </c>
      <c r="N145" s="25">
        <v>1849.55</v>
      </c>
      <c r="O145" s="25">
        <f t="shared" si="20"/>
        <v>220096.44999999998</v>
      </c>
      <c r="P145" s="25">
        <v>1502.78</v>
      </c>
      <c r="Q145" s="25">
        <f t="shared" si="21"/>
        <v>178830.82</v>
      </c>
      <c r="R145" s="25">
        <f t="shared" si="22"/>
        <v>41265.629999999976</v>
      </c>
      <c r="S145" s="26">
        <f t="shared" si="23"/>
        <v>0.18748884863885801</v>
      </c>
    </row>
    <row r="146" spans="1:19" ht="15" x14ac:dyDescent="0.2">
      <c r="A146" s="23">
        <v>45693</v>
      </c>
      <c r="B146">
        <f t="shared" si="16"/>
        <v>2025</v>
      </c>
      <c r="C146">
        <f t="shared" si="17"/>
        <v>2</v>
      </c>
      <c r="D146" t="str">
        <f t="shared" si="18"/>
        <v>Febrero</v>
      </c>
      <c r="E146" t="str">
        <f t="shared" si="19"/>
        <v>T1</v>
      </c>
      <c r="F146" t="s">
        <v>268</v>
      </c>
      <c r="G146" t="s">
        <v>74</v>
      </c>
      <c r="H146" t="s">
        <v>75</v>
      </c>
      <c r="I146" t="s">
        <v>76</v>
      </c>
      <c r="J146" t="s">
        <v>57</v>
      </c>
      <c r="K146" t="s">
        <v>58</v>
      </c>
      <c r="L146" t="s">
        <v>59</v>
      </c>
      <c r="M146" s="24">
        <v>5</v>
      </c>
      <c r="N146" s="25">
        <v>41684.94</v>
      </c>
      <c r="O146" s="25">
        <f t="shared" si="20"/>
        <v>208424.7</v>
      </c>
      <c r="P146" s="25">
        <v>28131.83</v>
      </c>
      <c r="Q146" s="25">
        <f t="shared" si="21"/>
        <v>140659.15000000002</v>
      </c>
      <c r="R146" s="25">
        <f t="shared" si="22"/>
        <v>67765.549999999988</v>
      </c>
      <c r="S146" s="26">
        <f t="shared" si="23"/>
        <v>0.3251320500881133</v>
      </c>
    </row>
    <row r="147" spans="1:19" ht="15" x14ac:dyDescent="0.2">
      <c r="A147" s="23">
        <v>45693</v>
      </c>
      <c r="B147">
        <f t="shared" si="16"/>
        <v>2025</v>
      </c>
      <c r="C147">
        <f t="shared" si="17"/>
        <v>2</v>
      </c>
      <c r="D147" t="str">
        <f t="shared" si="18"/>
        <v>Febrero</v>
      </c>
      <c r="E147" t="str">
        <f t="shared" si="19"/>
        <v>T1</v>
      </c>
      <c r="F147" t="s">
        <v>269</v>
      </c>
      <c r="G147" t="s">
        <v>144</v>
      </c>
      <c r="H147" t="s">
        <v>88</v>
      </c>
      <c r="I147" t="s">
        <v>145</v>
      </c>
      <c r="J147" t="s">
        <v>77</v>
      </c>
      <c r="K147" t="s">
        <v>107</v>
      </c>
      <c r="L147" t="s">
        <v>108</v>
      </c>
      <c r="M147" s="24">
        <v>31</v>
      </c>
      <c r="N147" s="25">
        <v>13065.4</v>
      </c>
      <c r="O147" s="25">
        <f t="shared" si="20"/>
        <v>405027.39999999997</v>
      </c>
      <c r="P147" s="25">
        <v>6987.63</v>
      </c>
      <c r="Q147" s="25">
        <f t="shared" si="21"/>
        <v>216616.53</v>
      </c>
      <c r="R147" s="25">
        <f t="shared" si="22"/>
        <v>188410.86999999997</v>
      </c>
      <c r="S147" s="26">
        <f t="shared" si="23"/>
        <v>0.46518055321689344</v>
      </c>
    </row>
    <row r="148" spans="1:19" ht="15" x14ac:dyDescent="0.2">
      <c r="A148" s="23">
        <v>45693</v>
      </c>
      <c r="B148">
        <f t="shared" si="16"/>
        <v>2025</v>
      </c>
      <c r="C148">
        <f t="shared" si="17"/>
        <v>2</v>
      </c>
      <c r="D148" t="str">
        <f t="shared" si="18"/>
        <v>Febrero</v>
      </c>
      <c r="E148" t="str">
        <f t="shared" si="19"/>
        <v>T1</v>
      </c>
      <c r="F148" t="s">
        <v>270</v>
      </c>
      <c r="G148" t="s">
        <v>100</v>
      </c>
      <c r="H148" t="s">
        <v>88</v>
      </c>
      <c r="I148" t="s">
        <v>101</v>
      </c>
      <c r="J148" t="s">
        <v>57</v>
      </c>
      <c r="K148" t="s">
        <v>81</v>
      </c>
      <c r="L148" t="s">
        <v>129</v>
      </c>
      <c r="M148" s="24">
        <v>11</v>
      </c>
      <c r="N148" s="25">
        <v>35921.620000000003</v>
      </c>
      <c r="O148" s="25">
        <f t="shared" si="20"/>
        <v>395137.82</v>
      </c>
      <c r="P148" s="25">
        <v>20236.490000000002</v>
      </c>
      <c r="Q148" s="25">
        <f t="shared" si="21"/>
        <v>222601.39</v>
      </c>
      <c r="R148" s="25">
        <f t="shared" si="22"/>
        <v>172536.43</v>
      </c>
      <c r="S148" s="26">
        <f t="shared" si="23"/>
        <v>0.43664873688881511</v>
      </c>
    </row>
    <row r="149" spans="1:19" ht="15" x14ac:dyDescent="0.2">
      <c r="A149" s="23">
        <v>45693</v>
      </c>
      <c r="B149">
        <f t="shared" si="16"/>
        <v>2025</v>
      </c>
      <c r="C149">
        <f t="shared" si="17"/>
        <v>2</v>
      </c>
      <c r="D149" t="str">
        <f t="shared" si="18"/>
        <v>Febrero</v>
      </c>
      <c r="E149" t="str">
        <f t="shared" si="19"/>
        <v>T1</v>
      </c>
      <c r="F149" t="s">
        <v>271</v>
      </c>
      <c r="G149" t="s">
        <v>87</v>
      </c>
      <c r="H149" t="s">
        <v>88</v>
      </c>
      <c r="I149" t="s">
        <v>89</v>
      </c>
      <c r="J149" t="s">
        <v>70</v>
      </c>
      <c r="K149" t="s">
        <v>84</v>
      </c>
      <c r="L149" t="s">
        <v>147</v>
      </c>
      <c r="M149" s="24">
        <v>4</v>
      </c>
      <c r="N149" s="25">
        <v>51381.760000000002</v>
      </c>
      <c r="O149" s="25">
        <f t="shared" si="20"/>
        <v>205527.04000000001</v>
      </c>
      <c r="P149" s="25">
        <v>30497.19</v>
      </c>
      <c r="Q149" s="25">
        <f t="shared" si="21"/>
        <v>121988.76</v>
      </c>
      <c r="R149" s="25">
        <f t="shared" si="22"/>
        <v>83538.280000000013</v>
      </c>
      <c r="S149" s="26">
        <f t="shared" si="23"/>
        <v>0.40645882896965774</v>
      </c>
    </row>
    <row r="150" spans="1:19" ht="15" x14ac:dyDescent="0.2">
      <c r="A150" s="23">
        <v>45693</v>
      </c>
      <c r="B150">
        <f t="shared" si="16"/>
        <v>2025</v>
      </c>
      <c r="C150">
        <f t="shared" si="17"/>
        <v>2</v>
      </c>
      <c r="D150" t="str">
        <f t="shared" si="18"/>
        <v>Febrero</v>
      </c>
      <c r="E150" t="str">
        <f t="shared" si="19"/>
        <v>T1</v>
      </c>
      <c r="F150" t="s">
        <v>272</v>
      </c>
      <c r="G150" t="s">
        <v>92</v>
      </c>
      <c r="H150" t="s">
        <v>93</v>
      </c>
      <c r="I150" t="s">
        <v>94</v>
      </c>
      <c r="J150" t="s">
        <v>57</v>
      </c>
      <c r="K150" t="s">
        <v>58</v>
      </c>
      <c r="L150" t="s">
        <v>59</v>
      </c>
      <c r="M150" s="24">
        <v>1</v>
      </c>
      <c r="N150" s="25">
        <v>25035.26</v>
      </c>
      <c r="O150" s="25">
        <f t="shared" si="20"/>
        <v>25035.26</v>
      </c>
      <c r="P150" s="25">
        <v>14915.5</v>
      </c>
      <c r="Q150" s="25">
        <f t="shared" si="21"/>
        <v>14915.5</v>
      </c>
      <c r="R150" s="25">
        <f t="shared" si="22"/>
        <v>10119.759999999998</v>
      </c>
      <c r="S150" s="26">
        <f t="shared" si="23"/>
        <v>0.40422028770621909</v>
      </c>
    </row>
    <row r="151" spans="1:19" ht="15" x14ac:dyDescent="0.2">
      <c r="A151" s="23">
        <v>45693</v>
      </c>
      <c r="B151">
        <f t="shared" si="16"/>
        <v>2025</v>
      </c>
      <c r="C151">
        <f t="shared" si="17"/>
        <v>2</v>
      </c>
      <c r="D151" t="str">
        <f t="shared" si="18"/>
        <v>Febrero</v>
      </c>
      <c r="E151" t="str">
        <f t="shared" si="19"/>
        <v>T1</v>
      </c>
      <c r="F151" t="s">
        <v>273</v>
      </c>
      <c r="G151" t="s">
        <v>92</v>
      </c>
      <c r="H151" t="s">
        <v>93</v>
      </c>
      <c r="I151" t="s">
        <v>94</v>
      </c>
      <c r="J151" t="s">
        <v>70</v>
      </c>
      <c r="K151" t="s">
        <v>84</v>
      </c>
      <c r="L151" t="s">
        <v>85</v>
      </c>
      <c r="M151" s="24">
        <v>4</v>
      </c>
      <c r="N151" s="25">
        <v>18100.54</v>
      </c>
      <c r="O151" s="25">
        <f t="shared" si="20"/>
        <v>72402.16</v>
      </c>
      <c r="P151" s="25">
        <v>11175.91</v>
      </c>
      <c r="Q151" s="25">
        <f t="shared" si="21"/>
        <v>44703.64</v>
      </c>
      <c r="R151" s="25">
        <f t="shared" si="22"/>
        <v>27698.520000000004</v>
      </c>
      <c r="S151" s="26">
        <f t="shared" si="23"/>
        <v>0.38256482955757126</v>
      </c>
    </row>
    <row r="152" spans="1:19" ht="15" x14ac:dyDescent="0.2">
      <c r="A152" s="23">
        <v>45694</v>
      </c>
      <c r="B152">
        <f t="shared" si="16"/>
        <v>2025</v>
      </c>
      <c r="C152">
        <f t="shared" si="17"/>
        <v>2</v>
      </c>
      <c r="D152" t="str">
        <f t="shared" si="18"/>
        <v>Febrero</v>
      </c>
      <c r="E152" t="str">
        <f t="shared" si="19"/>
        <v>T1</v>
      </c>
      <c r="F152" t="s">
        <v>274</v>
      </c>
      <c r="G152" t="s">
        <v>54</v>
      </c>
      <c r="H152" t="s">
        <v>55</v>
      </c>
      <c r="I152" t="s">
        <v>56</v>
      </c>
      <c r="J152" t="s">
        <v>57</v>
      </c>
      <c r="K152" t="s">
        <v>58</v>
      </c>
      <c r="L152" t="s">
        <v>162</v>
      </c>
      <c r="M152" s="24">
        <v>4</v>
      </c>
      <c r="N152" s="25">
        <v>63149.2</v>
      </c>
      <c r="O152" s="25">
        <f t="shared" si="20"/>
        <v>252596.8</v>
      </c>
      <c r="P152" s="25">
        <v>44825.39</v>
      </c>
      <c r="Q152" s="25">
        <f t="shared" si="21"/>
        <v>179301.56</v>
      </c>
      <c r="R152" s="25">
        <f t="shared" si="22"/>
        <v>73295.239999999991</v>
      </c>
      <c r="S152" s="26">
        <f t="shared" si="23"/>
        <v>0.29016693798179549</v>
      </c>
    </row>
    <row r="153" spans="1:19" ht="15" x14ac:dyDescent="0.2">
      <c r="A153" s="23">
        <v>45694</v>
      </c>
      <c r="B153">
        <f t="shared" si="16"/>
        <v>2025</v>
      </c>
      <c r="C153">
        <f t="shared" si="17"/>
        <v>2</v>
      </c>
      <c r="D153" t="str">
        <f t="shared" si="18"/>
        <v>Febrero</v>
      </c>
      <c r="E153" t="str">
        <f t="shared" si="19"/>
        <v>T1</v>
      </c>
      <c r="F153" t="s">
        <v>275</v>
      </c>
      <c r="G153" t="s">
        <v>110</v>
      </c>
      <c r="H153" t="s">
        <v>62</v>
      </c>
      <c r="I153" t="s">
        <v>69</v>
      </c>
      <c r="J153" t="s">
        <v>57</v>
      </c>
      <c r="K153" t="s">
        <v>81</v>
      </c>
      <c r="L153" t="s">
        <v>129</v>
      </c>
      <c r="M153" s="24">
        <v>55</v>
      </c>
      <c r="N153" s="25">
        <v>6569.03</v>
      </c>
      <c r="O153" s="25">
        <f t="shared" si="20"/>
        <v>361296.64999999997</v>
      </c>
      <c r="P153" s="25">
        <v>5353.93</v>
      </c>
      <c r="Q153" s="25">
        <f t="shared" si="21"/>
        <v>294466.15000000002</v>
      </c>
      <c r="R153" s="25">
        <f t="shared" si="22"/>
        <v>66830.499999999942</v>
      </c>
      <c r="S153" s="26">
        <f t="shared" si="23"/>
        <v>0.18497403726273118</v>
      </c>
    </row>
    <row r="154" spans="1:19" ht="15" x14ac:dyDescent="0.2">
      <c r="A154" s="23">
        <v>45694</v>
      </c>
      <c r="B154">
        <f t="shared" si="16"/>
        <v>2025</v>
      </c>
      <c r="C154">
        <f t="shared" si="17"/>
        <v>2</v>
      </c>
      <c r="D154" t="str">
        <f t="shared" si="18"/>
        <v>Febrero</v>
      </c>
      <c r="E154" t="str">
        <f t="shared" si="19"/>
        <v>T1</v>
      </c>
      <c r="F154" t="s">
        <v>276</v>
      </c>
      <c r="G154" t="s">
        <v>74</v>
      </c>
      <c r="H154" t="s">
        <v>75</v>
      </c>
      <c r="I154" t="s">
        <v>76</v>
      </c>
      <c r="J154" t="s">
        <v>64</v>
      </c>
      <c r="K154" t="s">
        <v>96</v>
      </c>
      <c r="L154" t="s">
        <v>103</v>
      </c>
      <c r="M154" s="24">
        <v>13</v>
      </c>
      <c r="N154" s="25">
        <v>39882.160000000003</v>
      </c>
      <c r="O154" s="25">
        <f t="shared" si="20"/>
        <v>518468.08000000007</v>
      </c>
      <c r="P154" s="25">
        <v>27510.46</v>
      </c>
      <c r="Q154" s="25">
        <f t="shared" si="21"/>
        <v>357635.98</v>
      </c>
      <c r="R154" s="25">
        <f t="shared" si="22"/>
        <v>160832.10000000009</v>
      </c>
      <c r="S154" s="26">
        <f t="shared" si="23"/>
        <v>0.31020636796001033</v>
      </c>
    </row>
    <row r="155" spans="1:19" ht="15" x14ac:dyDescent="0.2">
      <c r="A155" s="23">
        <v>45694</v>
      </c>
      <c r="B155">
        <f t="shared" si="16"/>
        <v>2025</v>
      </c>
      <c r="C155">
        <f t="shared" si="17"/>
        <v>2</v>
      </c>
      <c r="D155" t="str">
        <f t="shared" si="18"/>
        <v>Febrero</v>
      </c>
      <c r="E155" t="str">
        <f t="shared" si="19"/>
        <v>T1</v>
      </c>
      <c r="F155" t="s">
        <v>277</v>
      </c>
      <c r="G155" t="s">
        <v>74</v>
      </c>
      <c r="H155" t="s">
        <v>75</v>
      </c>
      <c r="I155" t="s">
        <v>76</v>
      </c>
      <c r="J155" t="s">
        <v>57</v>
      </c>
      <c r="K155" t="s">
        <v>58</v>
      </c>
      <c r="L155" t="s">
        <v>162</v>
      </c>
      <c r="M155" s="24">
        <v>1</v>
      </c>
      <c r="N155" s="25">
        <v>53904.42</v>
      </c>
      <c r="O155" s="25">
        <f t="shared" si="20"/>
        <v>53904.42</v>
      </c>
      <c r="P155" s="25">
        <v>36714.660000000003</v>
      </c>
      <c r="Q155" s="25">
        <f t="shared" si="21"/>
        <v>36714.660000000003</v>
      </c>
      <c r="R155" s="25">
        <f t="shared" si="22"/>
        <v>17189.759999999995</v>
      </c>
      <c r="S155" s="26">
        <f t="shared" si="23"/>
        <v>0.31889333008313597</v>
      </c>
    </row>
    <row r="156" spans="1:19" ht="15" x14ac:dyDescent="0.2">
      <c r="A156" s="23">
        <v>45694</v>
      </c>
      <c r="B156">
        <f t="shared" si="16"/>
        <v>2025</v>
      </c>
      <c r="C156">
        <f t="shared" si="17"/>
        <v>2</v>
      </c>
      <c r="D156" t="str">
        <f t="shared" si="18"/>
        <v>Febrero</v>
      </c>
      <c r="E156" t="str">
        <f t="shared" si="19"/>
        <v>T1</v>
      </c>
      <c r="F156" t="s">
        <v>278</v>
      </c>
      <c r="G156" t="s">
        <v>74</v>
      </c>
      <c r="H156" t="s">
        <v>75</v>
      </c>
      <c r="I156" t="s">
        <v>76</v>
      </c>
      <c r="J156" t="s">
        <v>125</v>
      </c>
      <c r="K156" t="s">
        <v>138</v>
      </c>
      <c r="L156" t="s">
        <v>142</v>
      </c>
      <c r="M156" s="24">
        <v>1</v>
      </c>
      <c r="N156" s="25">
        <v>6422.7</v>
      </c>
      <c r="O156" s="25">
        <f t="shared" si="20"/>
        <v>6422.7</v>
      </c>
      <c r="P156" s="25">
        <v>4219.0200000000004</v>
      </c>
      <c r="Q156" s="25">
        <f t="shared" si="21"/>
        <v>4219.0200000000004</v>
      </c>
      <c r="R156" s="25">
        <f t="shared" si="22"/>
        <v>2203.6799999999994</v>
      </c>
      <c r="S156" s="26">
        <f t="shared" si="23"/>
        <v>0.34310803867532336</v>
      </c>
    </row>
    <row r="157" spans="1:19" ht="15" x14ac:dyDescent="0.2">
      <c r="A157" s="23">
        <v>45694</v>
      </c>
      <c r="B157">
        <f t="shared" si="16"/>
        <v>2025</v>
      </c>
      <c r="C157">
        <f t="shared" si="17"/>
        <v>2</v>
      </c>
      <c r="D157" t="str">
        <f t="shared" si="18"/>
        <v>Febrero</v>
      </c>
      <c r="E157" t="str">
        <f t="shared" si="19"/>
        <v>T1</v>
      </c>
      <c r="F157" t="s">
        <v>279</v>
      </c>
      <c r="G157" t="s">
        <v>92</v>
      </c>
      <c r="H157" t="s">
        <v>93</v>
      </c>
      <c r="I157" t="s">
        <v>94</v>
      </c>
      <c r="J157" t="s">
        <v>77</v>
      </c>
      <c r="K157" t="s">
        <v>78</v>
      </c>
      <c r="L157" t="s">
        <v>79</v>
      </c>
      <c r="M157" s="24">
        <v>4</v>
      </c>
      <c r="N157" s="25">
        <v>20092.22</v>
      </c>
      <c r="O157" s="25">
        <f t="shared" si="20"/>
        <v>80368.88</v>
      </c>
      <c r="P157" s="25">
        <v>11790.47</v>
      </c>
      <c r="Q157" s="25">
        <f t="shared" si="21"/>
        <v>47161.88</v>
      </c>
      <c r="R157" s="25">
        <f t="shared" si="22"/>
        <v>33207.000000000007</v>
      </c>
      <c r="S157" s="26">
        <f t="shared" si="23"/>
        <v>0.41318231633935926</v>
      </c>
    </row>
    <row r="158" spans="1:19" ht="15" x14ac:dyDescent="0.2">
      <c r="A158" s="23">
        <v>45695</v>
      </c>
      <c r="B158">
        <f t="shared" si="16"/>
        <v>2025</v>
      </c>
      <c r="C158">
        <f t="shared" si="17"/>
        <v>2</v>
      </c>
      <c r="D158" t="str">
        <f t="shared" si="18"/>
        <v>Febrero</v>
      </c>
      <c r="E158" t="str">
        <f t="shared" si="19"/>
        <v>T1</v>
      </c>
      <c r="F158" t="s">
        <v>280</v>
      </c>
      <c r="G158" t="s">
        <v>54</v>
      </c>
      <c r="H158" t="s">
        <v>55</v>
      </c>
      <c r="I158" t="s">
        <v>56</v>
      </c>
      <c r="J158" t="s">
        <v>64</v>
      </c>
      <c r="K158" t="s">
        <v>65</v>
      </c>
      <c r="L158" t="s">
        <v>123</v>
      </c>
      <c r="M158" s="24">
        <v>30</v>
      </c>
      <c r="N158" s="25">
        <v>58264.21</v>
      </c>
      <c r="O158" s="25">
        <f t="shared" si="20"/>
        <v>1747926.3</v>
      </c>
      <c r="P158" s="25">
        <v>41730.68</v>
      </c>
      <c r="Q158" s="25">
        <f t="shared" si="21"/>
        <v>1251920.3999999999</v>
      </c>
      <c r="R158" s="25">
        <f t="shared" si="22"/>
        <v>496005.90000000014</v>
      </c>
      <c r="S158" s="26">
        <f t="shared" si="23"/>
        <v>0.28376820006655895</v>
      </c>
    </row>
    <row r="159" spans="1:19" ht="15" x14ac:dyDescent="0.2">
      <c r="A159" s="23">
        <v>45695</v>
      </c>
      <c r="B159">
        <f t="shared" si="16"/>
        <v>2025</v>
      </c>
      <c r="C159">
        <f t="shared" si="17"/>
        <v>2</v>
      </c>
      <c r="D159" t="str">
        <f t="shared" si="18"/>
        <v>Febrero</v>
      </c>
      <c r="E159" t="str">
        <f t="shared" si="19"/>
        <v>T1</v>
      </c>
      <c r="F159" t="s">
        <v>281</v>
      </c>
      <c r="G159" t="s">
        <v>282</v>
      </c>
      <c r="H159" t="s">
        <v>55</v>
      </c>
      <c r="I159" t="s">
        <v>56</v>
      </c>
      <c r="J159" t="s">
        <v>64</v>
      </c>
      <c r="K159" t="s">
        <v>96</v>
      </c>
      <c r="L159" t="s">
        <v>97</v>
      </c>
      <c r="M159" s="24">
        <v>3</v>
      </c>
      <c r="N159" s="25">
        <v>468725.18</v>
      </c>
      <c r="O159" s="25">
        <f t="shared" si="20"/>
        <v>1406175.54</v>
      </c>
      <c r="P159" s="25">
        <v>338910.81</v>
      </c>
      <c r="Q159" s="25">
        <f t="shared" si="21"/>
        <v>1016732.4299999999</v>
      </c>
      <c r="R159" s="25">
        <f t="shared" si="22"/>
        <v>389443.1100000001</v>
      </c>
      <c r="S159" s="26">
        <f t="shared" si="23"/>
        <v>0.2769519870897485</v>
      </c>
    </row>
    <row r="160" spans="1:19" ht="15" x14ac:dyDescent="0.2">
      <c r="A160" s="23">
        <v>45695</v>
      </c>
      <c r="B160">
        <f t="shared" si="16"/>
        <v>2025</v>
      </c>
      <c r="C160">
        <f t="shared" si="17"/>
        <v>2</v>
      </c>
      <c r="D160" t="str">
        <f t="shared" si="18"/>
        <v>Febrero</v>
      </c>
      <c r="E160" t="str">
        <f t="shared" si="19"/>
        <v>T1</v>
      </c>
      <c r="F160" t="s">
        <v>283</v>
      </c>
      <c r="G160" t="s">
        <v>74</v>
      </c>
      <c r="H160" t="s">
        <v>75</v>
      </c>
      <c r="I160" t="s">
        <v>76</v>
      </c>
      <c r="J160" t="s">
        <v>57</v>
      </c>
      <c r="K160" t="s">
        <v>58</v>
      </c>
      <c r="L160" t="s">
        <v>162</v>
      </c>
      <c r="M160" s="24">
        <v>7</v>
      </c>
      <c r="N160" s="25">
        <v>39884.730000000003</v>
      </c>
      <c r="O160" s="25">
        <f t="shared" si="20"/>
        <v>279193.11000000004</v>
      </c>
      <c r="P160" s="25">
        <v>26803.09</v>
      </c>
      <c r="Q160" s="25">
        <f t="shared" si="21"/>
        <v>187621.63</v>
      </c>
      <c r="R160" s="25">
        <f t="shared" si="22"/>
        <v>91571.48000000004</v>
      </c>
      <c r="S160" s="26">
        <f t="shared" si="23"/>
        <v>0.32798617415737813</v>
      </c>
    </row>
    <row r="161" spans="1:19" ht="15" x14ac:dyDescent="0.2">
      <c r="A161" s="23">
        <v>45696</v>
      </c>
      <c r="B161">
        <f t="shared" si="16"/>
        <v>2025</v>
      </c>
      <c r="C161">
        <f t="shared" si="17"/>
        <v>2</v>
      </c>
      <c r="D161" t="str">
        <f t="shared" si="18"/>
        <v>Febrero</v>
      </c>
      <c r="E161" t="str">
        <f t="shared" si="19"/>
        <v>T1</v>
      </c>
      <c r="F161" t="s">
        <v>284</v>
      </c>
      <c r="G161" t="s">
        <v>54</v>
      </c>
      <c r="H161" t="s">
        <v>55</v>
      </c>
      <c r="I161" t="s">
        <v>56</v>
      </c>
      <c r="J161" t="s">
        <v>77</v>
      </c>
      <c r="K161" t="s">
        <v>107</v>
      </c>
      <c r="L161" t="s">
        <v>108</v>
      </c>
      <c r="M161" s="24">
        <v>6</v>
      </c>
      <c r="N161" s="25">
        <v>68214.75</v>
      </c>
      <c r="O161" s="25">
        <f t="shared" si="20"/>
        <v>409288.5</v>
      </c>
      <c r="P161" s="25">
        <v>44806.99</v>
      </c>
      <c r="Q161" s="25">
        <f t="shared" si="21"/>
        <v>268841.94</v>
      </c>
      <c r="R161" s="25">
        <f t="shared" si="22"/>
        <v>140446.56</v>
      </c>
      <c r="S161" s="26">
        <f t="shared" si="23"/>
        <v>0.3431480728141641</v>
      </c>
    </row>
    <row r="162" spans="1:19" ht="15" x14ac:dyDescent="0.2">
      <c r="A162" s="23">
        <v>45696</v>
      </c>
      <c r="B162">
        <f t="shared" si="16"/>
        <v>2025</v>
      </c>
      <c r="C162">
        <f t="shared" si="17"/>
        <v>2</v>
      </c>
      <c r="D162" t="str">
        <f t="shared" si="18"/>
        <v>Febrero</v>
      </c>
      <c r="E162" t="str">
        <f t="shared" si="19"/>
        <v>T1</v>
      </c>
      <c r="F162" t="s">
        <v>285</v>
      </c>
      <c r="G162" t="s">
        <v>110</v>
      </c>
      <c r="H162" t="s">
        <v>62</v>
      </c>
      <c r="I162" t="s">
        <v>69</v>
      </c>
      <c r="J162" t="s">
        <v>70</v>
      </c>
      <c r="K162" t="s">
        <v>71</v>
      </c>
      <c r="L162" t="s">
        <v>90</v>
      </c>
      <c r="M162" s="24">
        <v>35</v>
      </c>
      <c r="N162" s="25">
        <v>6180.21</v>
      </c>
      <c r="O162" s="25">
        <f t="shared" si="20"/>
        <v>216307.35</v>
      </c>
      <c r="P162" s="25">
        <v>5332.8</v>
      </c>
      <c r="Q162" s="25">
        <f t="shared" si="21"/>
        <v>186648</v>
      </c>
      <c r="R162" s="25">
        <f t="shared" si="22"/>
        <v>29659.350000000006</v>
      </c>
      <c r="S162" s="26">
        <f t="shared" si="23"/>
        <v>0.13711669991796396</v>
      </c>
    </row>
    <row r="163" spans="1:19" ht="15" x14ac:dyDescent="0.2">
      <c r="A163" s="23">
        <v>45696</v>
      </c>
      <c r="B163">
        <f t="shared" si="16"/>
        <v>2025</v>
      </c>
      <c r="C163">
        <f t="shared" si="17"/>
        <v>2</v>
      </c>
      <c r="D163" t="str">
        <f t="shared" si="18"/>
        <v>Febrero</v>
      </c>
      <c r="E163" t="str">
        <f t="shared" si="19"/>
        <v>T1</v>
      </c>
      <c r="F163" t="s">
        <v>286</v>
      </c>
      <c r="G163" t="s">
        <v>144</v>
      </c>
      <c r="H163" t="s">
        <v>88</v>
      </c>
      <c r="I163" t="s">
        <v>145</v>
      </c>
      <c r="J163" t="s">
        <v>77</v>
      </c>
      <c r="K163" t="s">
        <v>107</v>
      </c>
      <c r="L163" t="s">
        <v>108</v>
      </c>
      <c r="M163" s="24">
        <v>5</v>
      </c>
      <c r="N163" s="25">
        <v>12699.08</v>
      </c>
      <c r="O163" s="25">
        <f t="shared" si="20"/>
        <v>63495.4</v>
      </c>
      <c r="P163" s="25">
        <v>6803.7</v>
      </c>
      <c r="Q163" s="25">
        <f t="shared" si="21"/>
        <v>34018.5</v>
      </c>
      <c r="R163" s="25">
        <f t="shared" si="22"/>
        <v>29476.9</v>
      </c>
      <c r="S163" s="26">
        <f t="shared" si="23"/>
        <v>0.46423677935724478</v>
      </c>
    </row>
    <row r="164" spans="1:19" ht="15" x14ac:dyDescent="0.2">
      <c r="A164" s="23">
        <v>45696</v>
      </c>
      <c r="B164">
        <f t="shared" si="16"/>
        <v>2025</v>
      </c>
      <c r="C164">
        <f t="shared" si="17"/>
        <v>2</v>
      </c>
      <c r="D164" t="str">
        <f t="shared" si="18"/>
        <v>Febrero</v>
      </c>
      <c r="E164" t="str">
        <f t="shared" si="19"/>
        <v>T1</v>
      </c>
      <c r="F164" t="s">
        <v>287</v>
      </c>
      <c r="G164" t="s">
        <v>100</v>
      </c>
      <c r="H164" t="s">
        <v>88</v>
      </c>
      <c r="I164" t="s">
        <v>101</v>
      </c>
      <c r="J164" t="s">
        <v>57</v>
      </c>
      <c r="K164" t="s">
        <v>81</v>
      </c>
      <c r="L164" t="s">
        <v>82</v>
      </c>
      <c r="M164" s="24">
        <v>7</v>
      </c>
      <c r="N164" s="25">
        <v>36859.449999999997</v>
      </c>
      <c r="O164" s="25">
        <f t="shared" si="20"/>
        <v>258016.14999999997</v>
      </c>
      <c r="P164" s="25">
        <v>20988.29</v>
      </c>
      <c r="Q164" s="25">
        <f t="shared" si="21"/>
        <v>146918.03</v>
      </c>
      <c r="R164" s="25">
        <f t="shared" si="22"/>
        <v>111098.11999999997</v>
      </c>
      <c r="S164" s="26">
        <f t="shared" si="23"/>
        <v>0.43058591487393322</v>
      </c>
    </row>
    <row r="165" spans="1:19" ht="15" x14ac:dyDescent="0.2">
      <c r="A165" s="23">
        <v>45697</v>
      </c>
      <c r="B165">
        <f t="shared" si="16"/>
        <v>2025</v>
      </c>
      <c r="C165">
        <f t="shared" si="17"/>
        <v>2</v>
      </c>
      <c r="D165" t="str">
        <f t="shared" si="18"/>
        <v>Febrero</v>
      </c>
      <c r="E165" t="str">
        <f t="shared" si="19"/>
        <v>T1</v>
      </c>
      <c r="F165" t="s">
        <v>288</v>
      </c>
      <c r="G165" t="s">
        <v>183</v>
      </c>
      <c r="H165" t="s">
        <v>55</v>
      </c>
      <c r="I165" t="s">
        <v>184</v>
      </c>
      <c r="J165" t="s">
        <v>77</v>
      </c>
      <c r="K165" t="s">
        <v>107</v>
      </c>
      <c r="L165" t="s">
        <v>112</v>
      </c>
      <c r="M165" s="24">
        <v>2</v>
      </c>
      <c r="N165" s="25">
        <v>445168.91</v>
      </c>
      <c r="O165" s="25">
        <f t="shared" si="20"/>
        <v>890337.82</v>
      </c>
      <c r="P165" s="25">
        <v>300782.73</v>
      </c>
      <c r="Q165" s="25">
        <f t="shared" si="21"/>
        <v>601565.46</v>
      </c>
      <c r="R165" s="25">
        <f t="shared" si="22"/>
        <v>288772.36</v>
      </c>
      <c r="S165" s="26">
        <f t="shared" si="23"/>
        <v>0.32434021504331917</v>
      </c>
    </row>
    <row r="166" spans="1:19" ht="15" x14ac:dyDescent="0.2">
      <c r="A166" s="23">
        <v>45697</v>
      </c>
      <c r="B166">
        <f t="shared" si="16"/>
        <v>2025</v>
      </c>
      <c r="C166">
        <f t="shared" si="17"/>
        <v>2</v>
      </c>
      <c r="D166" t="str">
        <f t="shared" si="18"/>
        <v>Febrero</v>
      </c>
      <c r="E166" t="str">
        <f t="shared" si="19"/>
        <v>T1</v>
      </c>
      <c r="F166" t="s">
        <v>289</v>
      </c>
      <c r="G166" t="s">
        <v>68</v>
      </c>
      <c r="H166" t="s">
        <v>62</v>
      </c>
      <c r="I166" t="s">
        <v>69</v>
      </c>
      <c r="J166" t="s">
        <v>57</v>
      </c>
      <c r="K166" t="s">
        <v>58</v>
      </c>
      <c r="L166" t="s">
        <v>162</v>
      </c>
      <c r="M166" s="24">
        <v>125</v>
      </c>
      <c r="N166" s="25">
        <v>3175.5</v>
      </c>
      <c r="O166" s="25">
        <f t="shared" si="20"/>
        <v>396937.5</v>
      </c>
      <c r="P166" s="25">
        <v>2601.1999999999998</v>
      </c>
      <c r="Q166" s="25">
        <f t="shared" si="21"/>
        <v>325150</v>
      </c>
      <c r="R166" s="25">
        <f t="shared" si="22"/>
        <v>71787.5</v>
      </c>
      <c r="S166" s="26">
        <f t="shared" si="23"/>
        <v>0.18085340891198237</v>
      </c>
    </row>
    <row r="167" spans="1:19" ht="15" x14ac:dyDescent="0.2">
      <c r="A167" s="23">
        <v>45697</v>
      </c>
      <c r="B167">
        <f t="shared" si="16"/>
        <v>2025</v>
      </c>
      <c r="C167">
        <f t="shared" si="17"/>
        <v>2</v>
      </c>
      <c r="D167" t="str">
        <f t="shared" si="18"/>
        <v>Febrero</v>
      </c>
      <c r="E167" t="str">
        <f t="shared" si="19"/>
        <v>T1</v>
      </c>
      <c r="F167" t="s">
        <v>290</v>
      </c>
      <c r="G167" t="s">
        <v>114</v>
      </c>
      <c r="H167" t="s">
        <v>75</v>
      </c>
      <c r="I167" t="s">
        <v>115</v>
      </c>
      <c r="J167" t="s">
        <v>125</v>
      </c>
      <c r="K167" t="s">
        <v>126</v>
      </c>
      <c r="L167" t="s">
        <v>127</v>
      </c>
      <c r="M167" s="24">
        <v>2</v>
      </c>
      <c r="N167" s="25">
        <v>112761.14</v>
      </c>
      <c r="O167" s="25">
        <f t="shared" si="20"/>
        <v>225522.28</v>
      </c>
      <c r="P167" s="25">
        <v>75026.539999999994</v>
      </c>
      <c r="Q167" s="25">
        <f t="shared" si="21"/>
        <v>150053.07999999999</v>
      </c>
      <c r="R167" s="25">
        <f t="shared" si="22"/>
        <v>75469.200000000012</v>
      </c>
      <c r="S167" s="26">
        <f t="shared" si="23"/>
        <v>0.3346418810593792</v>
      </c>
    </row>
    <row r="168" spans="1:19" ht="15" x14ac:dyDescent="0.2">
      <c r="A168" s="23">
        <v>45698</v>
      </c>
      <c r="B168">
        <f t="shared" si="16"/>
        <v>2025</v>
      </c>
      <c r="C168">
        <f t="shared" si="17"/>
        <v>2</v>
      </c>
      <c r="D168" t="str">
        <f t="shared" si="18"/>
        <v>Febrero</v>
      </c>
      <c r="E168" t="str">
        <f t="shared" si="19"/>
        <v>T1</v>
      </c>
      <c r="F168" t="s">
        <v>291</v>
      </c>
      <c r="G168" t="s">
        <v>110</v>
      </c>
      <c r="H168" t="s">
        <v>62</v>
      </c>
      <c r="I168" t="s">
        <v>69</v>
      </c>
      <c r="J168" t="s">
        <v>64</v>
      </c>
      <c r="K168" t="s">
        <v>96</v>
      </c>
      <c r="L168" t="s">
        <v>97</v>
      </c>
      <c r="M168" s="24">
        <v>91</v>
      </c>
      <c r="N168" s="25">
        <v>6448.99</v>
      </c>
      <c r="O168" s="25">
        <f t="shared" si="20"/>
        <v>586858.09</v>
      </c>
      <c r="P168" s="25">
        <v>5427.5</v>
      </c>
      <c r="Q168" s="25">
        <f t="shared" si="21"/>
        <v>493902.5</v>
      </c>
      <c r="R168" s="25">
        <f t="shared" si="22"/>
        <v>92955.589999999967</v>
      </c>
      <c r="S168" s="26">
        <f t="shared" si="23"/>
        <v>0.15839534562776492</v>
      </c>
    </row>
    <row r="169" spans="1:19" ht="15" x14ac:dyDescent="0.2">
      <c r="A169" s="23">
        <v>45698</v>
      </c>
      <c r="B169">
        <f t="shared" si="16"/>
        <v>2025</v>
      </c>
      <c r="C169">
        <f t="shared" si="17"/>
        <v>2</v>
      </c>
      <c r="D169" t="str">
        <f t="shared" si="18"/>
        <v>Febrero</v>
      </c>
      <c r="E169" t="str">
        <f t="shared" si="19"/>
        <v>T1</v>
      </c>
      <c r="F169" t="s">
        <v>292</v>
      </c>
      <c r="G169" t="s">
        <v>114</v>
      </c>
      <c r="H169" t="s">
        <v>75</v>
      </c>
      <c r="I169" t="s">
        <v>115</v>
      </c>
      <c r="J169" t="s">
        <v>70</v>
      </c>
      <c r="K169" t="s">
        <v>84</v>
      </c>
      <c r="L169" t="s">
        <v>85</v>
      </c>
      <c r="M169" s="24">
        <v>2</v>
      </c>
      <c r="N169" s="25">
        <v>100406.54</v>
      </c>
      <c r="O169" s="25">
        <f t="shared" si="20"/>
        <v>200813.08</v>
      </c>
      <c r="P169" s="25">
        <v>71766.259999999995</v>
      </c>
      <c r="Q169" s="25">
        <f t="shared" si="21"/>
        <v>143532.51999999999</v>
      </c>
      <c r="R169" s="25">
        <f t="shared" si="22"/>
        <v>57280.56</v>
      </c>
      <c r="S169" s="26">
        <f t="shared" si="23"/>
        <v>0.28524317240689701</v>
      </c>
    </row>
    <row r="170" spans="1:19" ht="15" x14ac:dyDescent="0.2">
      <c r="A170" s="23">
        <v>45698</v>
      </c>
      <c r="B170">
        <f t="shared" si="16"/>
        <v>2025</v>
      </c>
      <c r="C170">
        <f t="shared" si="17"/>
        <v>2</v>
      </c>
      <c r="D170" t="str">
        <f t="shared" si="18"/>
        <v>Febrero</v>
      </c>
      <c r="E170" t="str">
        <f t="shared" si="19"/>
        <v>T1</v>
      </c>
      <c r="F170" t="s">
        <v>293</v>
      </c>
      <c r="G170" t="s">
        <v>74</v>
      </c>
      <c r="H170" t="s">
        <v>75</v>
      </c>
      <c r="I170" t="s">
        <v>76</v>
      </c>
      <c r="J170" t="s">
        <v>70</v>
      </c>
      <c r="K170" t="s">
        <v>71</v>
      </c>
      <c r="L170" t="s">
        <v>72</v>
      </c>
      <c r="M170" s="24">
        <v>7</v>
      </c>
      <c r="N170" s="25">
        <v>38273.97</v>
      </c>
      <c r="O170" s="25">
        <f t="shared" si="20"/>
        <v>267917.79000000004</v>
      </c>
      <c r="P170" s="25">
        <v>27637.56</v>
      </c>
      <c r="Q170" s="25">
        <f t="shared" si="21"/>
        <v>193462.92</v>
      </c>
      <c r="R170" s="25">
        <f t="shared" si="22"/>
        <v>74454.870000000024</v>
      </c>
      <c r="S170" s="26">
        <f t="shared" si="23"/>
        <v>0.27790192655739665</v>
      </c>
    </row>
    <row r="171" spans="1:19" ht="15" x14ac:dyDescent="0.2">
      <c r="A171" s="23">
        <v>45698</v>
      </c>
      <c r="B171">
        <f t="shared" si="16"/>
        <v>2025</v>
      </c>
      <c r="C171">
        <f t="shared" si="17"/>
        <v>2</v>
      </c>
      <c r="D171" t="str">
        <f t="shared" si="18"/>
        <v>Febrero</v>
      </c>
      <c r="E171" t="str">
        <f t="shared" si="19"/>
        <v>T1</v>
      </c>
      <c r="F171" t="s">
        <v>294</v>
      </c>
      <c r="G171" t="s">
        <v>188</v>
      </c>
      <c r="H171" t="s">
        <v>88</v>
      </c>
      <c r="I171" t="s">
        <v>189</v>
      </c>
      <c r="J171" t="s">
        <v>77</v>
      </c>
      <c r="K171" t="s">
        <v>78</v>
      </c>
      <c r="L171" t="s">
        <v>117</v>
      </c>
      <c r="M171" s="24">
        <v>2</v>
      </c>
      <c r="N171" s="25">
        <v>86817.52</v>
      </c>
      <c r="O171" s="25">
        <f t="shared" si="20"/>
        <v>173635.04</v>
      </c>
      <c r="P171" s="25">
        <v>46643.15</v>
      </c>
      <c r="Q171" s="25">
        <f t="shared" si="21"/>
        <v>93286.3</v>
      </c>
      <c r="R171" s="25">
        <f t="shared" si="22"/>
        <v>80348.740000000005</v>
      </c>
      <c r="S171" s="26">
        <f t="shared" si="23"/>
        <v>0.46274496207677895</v>
      </c>
    </row>
    <row r="172" spans="1:19" ht="15" x14ac:dyDescent="0.2">
      <c r="A172" s="23">
        <v>45699</v>
      </c>
      <c r="B172">
        <f t="shared" si="16"/>
        <v>2025</v>
      </c>
      <c r="C172">
        <f t="shared" si="17"/>
        <v>2</v>
      </c>
      <c r="D172" t="str">
        <f t="shared" si="18"/>
        <v>Febrero</v>
      </c>
      <c r="E172" t="str">
        <f t="shared" si="19"/>
        <v>T1</v>
      </c>
      <c r="F172" t="s">
        <v>295</v>
      </c>
      <c r="G172" t="s">
        <v>74</v>
      </c>
      <c r="H172" t="s">
        <v>75</v>
      </c>
      <c r="I172" t="s">
        <v>76</v>
      </c>
      <c r="J172" t="s">
        <v>125</v>
      </c>
      <c r="K172" t="s">
        <v>138</v>
      </c>
      <c r="L172" t="s">
        <v>142</v>
      </c>
      <c r="M172" s="24">
        <v>5</v>
      </c>
      <c r="N172" s="25">
        <v>44563.08</v>
      </c>
      <c r="O172" s="25">
        <f t="shared" si="20"/>
        <v>222815.40000000002</v>
      </c>
      <c r="P172" s="25">
        <v>29953.64</v>
      </c>
      <c r="Q172" s="25">
        <f t="shared" si="21"/>
        <v>149768.20000000001</v>
      </c>
      <c r="R172" s="25">
        <f t="shared" si="22"/>
        <v>73047.200000000012</v>
      </c>
      <c r="S172" s="26">
        <f t="shared" si="23"/>
        <v>0.32783730388474047</v>
      </c>
    </row>
    <row r="173" spans="1:19" ht="15" x14ac:dyDescent="0.2">
      <c r="A173" s="23">
        <v>45699</v>
      </c>
      <c r="B173">
        <f t="shared" si="16"/>
        <v>2025</v>
      </c>
      <c r="C173">
        <f t="shared" si="17"/>
        <v>2</v>
      </c>
      <c r="D173" t="str">
        <f t="shared" si="18"/>
        <v>Febrero</v>
      </c>
      <c r="E173" t="str">
        <f t="shared" si="19"/>
        <v>T1</v>
      </c>
      <c r="F173" t="s">
        <v>296</v>
      </c>
      <c r="G173" t="s">
        <v>92</v>
      </c>
      <c r="H173" t="s">
        <v>93</v>
      </c>
      <c r="I173" t="s">
        <v>94</v>
      </c>
      <c r="J173" t="s">
        <v>57</v>
      </c>
      <c r="K173" t="s">
        <v>81</v>
      </c>
      <c r="L173" t="s">
        <v>82</v>
      </c>
      <c r="M173" s="24">
        <v>1</v>
      </c>
      <c r="N173" s="25">
        <v>23659.119999999999</v>
      </c>
      <c r="O173" s="25">
        <f t="shared" si="20"/>
        <v>23659.119999999999</v>
      </c>
      <c r="P173" s="25">
        <v>14110.23</v>
      </c>
      <c r="Q173" s="25">
        <f t="shared" si="21"/>
        <v>14110.23</v>
      </c>
      <c r="R173" s="25">
        <f t="shared" si="22"/>
        <v>9548.89</v>
      </c>
      <c r="S173" s="26">
        <f t="shared" si="23"/>
        <v>0.4036029235237828</v>
      </c>
    </row>
    <row r="174" spans="1:19" ht="15" x14ac:dyDescent="0.2">
      <c r="A174" s="23">
        <v>45700</v>
      </c>
      <c r="B174">
        <f t="shared" si="16"/>
        <v>2025</v>
      </c>
      <c r="C174">
        <f t="shared" si="17"/>
        <v>2</v>
      </c>
      <c r="D174" t="str">
        <f t="shared" si="18"/>
        <v>Febrero</v>
      </c>
      <c r="E174" t="str">
        <f t="shared" si="19"/>
        <v>T1</v>
      </c>
      <c r="F174" t="s">
        <v>297</v>
      </c>
      <c r="G174" t="s">
        <v>110</v>
      </c>
      <c r="H174" t="s">
        <v>62</v>
      </c>
      <c r="I174" t="s">
        <v>69</v>
      </c>
      <c r="J174" t="s">
        <v>70</v>
      </c>
      <c r="K174" t="s">
        <v>84</v>
      </c>
      <c r="L174" t="s">
        <v>147</v>
      </c>
      <c r="M174" s="24">
        <v>3</v>
      </c>
      <c r="N174" s="25">
        <v>7078.51</v>
      </c>
      <c r="O174" s="25">
        <f t="shared" si="20"/>
        <v>21235.53</v>
      </c>
      <c r="P174" s="25">
        <v>6091.28</v>
      </c>
      <c r="Q174" s="25">
        <f t="shared" si="21"/>
        <v>18273.84</v>
      </c>
      <c r="R174" s="25">
        <f t="shared" si="22"/>
        <v>2961.6899999999987</v>
      </c>
      <c r="S174" s="26">
        <f t="shared" si="23"/>
        <v>0.13946861698295257</v>
      </c>
    </row>
    <row r="175" spans="1:19" ht="15" x14ac:dyDescent="0.2">
      <c r="A175" s="23">
        <v>45700</v>
      </c>
      <c r="B175">
        <f t="shared" si="16"/>
        <v>2025</v>
      </c>
      <c r="C175">
        <f t="shared" si="17"/>
        <v>2</v>
      </c>
      <c r="D175" t="str">
        <f t="shared" si="18"/>
        <v>Febrero</v>
      </c>
      <c r="E175" t="str">
        <f t="shared" si="19"/>
        <v>T1</v>
      </c>
      <c r="F175" t="s">
        <v>298</v>
      </c>
      <c r="G175" t="s">
        <v>114</v>
      </c>
      <c r="H175" t="s">
        <v>75</v>
      </c>
      <c r="I175" t="s">
        <v>115</v>
      </c>
      <c r="J175" t="s">
        <v>125</v>
      </c>
      <c r="K175" t="s">
        <v>138</v>
      </c>
      <c r="L175" t="s">
        <v>139</v>
      </c>
      <c r="M175" s="24">
        <v>4</v>
      </c>
      <c r="N175" s="25">
        <v>96962.11</v>
      </c>
      <c r="O175" s="25">
        <f t="shared" si="20"/>
        <v>387848.44</v>
      </c>
      <c r="P175" s="25">
        <v>63537.13</v>
      </c>
      <c r="Q175" s="25">
        <f t="shared" si="21"/>
        <v>254148.52</v>
      </c>
      <c r="R175" s="25">
        <f t="shared" si="22"/>
        <v>133699.92000000001</v>
      </c>
      <c r="S175" s="26">
        <f t="shared" si="23"/>
        <v>0.34472207752079653</v>
      </c>
    </row>
    <row r="176" spans="1:19" ht="15" x14ac:dyDescent="0.2">
      <c r="A176" s="23">
        <v>45700</v>
      </c>
      <c r="B176">
        <f t="shared" si="16"/>
        <v>2025</v>
      </c>
      <c r="C176">
        <f t="shared" si="17"/>
        <v>2</v>
      </c>
      <c r="D176" t="str">
        <f t="shared" si="18"/>
        <v>Febrero</v>
      </c>
      <c r="E176" t="str">
        <f t="shared" si="19"/>
        <v>T1</v>
      </c>
      <c r="F176" t="s">
        <v>299</v>
      </c>
      <c r="G176" t="s">
        <v>87</v>
      </c>
      <c r="H176" t="s">
        <v>88</v>
      </c>
      <c r="I176" t="s">
        <v>89</v>
      </c>
      <c r="J176" t="s">
        <v>64</v>
      </c>
      <c r="K176" t="s">
        <v>65</v>
      </c>
      <c r="L176" t="s">
        <v>123</v>
      </c>
      <c r="M176" s="24">
        <v>6</v>
      </c>
      <c r="N176" s="25">
        <v>56475.88</v>
      </c>
      <c r="O176" s="25">
        <f t="shared" si="20"/>
        <v>338855.27999999997</v>
      </c>
      <c r="P176" s="25">
        <v>32961.54</v>
      </c>
      <c r="Q176" s="25">
        <f t="shared" si="21"/>
        <v>197769.24</v>
      </c>
      <c r="R176" s="25">
        <f t="shared" si="22"/>
        <v>141086.03999999998</v>
      </c>
      <c r="S176" s="26">
        <f t="shared" si="23"/>
        <v>0.41636075436097675</v>
      </c>
    </row>
    <row r="177" spans="1:19" ht="15" x14ac:dyDescent="0.2">
      <c r="A177" s="23">
        <v>45700</v>
      </c>
      <c r="B177">
        <f t="shared" si="16"/>
        <v>2025</v>
      </c>
      <c r="C177">
        <f t="shared" si="17"/>
        <v>2</v>
      </c>
      <c r="D177" t="str">
        <f t="shared" si="18"/>
        <v>Febrero</v>
      </c>
      <c r="E177" t="str">
        <f t="shared" si="19"/>
        <v>T1</v>
      </c>
      <c r="F177" t="s">
        <v>300</v>
      </c>
      <c r="G177" t="s">
        <v>144</v>
      </c>
      <c r="H177" t="s">
        <v>88</v>
      </c>
      <c r="I177" t="s">
        <v>145</v>
      </c>
      <c r="J177" t="s">
        <v>125</v>
      </c>
      <c r="K177" t="s">
        <v>126</v>
      </c>
      <c r="L177" t="s">
        <v>131</v>
      </c>
      <c r="M177" s="24">
        <v>7</v>
      </c>
      <c r="N177" s="25">
        <v>13162.72</v>
      </c>
      <c r="O177" s="25">
        <f t="shared" si="20"/>
        <v>92139.04</v>
      </c>
      <c r="P177" s="25">
        <v>7207.12</v>
      </c>
      <c r="Q177" s="25">
        <f t="shared" si="21"/>
        <v>50449.84</v>
      </c>
      <c r="R177" s="25">
        <f t="shared" si="22"/>
        <v>41689.199999999997</v>
      </c>
      <c r="S177" s="26">
        <f t="shared" si="23"/>
        <v>0.45245967398835502</v>
      </c>
    </row>
    <row r="178" spans="1:19" ht="15" x14ac:dyDescent="0.2">
      <c r="A178" s="23">
        <v>45700</v>
      </c>
      <c r="B178">
        <f t="shared" si="16"/>
        <v>2025</v>
      </c>
      <c r="C178">
        <f t="shared" si="17"/>
        <v>2</v>
      </c>
      <c r="D178" t="str">
        <f t="shared" si="18"/>
        <v>Febrero</v>
      </c>
      <c r="E178" t="str">
        <f t="shared" si="19"/>
        <v>T1</v>
      </c>
      <c r="F178" t="s">
        <v>301</v>
      </c>
      <c r="G178" t="s">
        <v>92</v>
      </c>
      <c r="H178" t="s">
        <v>93</v>
      </c>
      <c r="I178" t="s">
        <v>94</v>
      </c>
      <c r="J178" t="s">
        <v>57</v>
      </c>
      <c r="K178" t="s">
        <v>58</v>
      </c>
      <c r="L178" t="s">
        <v>59</v>
      </c>
      <c r="M178" s="24">
        <v>4</v>
      </c>
      <c r="N178" s="25">
        <v>18888.48</v>
      </c>
      <c r="O178" s="25">
        <f t="shared" si="20"/>
        <v>75553.919999999998</v>
      </c>
      <c r="P178" s="25">
        <v>11247.26</v>
      </c>
      <c r="Q178" s="25">
        <f t="shared" si="21"/>
        <v>44989.04</v>
      </c>
      <c r="R178" s="25">
        <f t="shared" si="22"/>
        <v>30564.879999999997</v>
      </c>
      <c r="S178" s="26">
        <f t="shared" si="23"/>
        <v>0.40454393365691677</v>
      </c>
    </row>
    <row r="179" spans="1:19" ht="15" x14ac:dyDescent="0.2">
      <c r="A179" s="23">
        <v>45701</v>
      </c>
      <c r="B179">
        <f t="shared" si="16"/>
        <v>2025</v>
      </c>
      <c r="C179">
        <f t="shared" si="17"/>
        <v>2</v>
      </c>
      <c r="D179" t="str">
        <f t="shared" si="18"/>
        <v>Febrero</v>
      </c>
      <c r="E179" t="str">
        <f t="shared" si="19"/>
        <v>T1</v>
      </c>
      <c r="F179" t="s">
        <v>302</v>
      </c>
      <c r="G179" t="s">
        <v>110</v>
      </c>
      <c r="H179" t="s">
        <v>62</v>
      </c>
      <c r="I179" t="s">
        <v>69</v>
      </c>
      <c r="J179" t="s">
        <v>125</v>
      </c>
      <c r="K179" t="s">
        <v>138</v>
      </c>
      <c r="L179" t="s">
        <v>139</v>
      </c>
      <c r="M179" s="24">
        <v>74</v>
      </c>
      <c r="N179" s="25">
        <v>6649.17</v>
      </c>
      <c r="O179" s="25">
        <f t="shared" si="20"/>
        <v>492038.58</v>
      </c>
      <c r="P179" s="25">
        <v>5417.48</v>
      </c>
      <c r="Q179" s="25">
        <f t="shared" si="21"/>
        <v>400893.51999999996</v>
      </c>
      <c r="R179" s="25">
        <f t="shared" si="22"/>
        <v>91145.060000000056</v>
      </c>
      <c r="S179" s="26">
        <f t="shared" si="23"/>
        <v>0.18523966149158477</v>
      </c>
    </row>
    <row r="180" spans="1:19" ht="15" x14ac:dyDescent="0.2">
      <c r="A180" s="23">
        <v>45701</v>
      </c>
      <c r="B180">
        <f t="shared" si="16"/>
        <v>2025</v>
      </c>
      <c r="C180">
        <f t="shared" si="17"/>
        <v>2</v>
      </c>
      <c r="D180" t="str">
        <f t="shared" si="18"/>
        <v>Febrero</v>
      </c>
      <c r="E180" t="str">
        <f t="shared" si="19"/>
        <v>T1</v>
      </c>
      <c r="F180" t="s">
        <v>303</v>
      </c>
      <c r="G180" t="s">
        <v>110</v>
      </c>
      <c r="H180" t="s">
        <v>62</v>
      </c>
      <c r="I180" t="s">
        <v>69</v>
      </c>
      <c r="J180" t="s">
        <v>70</v>
      </c>
      <c r="K180" t="s">
        <v>84</v>
      </c>
      <c r="L180" t="s">
        <v>85</v>
      </c>
      <c r="M180" s="24">
        <v>50</v>
      </c>
      <c r="N180" s="25">
        <v>6285.03</v>
      </c>
      <c r="O180" s="25">
        <f t="shared" si="20"/>
        <v>314251.5</v>
      </c>
      <c r="P180" s="25">
        <v>5351.22</v>
      </c>
      <c r="Q180" s="25">
        <f t="shared" si="21"/>
        <v>267561</v>
      </c>
      <c r="R180" s="25">
        <f t="shared" si="22"/>
        <v>46690.5</v>
      </c>
      <c r="S180" s="26">
        <f t="shared" si="23"/>
        <v>0.14857685643505281</v>
      </c>
    </row>
    <row r="181" spans="1:19" ht="15" x14ac:dyDescent="0.2">
      <c r="A181" s="23">
        <v>45701</v>
      </c>
      <c r="B181">
        <f t="shared" si="16"/>
        <v>2025</v>
      </c>
      <c r="C181">
        <f t="shared" si="17"/>
        <v>2</v>
      </c>
      <c r="D181" t="str">
        <f t="shared" si="18"/>
        <v>Febrero</v>
      </c>
      <c r="E181" t="str">
        <f t="shared" si="19"/>
        <v>T1</v>
      </c>
      <c r="F181" t="s">
        <v>304</v>
      </c>
      <c r="G181" t="s">
        <v>114</v>
      </c>
      <c r="H181" t="s">
        <v>75</v>
      </c>
      <c r="I181" t="s">
        <v>115</v>
      </c>
      <c r="J181" t="s">
        <v>77</v>
      </c>
      <c r="K181" t="s">
        <v>78</v>
      </c>
      <c r="L181" t="s">
        <v>79</v>
      </c>
      <c r="M181" s="24">
        <v>6</v>
      </c>
      <c r="N181" s="25">
        <v>95408.3</v>
      </c>
      <c r="O181" s="25">
        <f t="shared" si="20"/>
        <v>572449.80000000005</v>
      </c>
      <c r="P181" s="25">
        <v>62610.27</v>
      </c>
      <c r="Q181" s="25">
        <f t="shared" si="21"/>
        <v>375661.62</v>
      </c>
      <c r="R181" s="25">
        <f t="shared" si="22"/>
        <v>196788.18000000005</v>
      </c>
      <c r="S181" s="26">
        <f t="shared" si="23"/>
        <v>0.34376495545984997</v>
      </c>
    </row>
    <row r="182" spans="1:19" ht="15" x14ac:dyDescent="0.2">
      <c r="A182" s="23">
        <v>45701</v>
      </c>
      <c r="B182">
        <f t="shared" si="16"/>
        <v>2025</v>
      </c>
      <c r="C182">
        <f t="shared" si="17"/>
        <v>2</v>
      </c>
      <c r="D182" t="str">
        <f t="shared" si="18"/>
        <v>Febrero</v>
      </c>
      <c r="E182" t="str">
        <f t="shared" si="19"/>
        <v>T1</v>
      </c>
      <c r="F182" t="s">
        <v>305</v>
      </c>
      <c r="G182" t="s">
        <v>188</v>
      </c>
      <c r="H182" t="s">
        <v>88</v>
      </c>
      <c r="I182" t="s">
        <v>189</v>
      </c>
      <c r="J182" t="s">
        <v>64</v>
      </c>
      <c r="K182" t="s">
        <v>65</v>
      </c>
      <c r="L182" t="s">
        <v>123</v>
      </c>
      <c r="M182" s="24">
        <v>4</v>
      </c>
      <c r="N182" s="25">
        <v>76964.66</v>
      </c>
      <c r="O182" s="25">
        <f t="shared" si="20"/>
        <v>307858.64</v>
      </c>
      <c r="P182" s="25">
        <v>43859.68</v>
      </c>
      <c r="Q182" s="25">
        <f t="shared" si="21"/>
        <v>175438.72</v>
      </c>
      <c r="R182" s="25">
        <f t="shared" si="22"/>
        <v>132419.92000000001</v>
      </c>
      <c r="S182" s="26">
        <f t="shared" si="23"/>
        <v>0.43013221912498545</v>
      </c>
    </row>
    <row r="183" spans="1:19" ht="15" x14ac:dyDescent="0.2">
      <c r="A183" s="23">
        <v>45701</v>
      </c>
      <c r="B183">
        <f t="shared" si="16"/>
        <v>2025</v>
      </c>
      <c r="C183">
        <f t="shared" si="17"/>
        <v>2</v>
      </c>
      <c r="D183" t="str">
        <f t="shared" si="18"/>
        <v>Febrero</v>
      </c>
      <c r="E183" t="str">
        <f t="shared" si="19"/>
        <v>T1</v>
      </c>
      <c r="F183" t="s">
        <v>306</v>
      </c>
      <c r="G183" t="s">
        <v>87</v>
      </c>
      <c r="H183" t="s">
        <v>88</v>
      </c>
      <c r="I183" t="s">
        <v>89</v>
      </c>
      <c r="J183" t="s">
        <v>77</v>
      </c>
      <c r="K183" t="s">
        <v>78</v>
      </c>
      <c r="L183" t="s">
        <v>117</v>
      </c>
      <c r="M183" s="24">
        <v>2</v>
      </c>
      <c r="N183" s="25">
        <v>74130.100000000006</v>
      </c>
      <c r="O183" s="25">
        <f t="shared" si="20"/>
        <v>148260.20000000001</v>
      </c>
      <c r="P183" s="25">
        <v>39172.43</v>
      </c>
      <c r="Q183" s="25">
        <f t="shared" si="21"/>
        <v>78344.86</v>
      </c>
      <c r="R183" s="25">
        <f t="shared" si="22"/>
        <v>69915.340000000011</v>
      </c>
      <c r="S183" s="26">
        <f t="shared" si="23"/>
        <v>0.4715718716149041</v>
      </c>
    </row>
    <row r="184" spans="1:19" ht="15" x14ac:dyDescent="0.2">
      <c r="A184" s="23">
        <v>45702</v>
      </c>
      <c r="B184">
        <f t="shared" si="16"/>
        <v>2025</v>
      </c>
      <c r="C184">
        <f t="shared" si="17"/>
        <v>2</v>
      </c>
      <c r="D184" t="str">
        <f t="shared" si="18"/>
        <v>Febrero</v>
      </c>
      <c r="E184" t="str">
        <f t="shared" si="19"/>
        <v>T1</v>
      </c>
      <c r="F184" t="s">
        <v>307</v>
      </c>
      <c r="G184" t="s">
        <v>54</v>
      </c>
      <c r="H184" t="s">
        <v>55</v>
      </c>
      <c r="I184" t="s">
        <v>56</v>
      </c>
      <c r="J184" t="s">
        <v>77</v>
      </c>
      <c r="K184" t="s">
        <v>78</v>
      </c>
      <c r="L184" t="s">
        <v>79</v>
      </c>
      <c r="M184" s="24">
        <v>9</v>
      </c>
      <c r="N184" s="25">
        <v>60107.62</v>
      </c>
      <c r="O184" s="25">
        <f t="shared" si="20"/>
        <v>540968.58000000007</v>
      </c>
      <c r="P184" s="25">
        <v>40512.83</v>
      </c>
      <c r="Q184" s="25">
        <f t="shared" si="21"/>
        <v>364615.47000000003</v>
      </c>
      <c r="R184" s="25">
        <f t="shared" si="22"/>
        <v>176353.11000000004</v>
      </c>
      <c r="S184" s="26">
        <f t="shared" si="23"/>
        <v>0.32599510677681137</v>
      </c>
    </row>
    <row r="185" spans="1:19" ht="15" x14ac:dyDescent="0.2">
      <c r="A185" s="23">
        <v>45702</v>
      </c>
      <c r="B185">
        <f t="shared" si="16"/>
        <v>2025</v>
      </c>
      <c r="C185">
        <f t="shared" si="17"/>
        <v>2</v>
      </c>
      <c r="D185" t="str">
        <f t="shared" si="18"/>
        <v>Febrero</v>
      </c>
      <c r="E185" t="str">
        <f t="shared" si="19"/>
        <v>T1</v>
      </c>
      <c r="F185" t="s">
        <v>308</v>
      </c>
      <c r="G185" t="s">
        <v>144</v>
      </c>
      <c r="H185" t="s">
        <v>88</v>
      </c>
      <c r="I185" t="s">
        <v>145</v>
      </c>
      <c r="J185" t="s">
        <v>125</v>
      </c>
      <c r="K185" t="s">
        <v>138</v>
      </c>
      <c r="L185" t="s">
        <v>142</v>
      </c>
      <c r="M185" s="24">
        <v>12</v>
      </c>
      <c r="N185" s="25">
        <v>12478.08</v>
      </c>
      <c r="O185" s="25">
        <f t="shared" si="20"/>
        <v>149736.95999999999</v>
      </c>
      <c r="P185" s="25">
        <v>6779.03</v>
      </c>
      <c r="Q185" s="25">
        <f t="shared" si="21"/>
        <v>81348.36</v>
      </c>
      <c r="R185" s="25">
        <f t="shared" si="22"/>
        <v>68388.599999999991</v>
      </c>
      <c r="S185" s="26">
        <f t="shared" si="23"/>
        <v>0.45672491280709848</v>
      </c>
    </row>
    <row r="186" spans="1:19" ht="15" x14ac:dyDescent="0.2">
      <c r="A186" s="23">
        <v>45702</v>
      </c>
      <c r="B186">
        <f t="shared" si="16"/>
        <v>2025</v>
      </c>
      <c r="C186">
        <f t="shared" si="17"/>
        <v>2</v>
      </c>
      <c r="D186" t="str">
        <f t="shared" si="18"/>
        <v>Febrero</v>
      </c>
      <c r="E186" t="str">
        <f t="shared" si="19"/>
        <v>T1</v>
      </c>
      <c r="F186" t="s">
        <v>309</v>
      </c>
      <c r="G186" t="s">
        <v>92</v>
      </c>
      <c r="H186" t="s">
        <v>93</v>
      </c>
      <c r="I186" t="s">
        <v>94</v>
      </c>
      <c r="J186" t="s">
        <v>64</v>
      </c>
      <c r="K186" t="s">
        <v>65</v>
      </c>
      <c r="L186" t="s">
        <v>66</v>
      </c>
      <c r="M186" s="24">
        <v>12</v>
      </c>
      <c r="N186" s="25">
        <v>20371.55</v>
      </c>
      <c r="O186" s="25">
        <f t="shared" si="20"/>
        <v>244458.59999999998</v>
      </c>
      <c r="P186" s="25">
        <v>12105.91</v>
      </c>
      <c r="Q186" s="25">
        <f t="shared" si="21"/>
        <v>145270.91999999998</v>
      </c>
      <c r="R186" s="25">
        <f t="shared" si="22"/>
        <v>99187.68</v>
      </c>
      <c r="S186" s="26">
        <f t="shared" si="23"/>
        <v>0.40574428553546493</v>
      </c>
    </row>
    <row r="187" spans="1:19" ht="15" x14ac:dyDescent="0.2">
      <c r="A187" s="23">
        <v>45702</v>
      </c>
      <c r="B187">
        <f t="shared" si="16"/>
        <v>2025</v>
      </c>
      <c r="C187">
        <f t="shared" si="17"/>
        <v>2</v>
      </c>
      <c r="D187" t="str">
        <f t="shared" si="18"/>
        <v>Febrero</v>
      </c>
      <c r="E187" t="str">
        <f t="shared" si="19"/>
        <v>T1</v>
      </c>
      <c r="F187" t="s">
        <v>310</v>
      </c>
      <c r="G187" t="s">
        <v>149</v>
      </c>
      <c r="H187" t="s">
        <v>93</v>
      </c>
      <c r="I187" t="s">
        <v>150</v>
      </c>
      <c r="J187" t="s">
        <v>57</v>
      </c>
      <c r="K187" t="s">
        <v>81</v>
      </c>
      <c r="L187" t="s">
        <v>82</v>
      </c>
      <c r="M187" s="24">
        <v>2</v>
      </c>
      <c r="N187" s="25">
        <v>51666.52</v>
      </c>
      <c r="O187" s="25">
        <f t="shared" si="20"/>
        <v>103333.04</v>
      </c>
      <c r="P187" s="25">
        <v>30223.61</v>
      </c>
      <c r="Q187" s="25">
        <f t="shared" si="21"/>
        <v>60447.22</v>
      </c>
      <c r="R187" s="25">
        <f t="shared" si="22"/>
        <v>42885.819999999992</v>
      </c>
      <c r="S187" s="26">
        <f t="shared" si="23"/>
        <v>0.41502524265230167</v>
      </c>
    </row>
    <row r="188" spans="1:19" ht="15" x14ac:dyDescent="0.2">
      <c r="A188" s="23">
        <v>45703</v>
      </c>
      <c r="B188">
        <f t="shared" si="16"/>
        <v>2025</v>
      </c>
      <c r="C188">
        <f t="shared" si="17"/>
        <v>2</v>
      </c>
      <c r="D188" t="str">
        <f t="shared" si="18"/>
        <v>Febrero</v>
      </c>
      <c r="E188" t="str">
        <f t="shared" si="19"/>
        <v>T1</v>
      </c>
      <c r="F188" t="s">
        <v>311</v>
      </c>
      <c r="G188" t="s">
        <v>87</v>
      </c>
      <c r="H188" t="s">
        <v>88</v>
      </c>
      <c r="I188" t="s">
        <v>89</v>
      </c>
      <c r="J188" t="s">
        <v>125</v>
      </c>
      <c r="K188" t="s">
        <v>138</v>
      </c>
      <c r="L188" t="s">
        <v>142</v>
      </c>
      <c r="M188" s="24">
        <v>4</v>
      </c>
      <c r="N188" s="25">
        <v>56410.720000000001</v>
      </c>
      <c r="O188" s="25">
        <f t="shared" si="20"/>
        <v>225642.88</v>
      </c>
      <c r="P188" s="25">
        <v>29921.53</v>
      </c>
      <c r="Q188" s="25">
        <f t="shared" si="21"/>
        <v>119686.12</v>
      </c>
      <c r="R188" s="25">
        <f t="shared" si="22"/>
        <v>105956.76000000001</v>
      </c>
      <c r="S188" s="26">
        <f t="shared" si="23"/>
        <v>0.46957723638343923</v>
      </c>
    </row>
    <row r="189" spans="1:19" ht="15" x14ac:dyDescent="0.2">
      <c r="A189" s="23">
        <v>45703</v>
      </c>
      <c r="B189">
        <f t="shared" si="16"/>
        <v>2025</v>
      </c>
      <c r="C189">
        <f t="shared" si="17"/>
        <v>2</v>
      </c>
      <c r="D189" t="str">
        <f t="shared" si="18"/>
        <v>Febrero</v>
      </c>
      <c r="E189" t="str">
        <f t="shared" si="19"/>
        <v>T1</v>
      </c>
      <c r="F189" t="s">
        <v>312</v>
      </c>
      <c r="G189" t="s">
        <v>188</v>
      </c>
      <c r="H189" t="s">
        <v>88</v>
      </c>
      <c r="I189" t="s">
        <v>189</v>
      </c>
      <c r="J189" t="s">
        <v>125</v>
      </c>
      <c r="K189" t="s">
        <v>126</v>
      </c>
      <c r="L189" t="s">
        <v>127</v>
      </c>
      <c r="M189" s="24">
        <v>3</v>
      </c>
      <c r="N189" s="25">
        <v>64813.51</v>
      </c>
      <c r="O189" s="25">
        <f t="shared" si="20"/>
        <v>194440.53</v>
      </c>
      <c r="P189" s="25">
        <v>36783.69</v>
      </c>
      <c r="Q189" s="25">
        <f t="shared" si="21"/>
        <v>110351.07</v>
      </c>
      <c r="R189" s="25">
        <f t="shared" si="22"/>
        <v>84089.459999999992</v>
      </c>
      <c r="S189" s="26">
        <f t="shared" si="23"/>
        <v>0.43246878621447898</v>
      </c>
    </row>
    <row r="190" spans="1:19" ht="15" x14ac:dyDescent="0.2">
      <c r="A190" s="23">
        <v>45703</v>
      </c>
      <c r="B190">
        <f t="shared" si="16"/>
        <v>2025</v>
      </c>
      <c r="C190">
        <f t="shared" si="17"/>
        <v>2</v>
      </c>
      <c r="D190" t="str">
        <f t="shared" si="18"/>
        <v>Febrero</v>
      </c>
      <c r="E190" t="str">
        <f t="shared" si="19"/>
        <v>T1</v>
      </c>
      <c r="F190" t="s">
        <v>313</v>
      </c>
      <c r="G190" t="s">
        <v>92</v>
      </c>
      <c r="H190" t="s">
        <v>93</v>
      </c>
      <c r="I190" t="s">
        <v>94</v>
      </c>
      <c r="J190" t="s">
        <v>64</v>
      </c>
      <c r="K190" t="s">
        <v>96</v>
      </c>
      <c r="L190" t="s">
        <v>97</v>
      </c>
      <c r="M190" s="24">
        <v>16</v>
      </c>
      <c r="N190" s="25">
        <v>19219.2</v>
      </c>
      <c r="O190" s="25">
        <f t="shared" si="20"/>
        <v>307507.20000000001</v>
      </c>
      <c r="P190" s="25">
        <v>11756.61</v>
      </c>
      <c r="Q190" s="25">
        <f t="shared" si="21"/>
        <v>188105.76</v>
      </c>
      <c r="R190" s="25">
        <f t="shared" si="22"/>
        <v>119401.44</v>
      </c>
      <c r="S190" s="26">
        <f t="shared" si="23"/>
        <v>0.38828827422577422</v>
      </c>
    </row>
    <row r="191" spans="1:19" ht="15" x14ac:dyDescent="0.2">
      <c r="A191" s="23">
        <v>45704</v>
      </c>
      <c r="B191">
        <f t="shared" si="16"/>
        <v>2025</v>
      </c>
      <c r="C191">
        <f t="shared" si="17"/>
        <v>2</v>
      </c>
      <c r="D191" t="str">
        <f t="shared" si="18"/>
        <v>Febrero</v>
      </c>
      <c r="E191" t="str">
        <f t="shared" si="19"/>
        <v>T1</v>
      </c>
      <c r="F191" t="s">
        <v>314</v>
      </c>
      <c r="G191" t="s">
        <v>105</v>
      </c>
      <c r="H191" t="s">
        <v>62</v>
      </c>
      <c r="I191" t="s">
        <v>106</v>
      </c>
      <c r="J191" t="s">
        <v>77</v>
      </c>
      <c r="K191" t="s">
        <v>78</v>
      </c>
      <c r="L191" t="s">
        <v>79</v>
      </c>
      <c r="M191" s="24">
        <v>242</v>
      </c>
      <c r="N191" s="25">
        <v>1846.61</v>
      </c>
      <c r="O191" s="25">
        <f t="shared" si="20"/>
        <v>446879.62</v>
      </c>
      <c r="P191" s="25">
        <v>1497.44</v>
      </c>
      <c r="Q191" s="25">
        <f t="shared" si="21"/>
        <v>362380.48000000004</v>
      </c>
      <c r="R191" s="25">
        <f t="shared" si="22"/>
        <v>84499.139999999956</v>
      </c>
      <c r="S191" s="26">
        <f t="shared" si="23"/>
        <v>0.18908702974640007</v>
      </c>
    </row>
    <row r="192" spans="1:19" ht="15" x14ac:dyDescent="0.2">
      <c r="A192" s="23">
        <v>45704</v>
      </c>
      <c r="B192">
        <f t="shared" si="16"/>
        <v>2025</v>
      </c>
      <c r="C192">
        <f t="shared" si="17"/>
        <v>2</v>
      </c>
      <c r="D192" t="str">
        <f t="shared" si="18"/>
        <v>Febrero</v>
      </c>
      <c r="E192" t="str">
        <f t="shared" si="19"/>
        <v>T1</v>
      </c>
      <c r="F192" t="s">
        <v>315</v>
      </c>
      <c r="G192" t="s">
        <v>114</v>
      </c>
      <c r="H192" t="s">
        <v>75</v>
      </c>
      <c r="I192" t="s">
        <v>115</v>
      </c>
      <c r="J192" t="s">
        <v>64</v>
      </c>
      <c r="K192" t="s">
        <v>65</v>
      </c>
      <c r="L192" t="s">
        <v>123</v>
      </c>
      <c r="M192" s="24">
        <v>12</v>
      </c>
      <c r="N192" s="25">
        <v>96803.95</v>
      </c>
      <c r="O192" s="25">
        <f t="shared" si="20"/>
        <v>1161647.3999999999</v>
      </c>
      <c r="P192" s="25">
        <v>66854.28</v>
      </c>
      <c r="Q192" s="25">
        <f t="shared" si="21"/>
        <v>802251.36</v>
      </c>
      <c r="R192" s="25">
        <f t="shared" si="22"/>
        <v>359396.03999999992</v>
      </c>
      <c r="S192" s="26">
        <f t="shared" si="23"/>
        <v>0.30938479266600172</v>
      </c>
    </row>
    <row r="193" spans="1:19" ht="15" x14ac:dyDescent="0.2">
      <c r="A193" s="23">
        <v>45704</v>
      </c>
      <c r="B193">
        <f t="shared" si="16"/>
        <v>2025</v>
      </c>
      <c r="C193">
        <f t="shared" si="17"/>
        <v>2</v>
      </c>
      <c r="D193" t="str">
        <f t="shared" si="18"/>
        <v>Febrero</v>
      </c>
      <c r="E193" t="str">
        <f t="shared" si="19"/>
        <v>T1</v>
      </c>
      <c r="F193" t="s">
        <v>316</v>
      </c>
      <c r="G193" t="s">
        <v>74</v>
      </c>
      <c r="H193" t="s">
        <v>75</v>
      </c>
      <c r="I193" t="s">
        <v>76</v>
      </c>
      <c r="J193" t="s">
        <v>70</v>
      </c>
      <c r="K193" t="s">
        <v>84</v>
      </c>
      <c r="L193" t="s">
        <v>147</v>
      </c>
      <c r="M193" s="24">
        <v>2</v>
      </c>
      <c r="N193" s="25">
        <v>42807.34</v>
      </c>
      <c r="O193" s="25">
        <f t="shared" si="20"/>
        <v>85614.68</v>
      </c>
      <c r="P193" s="25">
        <v>30116.42</v>
      </c>
      <c r="Q193" s="25">
        <f t="shared" si="21"/>
        <v>60232.84</v>
      </c>
      <c r="R193" s="25">
        <f t="shared" si="22"/>
        <v>25381.839999999997</v>
      </c>
      <c r="S193" s="26">
        <f t="shared" si="23"/>
        <v>0.2964659798997088</v>
      </c>
    </row>
    <row r="194" spans="1:19" ht="15" x14ac:dyDescent="0.2">
      <c r="A194" s="23">
        <v>45704</v>
      </c>
      <c r="B194">
        <f t="shared" ref="B194:B257" si="24">YEAR($A194)</f>
        <v>2025</v>
      </c>
      <c r="C194">
        <f t="shared" ref="C194:C257" si="25">MONTH($A194)</f>
        <v>2</v>
      </c>
      <c r="D194" t="str">
        <f t="shared" ref="D194:D257" si="26">INDEX(lst_Meses,MONTH($A194))</f>
        <v>Febrero</v>
      </c>
      <c r="E194" t="str">
        <f t="shared" ref="E194:E257" si="27">"T"&amp;ROUNDUP(MONTH($A194)/3,0)</f>
        <v>T1</v>
      </c>
      <c r="F194" t="s">
        <v>317</v>
      </c>
      <c r="G194" t="s">
        <v>149</v>
      </c>
      <c r="H194" t="s">
        <v>93</v>
      </c>
      <c r="I194" t="s">
        <v>150</v>
      </c>
      <c r="J194" t="s">
        <v>70</v>
      </c>
      <c r="K194" t="s">
        <v>71</v>
      </c>
      <c r="L194" t="s">
        <v>90</v>
      </c>
      <c r="M194" s="24">
        <v>2</v>
      </c>
      <c r="N194" s="25">
        <v>47959.18</v>
      </c>
      <c r="O194" s="25">
        <f t="shared" ref="O194:O257" si="28">$M194*$N194</f>
        <v>95918.36</v>
      </c>
      <c r="P194" s="25">
        <v>31117.95</v>
      </c>
      <c r="Q194" s="25">
        <f t="shared" ref="Q194:Q257" si="29">$M194*$P194</f>
        <v>62235.9</v>
      </c>
      <c r="R194" s="25">
        <f t="shared" ref="R194:R257" si="30">$O194-$Q194</f>
        <v>33682.46</v>
      </c>
      <c r="S194" s="26">
        <f t="shared" ref="S194:S257" si="31">IFERROR($R194/$O194,0)</f>
        <v>0.35115758859930463</v>
      </c>
    </row>
    <row r="195" spans="1:19" ht="15" x14ac:dyDescent="0.2">
      <c r="A195" s="23">
        <v>45705</v>
      </c>
      <c r="B195">
        <f t="shared" si="24"/>
        <v>2025</v>
      </c>
      <c r="C195">
        <f t="shared" si="25"/>
        <v>2</v>
      </c>
      <c r="D195" t="str">
        <f t="shared" si="26"/>
        <v>Febrero</v>
      </c>
      <c r="E195" t="str">
        <f t="shared" si="27"/>
        <v>T1</v>
      </c>
      <c r="F195" t="s">
        <v>318</v>
      </c>
      <c r="G195" t="s">
        <v>54</v>
      </c>
      <c r="H195" t="s">
        <v>55</v>
      </c>
      <c r="I195" t="s">
        <v>56</v>
      </c>
      <c r="J195" t="s">
        <v>70</v>
      </c>
      <c r="K195" t="s">
        <v>84</v>
      </c>
      <c r="L195" t="s">
        <v>85</v>
      </c>
      <c r="M195" s="24">
        <v>8</v>
      </c>
      <c r="N195" s="25">
        <v>56871.89</v>
      </c>
      <c r="O195" s="25">
        <f t="shared" si="28"/>
        <v>454975.12</v>
      </c>
      <c r="P195" s="25">
        <v>41497.550000000003</v>
      </c>
      <c r="Q195" s="25">
        <f t="shared" si="29"/>
        <v>331980.40000000002</v>
      </c>
      <c r="R195" s="25">
        <f t="shared" si="30"/>
        <v>122994.71999999997</v>
      </c>
      <c r="S195" s="26">
        <f t="shared" si="31"/>
        <v>0.27033284809068236</v>
      </c>
    </row>
    <row r="196" spans="1:19" ht="15" x14ac:dyDescent="0.2">
      <c r="A196" s="23">
        <v>45705</v>
      </c>
      <c r="B196">
        <f t="shared" si="24"/>
        <v>2025</v>
      </c>
      <c r="C196">
        <f t="shared" si="25"/>
        <v>2</v>
      </c>
      <c r="D196" t="str">
        <f t="shared" si="26"/>
        <v>Febrero</v>
      </c>
      <c r="E196" t="str">
        <f t="shared" si="27"/>
        <v>T1</v>
      </c>
      <c r="F196" t="s">
        <v>319</v>
      </c>
      <c r="G196" t="s">
        <v>68</v>
      </c>
      <c r="H196" t="s">
        <v>62</v>
      </c>
      <c r="I196" t="s">
        <v>69</v>
      </c>
      <c r="J196" t="s">
        <v>70</v>
      </c>
      <c r="K196" t="s">
        <v>84</v>
      </c>
      <c r="L196" t="s">
        <v>147</v>
      </c>
      <c r="M196" s="24">
        <v>66</v>
      </c>
      <c r="N196" s="25">
        <v>3071.55</v>
      </c>
      <c r="O196" s="25">
        <f t="shared" si="28"/>
        <v>202722.30000000002</v>
      </c>
      <c r="P196" s="25">
        <v>2613.6</v>
      </c>
      <c r="Q196" s="25">
        <f t="shared" si="29"/>
        <v>172497.6</v>
      </c>
      <c r="R196" s="25">
        <f t="shared" si="30"/>
        <v>30224.700000000012</v>
      </c>
      <c r="S196" s="26">
        <f t="shared" si="31"/>
        <v>0.14909410558187239</v>
      </c>
    </row>
    <row r="197" spans="1:19" ht="15" x14ac:dyDescent="0.2">
      <c r="A197" s="23">
        <v>45705</v>
      </c>
      <c r="B197">
        <f t="shared" si="24"/>
        <v>2025</v>
      </c>
      <c r="C197">
        <f t="shared" si="25"/>
        <v>2</v>
      </c>
      <c r="D197" t="str">
        <f t="shared" si="26"/>
        <v>Febrero</v>
      </c>
      <c r="E197" t="str">
        <f t="shared" si="27"/>
        <v>T1</v>
      </c>
      <c r="F197" t="s">
        <v>320</v>
      </c>
      <c r="G197" t="s">
        <v>68</v>
      </c>
      <c r="H197" t="s">
        <v>62</v>
      </c>
      <c r="I197" t="s">
        <v>69</v>
      </c>
      <c r="J197" t="s">
        <v>70</v>
      </c>
      <c r="K197" t="s">
        <v>71</v>
      </c>
      <c r="L197" t="s">
        <v>90</v>
      </c>
      <c r="M197" s="24">
        <v>58</v>
      </c>
      <c r="N197" s="25">
        <v>3026.08</v>
      </c>
      <c r="O197" s="25">
        <f t="shared" si="28"/>
        <v>175512.63999999998</v>
      </c>
      <c r="P197" s="25">
        <v>2615.39</v>
      </c>
      <c r="Q197" s="25">
        <f t="shared" si="29"/>
        <v>151692.62</v>
      </c>
      <c r="R197" s="25">
        <f t="shared" si="30"/>
        <v>23820.01999999999</v>
      </c>
      <c r="S197" s="26">
        <f t="shared" si="31"/>
        <v>0.1357168349812298</v>
      </c>
    </row>
    <row r="198" spans="1:19" ht="15" x14ac:dyDescent="0.2">
      <c r="A198" s="23">
        <v>45706</v>
      </c>
      <c r="B198">
        <f t="shared" si="24"/>
        <v>2025</v>
      </c>
      <c r="C198">
        <f t="shared" si="25"/>
        <v>2</v>
      </c>
      <c r="D198" t="str">
        <f t="shared" si="26"/>
        <v>Febrero</v>
      </c>
      <c r="E198" t="str">
        <f t="shared" si="27"/>
        <v>T1</v>
      </c>
      <c r="F198" t="s">
        <v>321</v>
      </c>
      <c r="G198" t="s">
        <v>61</v>
      </c>
      <c r="H198" t="s">
        <v>62</v>
      </c>
      <c r="I198" t="s">
        <v>63</v>
      </c>
      <c r="J198" t="s">
        <v>125</v>
      </c>
      <c r="K198" t="s">
        <v>126</v>
      </c>
      <c r="L198" t="s">
        <v>127</v>
      </c>
      <c r="M198" s="24">
        <v>6</v>
      </c>
      <c r="N198" s="25">
        <v>5570.52</v>
      </c>
      <c r="O198" s="25">
        <f t="shared" si="28"/>
        <v>33423.120000000003</v>
      </c>
      <c r="P198" s="25">
        <v>4574.5600000000004</v>
      </c>
      <c r="Q198" s="25">
        <f t="shared" si="29"/>
        <v>27447.360000000001</v>
      </c>
      <c r="R198" s="25">
        <f t="shared" si="30"/>
        <v>5975.760000000002</v>
      </c>
      <c r="S198" s="26">
        <f t="shared" si="31"/>
        <v>0.17879120800212553</v>
      </c>
    </row>
    <row r="199" spans="1:19" ht="15" x14ac:dyDescent="0.2">
      <c r="A199" s="23">
        <v>45706</v>
      </c>
      <c r="B199">
        <f t="shared" si="24"/>
        <v>2025</v>
      </c>
      <c r="C199">
        <f t="shared" si="25"/>
        <v>2</v>
      </c>
      <c r="D199" t="str">
        <f t="shared" si="26"/>
        <v>Febrero</v>
      </c>
      <c r="E199" t="str">
        <f t="shared" si="27"/>
        <v>T1</v>
      </c>
      <c r="F199" t="s">
        <v>322</v>
      </c>
      <c r="G199" t="s">
        <v>114</v>
      </c>
      <c r="H199" t="s">
        <v>75</v>
      </c>
      <c r="I199" t="s">
        <v>115</v>
      </c>
      <c r="J199" t="s">
        <v>57</v>
      </c>
      <c r="K199" t="s">
        <v>81</v>
      </c>
      <c r="L199" t="s">
        <v>129</v>
      </c>
      <c r="M199" s="24">
        <v>5</v>
      </c>
      <c r="N199" s="25">
        <v>93061.08</v>
      </c>
      <c r="O199" s="25">
        <f t="shared" si="28"/>
        <v>465305.4</v>
      </c>
      <c r="P199" s="25">
        <v>61963.29</v>
      </c>
      <c r="Q199" s="25">
        <f t="shared" si="29"/>
        <v>309816.45</v>
      </c>
      <c r="R199" s="25">
        <f t="shared" si="30"/>
        <v>155488.95000000001</v>
      </c>
      <c r="S199" s="26">
        <f t="shared" si="31"/>
        <v>0.33416536751991271</v>
      </c>
    </row>
    <row r="200" spans="1:19" ht="15" x14ac:dyDescent="0.2">
      <c r="A200" s="23">
        <v>45706</v>
      </c>
      <c r="B200">
        <f t="shared" si="24"/>
        <v>2025</v>
      </c>
      <c r="C200">
        <f t="shared" si="25"/>
        <v>2</v>
      </c>
      <c r="D200" t="str">
        <f t="shared" si="26"/>
        <v>Febrero</v>
      </c>
      <c r="E200" t="str">
        <f t="shared" si="27"/>
        <v>T1</v>
      </c>
      <c r="F200" t="s">
        <v>323</v>
      </c>
      <c r="G200" t="s">
        <v>144</v>
      </c>
      <c r="H200" t="s">
        <v>88</v>
      </c>
      <c r="I200" t="s">
        <v>145</v>
      </c>
      <c r="J200" t="s">
        <v>70</v>
      </c>
      <c r="K200" t="s">
        <v>84</v>
      </c>
      <c r="L200" t="s">
        <v>85</v>
      </c>
      <c r="M200" s="24">
        <v>2</v>
      </c>
      <c r="N200" s="25">
        <v>12469.29</v>
      </c>
      <c r="O200" s="25">
        <f t="shared" si="28"/>
        <v>24938.58</v>
      </c>
      <c r="P200" s="25">
        <v>7269.75</v>
      </c>
      <c r="Q200" s="25">
        <f t="shared" si="29"/>
        <v>14539.5</v>
      </c>
      <c r="R200" s="25">
        <f t="shared" si="30"/>
        <v>10399.080000000002</v>
      </c>
      <c r="S200" s="26">
        <f t="shared" si="31"/>
        <v>0.41698765527147097</v>
      </c>
    </row>
    <row r="201" spans="1:19" ht="15" x14ac:dyDescent="0.2">
      <c r="A201" s="23">
        <v>45706</v>
      </c>
      <c r="B201">
        <f t="shared" si="24"/>
        <v>2025</v>
      </c>
      <c r="C201">
        <f t="shared" si="25"/>
        <v>2</v>
      </c>
      <c r="D201" t="str">
        <f t="shared" si="26"/>
        <v>Febrero</v>
      </c>
      <c r="E201" t="str">
        <f t="shared" si="27"/>
        <v>T1</v>
      </c>
      <c r="F201" t="s">
        <v>324</v>
      </c>
      <c r="G201" t="s">
        <v>149</v>
      </c>
      <c r="H201" t="s">
        <v>93</v>
      </c>
      <c r="I201" t="s">
        <v>150</v>
      </c>
      <c r="J201" t="s">
        <v>77</v>
      </c>
      <c r="K201" t="s">
        <v>107</v>
      </c>
      <c r="L201" t="s">
        <v>112</v>
      </c>
      <c r="M201" s="24">
        <v>6</v>
      </c>
      <c r="N201" s="25">
        <v>47857.66</v>
      </c>
      <c r="O201" s="25">
        <f t="shared" si="28"/>
        <v>287145.96000000002</v>
      </c>
      <c r="P201" s="25">
        <v>26023.49</v>
      </c>
      <c r="Q201" s="25">
        <f t="shared" si="29"/>
        <v>156140.94</v>
      </c>
      <c r="R201" s="25">
        <f t="shared" si="30"/>
        <v>131005.02000000002</v>
      </c>
      <c r="S201" s="26">
        <f t="shared" si="31"/>
        <v>0.45623145803618481</v>
      </c>
    </row>
    <row r="202" spans="1:19" ht="15" x14ac:dyDescent="0.2">
      <c r="A202" s="23">
        <v>45707</v>
      </c>
      <c r="B202">
        <f t="shared" si="24"/>
        <v>2025</v>
      </c>
      <c r="C202">
        <f t="shared" si="25"/>
        <v>2</v>
      </c>
      <c r="D202" t="str">
        <f t="shared" si="26"/>
        <v>Febrero</v>
      </c>
      <c r="E202" t="str">
        <f t="shared" si="27"/>
        <v>T1</v>
      </c>
      <c r="F202" t="s">
        <v>325</v>
      </c>
      <c r="G202" t="s">
        <v>54</v>
      </c>
      <c r="H202" t="s">
        <v>55</v>
      </c>
      <c r="I202" t="s">
        <v>56</v>
      </c>
      <c r="J202" t="s">
        <v>77</v>
      </c>
      <c r="K202" t="s">
        <v>78</v>
      </c>
      <c r="L202" t="s">
        <v>117</v>
      </c>
      <c r="M202" s="24">
        <v>8</v>
      </c>
      <c r="N202" s="25">
        <v>65746.78</v>
      </c>
      <c r="O202" s="25">
        <f t="shared" si="28"/>
        <v>525974.24</v>
      </c>
      <c r="P202" s="25">
        <v>44402.81</v>
      </c>
      <c r="Q202" s="25">
        <f t="shared" si="29"/>
        <v>355222.48</v>
      </c>
      <c r="R202" s="25">
        <f t="shared" si="30"/>
        <v>170751.76</v>
      </c>
      <c r="S202" s="26">
        <f t="shared" si="31"/>
        <v>0.32463901654195082</v>
      </c>
    </row>
    <row r="203" spans="1:19" ht="15" x14ac:dyDescent="0.2">
      <c r="A203" s="23">
        <v>45707</v>
      </c>
      <c r="B203">
        <f t="shared" si="24"/>
        <v>2025</v>
      </c>
      <c r="C203">
        <f t="shared" si="25"/>
        <v>2</v>
      </c>
      <c r="D203" t="str">
        <f t="shared" si="26"/>
        <v>Febrero</v>
      </c>
      <c r="E203" t="str">
        <f t="shared" si="27"/>
        <v>T1</v>
      </c>
      <c r="F203" t="s">
        <v>326</v>
      </c>
      <c r="G203" t="s">
        <v>68</v>
      </c>
      <c r="H203" t="s">
        <v>62</v>
      </c>
      <c r="I203" t="s">
        <v>69</v>
      </c>
      <c r="J203" t="s">
        <v>77</v>
      </c>
      <c r="K203" t="s">
        <v>107</v>
      </c>
      <c r="L203" t="s">
        <v>112</v>
      </c>
      <c r="M203" s="24">
        <v>97</v>
      </c>
      <c r="N203" s="25">
        <v>3367.35</v>
      </c>
      <c r="O203" s="25">
        <f t="shared" si="28"/>
        <v>326632.95</v>
      </c>
      <c r="P203" s="25">
        <v>2606.88</v>
      </c>
      <c r="Q203" s="25">
        <f t="shared" si="29"/>
        <v>252867.36000000002</v>
      </c>
      <c r="R203" s="25">
        <f t="shared" si="30"/>
        <v>73765.59</v>
      </c>
      <c r="S203" s="26">
        <f t="shared" si="31"/>
        <v>0.22583634014878168</v>
      </c>
    </row>
    <row r="204" spans="1:19" ht="15" x14ac:dyDescent="0.2">
      <c r="A204" s="23">
        <v>45707</v>
      </c>
      <c r="B204">
        <f t="shared" si="24"/>
        <v>2025</v>
      </c>
      <c r="C204">
        <f t="shared" si="25"/>
        <v>2</v>
      </c>
      <c r="D204" t="str">
        <f t="shared" si="26"/>
        <v>Febrero</v>
      </c>
      <c r="E204" t="str">
        <f t="shared" si="27"/>
        <v>T1</v>
      </c>
      <c r="F204" t="s">
        <v>327</v>
      </c>
      <c r="G204" t="s">
        <v>92</v>
      </c>
      <c r="H204" t="s">
        <v>93</v>
      </c>
      <c r="I204" t="s">
        <v>94</v>
      </c>
      <c r="J204" t="s">
        <v>64</v>
      </c>
      <c r="K204" t="s">
        <v>96</v>
      </c>
      <c r="L204" t="s">
        <v>103</v>
      </c>
      <c r="M204" s="24">
        <v>11</v>
      </c>
      <c r="N204" s="25">
        <v>19753.77</v>
      </c>
      <c r="O204" s="25">
        <f t="shared" si="28"/>
        <v>217291.47</v>
      </c>
      <c r="P204" s="25">
        <v>12211.86</v>
      </c>
      <c r="Q204" s="25">
        <f t="shared" si="29"/>
        <v>134330.46000000002</v>
      </c>
      <c r="R204" s="25">
        <f t="shared" si="30"/>
        <v>82961.00999999998</v>
      </c>
      <c r="S204" s="26">
        <f t="shared" si="31"/>
        <v>0.38179598122282471</v>
      </c>
    </row>
    <row r="205" spans="1:19" ht="15" x14ac:dyDescent="0.2">
      <c r="A205" s="23">
        <v>45708</v>
      </c>
      <c r="B205">
        <f t="shared" si="24"/>
        <v>2025</v>
      </c>
      <c r="C205">
        <f t="shared" si="25"/>
        <v>2</v>
      </c>
      <c r="D205" t="str">
        <f t="shared" si="26"/>
        <v>Febrero</v>
      </c>
      <c r="E205" t="str">
        <f t="shared" si="27"/>
        <v>T1</v>
      </c>
      <c r="F205" t="s">
        <v>328</v>
      </c>
      <c r="G205" t="s">
        <v>54</v>
      </c>
      <c r="H205" t="s">
        <v>55</v>
      </c>
      <c r="I205" t="s">
        <v>56</v>
      </c>
      <c r="J205" t="s">
        <v>125</v>
      </c>
      <c r="K205" t="s">
        <v>138</v>
      </c>
      <c r="L205" t="s">
        <v>139</v>
      </c>
      <c r="M205" s="24">
        <v>11</v>
      </c>
      <c r="N205" s="25">
        <v>60385.760000000002</v>
      </c>
      <c r="O205" s="25">
        <f t="shared" si="28"/>
        <v>664243.36</v>
      </c>
      <c r="P205" s="25">
        <v>41049.79</v>
      </c>
      <c r="Q205" s="25">
        <f t="shared" si="29"/>
        <v>451547.69</v>
      </c>
      <c r="R205" s="25">
        <f t="shared" si="30"/>
        <v>212695.66999999998</v>
      </c>
      <c r="S205" s="26">
        <f t="shared" si="31"/>
        <v>0.32020744625885306</v>
      </c>
    </row>
    <row r="206" spans="1:19" ht="15" x14ac:dyDescent="0.2">
      <c r="A206" s="23">
        <v>45708</v>
      </c>
      <c r="B206">
        <f t="shared" si="24"/>
        <v>2025</v>
      </c>
      <c r="C206">
        <f t="shared" si="25"/>
        <v>2</v>
      </c>
      <c r="D206" t="str">
        <f t="shared" si="26"/>
        <v>Febrero</v>
      </c>
      <c r="E206" t="str">
        <f t="shared" si="27"/>
        <v>T1</v>
      </c>
      <c r="F206" t="s">
        <v>329</v>
      </c>
      <c r="G206" t="s">
        <v>54</v>
      </c>
      <c r="H206" t="s">
        <v>55</v>
      </c>
      <c r="I206" t="s">
        <v>56</v>
      </c>
      <c r="J206" t="s">
        <v>125</v>
      </c>
      <c r="K206" t="s">
        <v>138</v>
      </c>
      <c r="L206" t="s">
        <v>142</v>
      </c>
      <c r="M206" s="24">
        <v>7</v>
      </c>
      <c r="N206" s="25">
        <v>56971.16</v>
      </c>
      <c r="O206" s="25">
        <f t="shared" si="28"/>
        <v>398798.12</v>
      </c>
      <c r="P206" s="25">
        <v>39640.11</v>
      </c>
      <c r="Q206" s="25">
        <f t="shared" si="29"/>
        <v>277480.77</v>
      </c>
      <c r="R206" s="25">
        <f t="shared" si="30"/>
        <v>121317.34999999998</v>
      </c>
      <c r="S206" s="26">
        <f t="shared" si="31"/>
        <v>0.30420742705607534</v>
      </c>
    </row>
    <row r="207" spans="1:19" ht="15" x14ac:dyDescent="0.2">
      <c r="A207" s="23">
        <v>45708</v>
      </c>
      <c r="B207">
        <f t="shared" si="24"/>
        <v>2025</v>
      </c>
      <c r="C207">
        <f t="shared" si="25"/>
        <v>2</v>
      </c>
      <c r="D207" t="str">
        <f t="shared" si="26"/>
        <v>Febrero</v>
      </c>
      <c r="E207" t="str">
        <f t="shared" si="27"/>
        <v>T1</v>
      </c>
      <c r="F207" t="s">
        <v>330</v>
      </c>
      <c r="G207" t="s">
        <v>100</v>
      </c>
      <c r="H207" t="s">
        <v>88</v>
      </c>
      <c r="I207" t="s">
        <v>101</v>
      </c>
      <c r="J207" t="s">
        <v>64</v>
      </c>
      <c r="K207" t="s">
        <v>96</v>
      </c>
      <c r="L207" t="s">
        <v>103</v>
      </c>
      <c r="M207" s="24">
        <v>18</v>
      </c>
      <c r="N207" s="25">
        <v>35549.78</v>
      </c>
      <c r="O207" s="25">
        <f t="shared" si="28"/>
        <v>639896.04</v>
      </c>
      <c r="P207" s="25">
        <v>20603.669999999998</v>
      </c>
      <c r="Q207" s="25">
        <f t="shared" si="29"/>
        <v>370866.05999999994</v>
      </c>
      <c r="R207" s="25">
        <f t="shared" si="30"/>
        <v>269029.9800000001</v>
      </c>
      <c r="S207" s="26">
        <f t="shared" si="31"/>
        <v>0.42042763696427954</v>
      </c>
    </row>
    <row r="208" spans="1:19" ht="15" x14ac:dyDescent="0.2">
      <c r="A208" s="23">
        <v>45708</v>
      </c>
      <c r="B208">
        <f t="shared" si="24"/>
        <v>2025</v>
      </c>
      <c r="C208">
        <f t="shared" si="25"/>
        <v>2</v>
      </c>
      <c r="D208" t="str">
        <f t="shared" si="26"/>
        <v>Febrero</v>
      </c>
      <c r="E208" t="str">
        <f t="shared" si="27"/>
        <v>T1</v>
      </c>
      <c r="F208" t="s">
        <v>331</v>
      </c>
      <c r="G208" t="s">
        <v>87</v>
      </c>
      <c r="H208" t="s">
        <v>88</v>
      </c>
      <c r="I208" t="s">
        <v>89</v>
      </c>
      <c r="J208" t="s">
        <v>57</v>
      </c>
      <c r="K208" t="s">
        <v>58</v>
      </c>
      <c r="L208" t="s">
        <v>162</v>
      </c>
      <c r="M208" s="24">
        <v>2</v>
      </c>
      <c r="N208" s="25">
        <v>71594.89</v>
      </c>
      <c r="O208" s="25">
        <f t="shared" si="28"/>
        <v>143189.78</v>
      </c>
      <c r="P208" s="25">
        <v>40990.83</v>
      </c>
      <c r="Q208" s="25">
        <f t="shared" si="29"/>
        <v>81981.66</v>
      </c>
      <c r="R208" s="25">
        <f t="shared" si="30"/>
        <v>61208.119999999995</v>
      </c>
      <c r="S208" s="26">
        <f t="shared" si="31"/>
        <v>0.42746151296552026</v>
      </c>
    </row>
    <row r="209" spans="1:19" ht="15" x14ac:dyDescent="0.2">
      <c r="A209" s="23">
        <v>45708</v>
      </c>
      <c r="B209">
        <f t="shared" si="24"/>
        <v>2025</v>
      </c>
      <c r="C209">
        <f t="shared" si="25"/>
        <v>2</v>
      </c>
      <c r="D209" t="str">
        <f t="shared" si="26"/>
        <v>Febrero</v>
      </c>
      <c r="E209" t="str">
        <f t="shared" si="27"/>
        <v>T1</v>
      </c>
      <c r="F209" t="s">
        <v>332</v>
      </c>
      <c r="G209" t="s">
        <v>87</v>
      </c>
      <c r="H209" t="s">
        <v>88</v>
      </c>
      <c r="I209" t="s">
        <v>89</v>
      </c>
      <c r="J209" t="s">
        <v>70</v>
      </c>
      <c r="K209" t="s">
        <v>84</v>
      </c>
      <c r="L209" t="s">
        <v>147</v>
      </c>
      <c r="M209" s="24">
        <v>3</v>
      </c>
      <c r="N209" s="25">
        <v>53339.47</v>
      </c>
      <c r="O209" s="25">
        <f t="shared" si="28"/>
        <v>160018.41</v>
      </c>
      <c r="P209" s="25">
        <v>30808.25</v>
      </c>
      <c r="Q209" s="25">
        <f t="shared" si="29"/>
        <v>92424.75</v>
      </c>
      <c r="R209" s="25">
        <f t="shared" si="30"/>
        <v>67593.66</v>
      </c>
      <c r="S209" s="26">
        <f t="shared" si="31"/>
        <v>0.42241177124557105</v>
      </c>
    </row>
    <row r="210" spans="1:19" ht="15" x14ac:dyDescent="0.2">
      <c r="A210" s="23">
        <v>45708</v>
      </c>
      <c r="B210">
        <f t="shared" si="24"/>
        <v>2025</v>
      </c>
      <c r="C210">
        <f t="shared" si="25"/>
        <v>2</v>
      </c>
      <c r="D210" t="str">
        <f t="shared" si="26"/>
        <v>Febrero</v>
      </c>
      <c r="E210" t="str">
        <f t="shared" si="27"/>
        <v>T1</v>
      </c>
      <c r="F210" t="s">
        <v>333</v>
      </c>
      <c r="G210" t="s">
        <v>100</v>
      </c>
      <c r="H210" t="s">
        <v>88</v>
      </c>
      <c r="I210" t="s">
        <v>101</v>
      </c>
      <c r="J210" t="s">
        <v>70</v>
      </c>
      <c r="K210" t="s">
        <v>71</v>
      </c>
      <c r="L210" t="s">
        <v>72</v>
      </c>
      <c r="M210" s="24">
        <v>3</v>
      </c>
      <c r="N210" s="25">
        <v>37735.919999999998</v>
      </c>
      <c r="O210" s="25">
        <f t="shared" si="28"/>
        <v>113207.76</v>
      </c>
      <c r="P210" s="25">
        <v>22715.599999999999</v>
      </c>
      <c r="Q210" s="25">
        <f t="shared" si="29"/>
        <v>68146.799999999988</v>
      </c>
      <c r="R210" s="25">
        <f t="shared" si="30"/>
        <v>45060.960000000006</v>
      </c>
      <c r="S210" s="26">
        <f t="shared" si="31"/>
        <v>0.39803773168906448</v>
      </c>
    </row>
    <row r="211" spans="1:19" ht="15" x14ac:dyDescent="0.2">
      <c r="A211" s="23">
        <v>45709</v>
      </c>
      <c r="B211">
        <f t="shared" si="24"/>
        <v>2025</v>
      </c>
      <c r="C211">
        <f t="shared" si="25"/>
        <v>2</v>
      </c>
      <c r="D211" t="str">
        <f t="shared" si="26"/>
        <v>Febrero</v>
      </c>
      <c r="E211" t="str">
        <f t="shared" si="27"/>
        <v>T1</v>
      </c>
      <c r="F211" t="s">
        <v>334</v>
      </c>
      <c r="G211" t="s">
        <v>114</v>
      </c>
      <c r="H211" t="s">
        <v>75</v>
      </c>
      <c r="I211" t="s">
        <v>115</v>
      </c>
      <c r="J211" t="s">
        <v>64</v>
      </c>
      <c r="K211" t="s">
        <v>65</v>
      </c>
      <c r="L211" t="s">
        <v>123</v>
      </c>
      <c r="M211" s="24">
        <v>6</v>
      </c>
      <c r="N211" s="25">
        <v>88870.69</v>
      </c>
      <c r="O211" s="25">
        <f t="shared" si="28"/>
        <v>533224.14</v>
      </c>
      <c r="P211" s="25">
        <v>61018.400000000001</v>
      </c>
      <c r="Q211" s="25">
        <f t="shared" si="29"/>
        <v>366110.4</v>
      </c>
      <c r="R211" s="25">
        <f t="shared" si="30"/>
        <v>167113.74</v>
      </c>
      <c r="S211" s="26">
        <f t="shared" si="31"/>
        <v>0.31340242772954724</v>
      </c>
    </row>
    <row r="212" spans="1:19" ht="15" x14ac:dyDescent="0.2">
      <c r="A212" s="23">
        <v>45709</v>
      </c>
      <c r="B212">
        <f t="shared" si="24"/>
        <v>2025</v>
      </c>
      <c r="C212">
        <f t="shared" si="25"/>
        <v>2</v>
      </c>
      <c r="D212" t="str">
        <f t="shared" si="26"/>
        <v>Febrero</v>
      </c>
      <c r="E212" t="str">
        <f t="shared" si="27"/>
        <v>T1</v>
      </c>
      <c r="F212" t="s">
        <v>335</v>
      </c>
      <c r="G212" t="s">
        <v>92</v>
      </c>
      <c r="H212" t="s">
        <v>93</v>
      </c>
      <c r="I212" t="s">
        <v>94</v>
      </c>
      <c r="J212" t="s">
        <v>64</v>
      </c>
      <c r="K212" t="s">
        <v>65</v>
      </c>
      <c r="L212" t="s">
        <v>123</v>
      </c>
      <c r="M212" s="24">
        <v>3</v>
      </c>
      <c r="N212" s="25">
        <v>19540.509999999998</v>
      </c>
      <c r="O212" s="25">
        <f t="shared" si="28"/>
        <v>58621.53</v>
      </c>
      <c r="P212" s="25">
        <v>11666.76</v>
      </c>
      <c r="Q212" s="25">
        <f t="shared" si="29"/>
        <v>35000.28</v>
      </c>
      <c r="R212" s="25">
        <f t="shared" si="30"/>
        <v>23621.25</v>
      </c>
      <c r="S212" s="26">
        <f t="shared" si="31"/>
        <v>0.40294495895961774</v>
      </c>
    </row>
    <row r="213" spans="1:19" ht="15" x14ac:dyDescent="0.2">
      <c r="A213" s="23">
        <v>45709</v>
      </c>
      <c r="B213">
        <f t="shared" si="24"/>
        <v>2025</v>
      </c>
      <c r="C213">
        <f t="shared" si="25"/>
        <v>2</v>
      </c>
      <c r="D213" t="str">
        <f t="shared" si="26"/>
        <v>Febrero</v>
      </c>
      <c r="E213" t="str">
        <f t="shared" si="27"/>
        <v>T1</v>
      </c>
      <c r="F213" t="s">
        <v>336</v>
      </c>
      <c r="G213" t="s">
        <v>92</v>
      </c>
      <c r="H213" t="s">
        <v>93</v>
      </c>
      <c r="I213" t="s">
        <v>94</v>
      </c>
      <c r="J213" t="s">
        <v>57</v>
      </c>
      <c r="K213" t="s">
        <v>81</v>
      </c>
      <c r="L213" t="s">
        <v>129</v>
      </c>
      <c r="M213" s="24">
        <v>11</v>
      </c>
      <c r="N213" s="25">
        <v>19531.78</v>
      </c>
      <c r="O213" s="25">
        <f t="shared" si="28"/>
        <v>214849.58</v>
      </c>
      <c r="P213" s="25">
        <v>11663.88</v>
      </c>
      <c r="Q213" s="25">
        <f t="shared" si="29"/>
        <v>128302.68</v>
      </c>
      <c r="R213" s="25">
        <f t="shared" si="30"/>
        <v>86546.9</v>
      </c>
      <c r="S213" s="26">
        <f t="shared" si="31"/>
        <v>0.40282554892590433</v>
      </c>
    </row>
    <row r="214" spans="1:19" ht="15" x14ac:dyDescent="0.2">
      <c r="A214" s="23">
        <v>45710</v>
      </c>
      <c r="B214">
        <f t="shared" si="24"/>
        <v>2025</v>
      </c>
      <c r="C214">
        <f t="shared" si="25"/>
        <v>2</v>
      </c>
      <c r="D214" t="str">
        <f t="shared" si="26"/>
        <v>Febrero</v>
      </c>
      <c r="E214" t="str">
        <f t="shared" si="27"/>
        <v>T1</v>
      </c>
      <c r="F214" t="s">
        <v>337</v>
      </c>
      <c r="G214" t="s">
        <v>61</v>
      </c>
      <c r="H214" t="s">
        <v>62</v>
      </c>
      <c r="I214" t="s">
        <v>63</v>
      </c>
      <c r="J214" t="s">
        <v>64</v>
      </c>
      <c r="K214" t="s">
        <v>65</v>
      </c>
      <c r="L214" t="s">
        <v>123</v>
      </c>
      <c r="M214" s="24">
        <v>140</v>
      </c>
      <c r="N214" s="25">
        <v>5732.79</v>
      </c>
      <c r="O214" s="25">
        <f t="shared" si="28"/>
        <v>802590.6</v>
      </c>
      <c r="P214" s="25">
        <v>4816.38</v>
      </c>
      <c r="Q214" s="25">
        <f t="shared" si="29"/>
        <v>674293.20000000007</v>
      </c>
      <c r="R214" s="25">
        <f t="shared" si="30"/>
        <v>128297.39999999991</v>
      </c>
      <c r="S214" s="26">
        <f t="shared" si="31"/>
        <v>0.15985410245273232</v>
      </c>
    </row>
    <row r="215" spans="1:19" ht="15" x14ac:dyDescent="0.2">
      <c r="A215" s="23">
        <v>45710</v>
      </c>
      <c r="B215">
        <f t="shared" si="24"/>
        <v>2025</v>
      </c>
      <c r="C215">
        <f t="shared" si="25"/>
        <v>2</v>
      </c>
      <c r="D215" t="str">
        <f t="shared" si="26"/>
        <v>Febrero</v>
      </c>
      <c r="E215" t="str">
        <f t="shared" si="27"/>
        <v>T1</v>
      </c>
      <c r="F215" t="s">
        <v>338</v>
      </c>
      <c r="G215" t="s">
        <v>87</v>
      </c>
      <c r="H215" t="s">
        <v>88</v>
      </c>
      <c r="I215" t="s">
        <v>89</v>
      </c>
      <c r="J215" t="s">
        <v>64</v>
      </c>
      <c r="K215" t="s">
        <v>96</v>
      </c>
      <c r="L215" t="s">
        <v>97</v>
      </c>
      <c r="M215" s="24">
        <v>5</v>
      </c>
      <c r="N215" s="25">
        <v>57238.13</v>
      </c>
      <c r="O215" s="25">
        <f t="shared" si="28"/>
        <v>286190.64999999997</v>
      </c>
      <c r="P215" s="25">
        <v>32195.26</v>
      </c>
      <c r="Q215" s="25">
        <f t="shared" si="29"/>
        <v>160976.29999999999</v>
      </c>
      <c r="R215" s="25">
        <f t="shared" si="30"/>
        <v>125214.34999999998</v>
      </c>
      <c r="S215" s="26">
        <f t="shared" si="31"/>
        <v>0.43752075757890763</v>
      </c>
    </row>
    <row r="216" spans="1:19" ht="15" x14ac:dyDescent="0.2">
      <c r="A216" s="23">
        <v>45710</v>
      </c>
      <c r="B216">
        <f t="shared" si="24"/>
        <v>2025</v>
      </c>
      <c r="C216">
        <f t="shared" si="25"/>
        <v>2</v>
      </c>
      <c r="D216" t="str">
        <f t="shared" si="26"/>
        <v>Febrero</v>
      </c>
      <c r="E216" t="str">
        <f t="shared" si="27"/>
        <v>T1</v>
      </c>
      <c r="F216" t="s">
        <v>339</v>
      </c>
      <c r="G216" t="s">
        <v>87</v>
      </c>
      <c r="H216" t="s">
        <v>88</v>
      </c>
      <c r="I216" t="s">
        <v>89</v>
      </c>
      <c r="J216" t="s">
        <v>125</v>
      </c>
      <c r="K216" t="s">
        <v>138</v>
      </c>
      <c r="L216" t="s">
        <v>142</v>
      </c>
      <c r="M216" s="24">
        <v>2</v>
      </c>
      <c r="N216" s="25">
        <v>71935.27</v>
      </c>
      <c r="O216" s="25">
        <f t="shared" si="28"/>
        <v>143870.54</v>
      </c>
      <c r="P216" s="25">
        <v>40394.660000000003</v>
      </c>
      <c r="Q216" s="25">
        <f t="shared" si="29"/>
        <v>80789.320000000007</v>
      </c>
      <c r="R216" s="25">
        <f t="shared" si="30"/>
        <v>63081.22</v>
      </c>
      <c r="S216" s="26">
        <f t="shared" si="31"/>
        <v>0.438458213891461</v>
      </c>
    </row>
    <row r="217" spans="1:19" ht="15" x14ac:dyDescent="0.2">
      <c r="A217" s="23">
        <v>45711</v>
      </c>
      <c r="B217">
        <f t="shared" si="24"/>
        <v>2025</v>
      </c>
      <c r="C217">
        <f t="shared" si="25"/>
        <v>2</v>
      </c>
      <c r="D217" t="str">
        <f t="shared" si="26"/>
        <v>Febrero</v>
      </c>
      <c r="E217" t="str">
        <f t="shared" si="27"/>
        <v>T1</v>
      </c>
      <c r="F217" t="s">
        <v>340</v>
      </c>
      <c r="G217" t="s">
        <v>54</v>
      </c>
      <c r="H217" t="s">
        <v>55</v>
      </c>
      <c r="I217" t="s">
        <v>56</v>
      </c>
      <c r="J217" t="s">
        <v>64</v>
      </c>
      <c r="K217" t="s">
        <v>65</v>
      </c>
      <c r="L217" t="s">
        <v>66</v>
      </c>
      <c r="M217" s="24">
        <v>14</v>
      </c>
      <c r="N217" s="25">
        <v>57131.41</v>
      </c>
      <c r="O217" s="25">
        <f t="shared" si="28"/>
        <v>799839.74</v>
      </c>
      <c r="P217" s="25">
        <v>40908.629999999997</v>
      </c>
      <c r="Q217" s="25">
        <f t="shared" si="29"/>
        <v>572720.81999999995</v>
      </c>
      <c r="R217" s="25">
        <f t="shared" si="30"/>
        <v>227118.92000000004</v>
      </c>
      <c r="S217" s="26">
        <f t="shared" si="31"/>
        <v>0.28395553339222684</v>
      </c>
    </row>
    <row r="218" spans="1:19" ht="15" x14ac:dyDescent="0.2">
      <c r="A218" s="23">
        <v>45711</v>
      </c>
      <c r="B218">
        <f t="shared" si="24"/>
        <v>2025</v>
      </c>
      <c r="C218">
        <f t="shared" si="25"/>
        <v>2</v>
      </c>
      <c r="D218" t="str">
        <f t="shared" si="26"/>
        <v>Febrero</v>
      </c>
      <c r="E218" t="str">
        <f t="shared" si="27"/>
        <v>T1</v>
      </c>
      <c r="F218" t="s">
        <v>341</v>
      </c>
      <c r="G218" t="s">
        <v>54</v>
      </c>
      <c r="H218" t="s">
        <v>55</v>
      </c>
      <c r="I218" t="s">
        <v>56</v>
      </c>
      <c r="J218" t="s">
        <v>125</v>
      </c>
      <c r="K218" t="s">
        <v>126</v>
      </c>
      <c r="L218" t="s">
        <v>127</v>
      </c>
      <c r="M218" s="24">
        <v>3</v>
      </c>
      <c r="N218" s="25">
        <v>63299.8</v>
      </c>
      <c r="O218" s="25">
        <f t="shared" si="28"/>
        <v>189899.40000000002</v>
      </c>
      <c r="P218" s="25">
        <v>44628.31</v>
      </c>
      <c r="Q218" s="25">
        <f t="shared" si="29"/>
        <v>133884.93</v>
      </c>
      <c r="R218" s="25">
        <f t="shared" si="30"/>
        <v>56014.47000000003</v>
      </c>
      <c r="S218" s="26">
        <f t="shared" si="31"/>
        <v>0.29496917841762543</v>
      </c>
    </row>
    <row r="219" spans="1:19" ht="15" x14ac:dyDescent="0.2">
      <c r="A219" s="23">
        <v>45711</v>
      </c>
      <c r="B219">
        <f t="shared" si="24"/>
        <v>2025</v>
      </c>
      <c r="C219">
        <f t="shared" si="25"/>
        <v>2</v>
      </c>
      <c r="D219" t="str">
        <f t="shared" si="26"/>
        <v>Febrero</v>
      </c>
      <c r="E219" t="str">
        <f t="shared" si="27"/>
        <v>T1</v>
      </c>
      <c r="F219" t="s">
        <v>342</v>
      </c>
      <c r="G219" t="s">
        <v>114</v>
      </c>
      <c r="H219" t="s">
        <v>75</v>
      </c>
      <c r="I219" t="s">
        <v>115</v>
      </c>
      <c r="J219" t="s">
        <v>57</v>
      </c>
      <c r="K219" t="s">
        <v>81</v>
      </c>
      <c r="L219" t="s">
        <v>82</v>
      </c>
      <c r="M219" s="24">
        <v>3</v>
      </c>
      <c r="N219" s="25">
        <v>107507.68</v>
      </c>
      <c r="O219" s="25">
        <f t="shared" si="28"/>
        <v>322523.03999999998</v>
      </c>
      <c r="P219" s="25">
        <v>72894.06</v>
      </c>
      <c r="Q219" s="25">
        <f t="shared" si="29"/>
        <v>218682.18</v>
      </c>
      <c r="R219" s="25">
        <f t="shared" si="30"/>
        <v>103840.85999999999</v>
      </c>
      <c r="S219" s="26">
        <f t="shared" si="31"/>
        <v>0.32196416107202758</v>
      </c>
    </row>
    <row r="220" spans="1:19" ht="15" x14ac:dyDescent="0.2">
      <c r="A220" s="23">
        <v>45711</v>
      </c>
      <c r="B220">
        <f t="shared" si="24"/>
        <v>2025</v>
      </c>
      <c r="C220">
        <f t="shared" si="25"/>
        <v>2</v>
      </c>
      <c r="D220" t="str">
        <f t="shared" si="26"/>
        <v>Febrero</v>
      </c>
      <c r="E220" t="str">
        <f t="shared" si="27"/>
        <v>T1</v>
      </c>
      <c r="F220" t="s">
        <v>343</v>
      </c>
      <c r="G220" t="s">
        <v>114</v>
      </c>
      <c r="H220" t="s">
        <v>75</v>
      </c>
      <c r="I220" t="s">
        <v>115</v>
      </c>
      <c r="J220" t="s">
        <v>70</v>
      </c>
      <c r="K220" t="s">
        <v>84</v>
      </c>
      <c r="L220" t="s">
        <v>147</v>
      </c>
      <c r="M220" s="24">
        <v>3</v>
      </c>
      <c r="N220" s="25">
        <v>84805.49</v>
      </c>
      <c r="O220" s="25">
        <f t="shared" si="28"/>
        <v>254416.47000000003</v>
      </c>
      <c r="P220" s="25">
        <v>60344.59</v>
      </c>
      <c r="Q220" s="25">
        <f t="shared" si="29"/>
        <v>181033.77</v>
      </c>
      <c r="R220" s="25">
        <f t="shared" si="30"/>
        <v>73382.700000000041</v>
      </c>
      <c r="S220" s="26">
        <f t="shared" si="31"/>
        <v>0.28843533596704662</v>
      </c>
    </row>
    <row r="221" spans="1:19" ht="15" x14ac:dyDescent="0.2">
      <c r="A221" s="23">
        <v>45711</v>
      </c>
      <c r="B221">
        <f t="shared" si="24"/>
        <v>2025</v>
      </c>
      <c r="C221">
        <f t="shared" si="25"/>
        <v>2</v>
      </c>
      <c r="D221" t="str">
        <f t="shared" si="26"/>
        <v>Febrero</v>
      </c>
      <c r="E221" t="str">
        <f t="shared" si="27"/>
        <v>T1</v>
      </c>
      <c r="F221" t="s">
        <v>344</v>
      </c>
      <c r="G221" t="s">
        <v>74</v>
      </c>
      <c r="H221" t="s">
        <v>75</v>
      </c>
      <c r="I221" t="s">
        <v>76</v>
      </c>
      <c r="J221" t="s">
        <v>70</v>
      </c>
      <c r="K221" t="s">
        <v>71</v>
      </c>
      <c r="L221" t="s">
        <v>72</v>
      </c>
      <c r="M221" s="24">
        <v>3</v>
      </c>
      <c r="N221" s="25">
        <v>43927.05</v>
      </c>
      <c r="O221" s="25">
        <f t="shared" si="28"/>
        <v>131781.15000000002</v>
      </c>
      <c r="P221" s="25">
        <v>31875.84</v>
      </c>
      <c r="Q221" s="25">
        <f t="shared" si="29"/>
        <v>95627.520000000004</v>
      </c>
      <c r="R221" s="25">
        <f t="shared" si="30"/>
        <v>36153.630000000019</v>
      </c>
      <c r="S221" s="26">
        <f t="shared" si="31"/>
        <v>0.27434598954402822</v>
      </c>
    </row>
    <row r="222" spans="1:19" ht="15" x14ac:dyDescent="0.2">
      <c r="A222" s="23">
        <v>45711</v>
      </c>
      <c r="B222">
        <f t="shared" si="24"/>
        <v>2025</v>
      </c>
      <c r="C222">
        <f t="shared" si="25"/>
        <v>2</v>
      </c>
      <c r="D222" t="str">
        <f t="shared" si="26"/>
        <v>Febrero</v>
      </c>
      <c r="E222" t="str">
        <f t="shared" si="27"/>
        <v>T1</v>
      </c>
      <c r="F222" t="s">
        <v>345</v>
      </c>
      <c r="G222" t="s">
        <v>149</v>
      </c>
      <c r="H222" t="s">
        <v>93</v>
      </c>
      <c r="I222" t="s">
        <v>150</v>
      </c>
      <c r="J222" t="s">
        <v>77</v>
      </c>
      <c r="K222" t="s">
        <v>107</v>
      </c>
      <c r="L222" t="s">
        <v>108</v>
      </c>
      <c r="M222" s="24">
        <v>4</v>
      </c>
      <c r="N222" s="25">
        <v>42974.85</v>
      </c>
      <c r="O222" s="25">
        <f t="shared" si="28"/>
        <v>171899.4</v>
      </c>
      <c r="P222" s="25">
        <v>23933.71</v>
      </c>
      <c r="Q222" s="25">
        <f t="shared" si="29"/>
        <v>95734.84</v>
      </c>
      <c r="R222" s="25">
        <f t="shared" si="30"/>
        <v>76164.56</v>
      </c>
      <c r="S222" s="26">
        <f t="shared" si="31"/>
        <v>0.44307635745092772</v>
      </c>
    </row>
    <row r="223" spans="1:19" ht="15" x14ac:dyDescent="0.2">
      <c r="A223" s="23">
        <v>45712</v>
      </c>
      <c r="B223">
        <f t="shared" si="24"/>
        <v>2025</v>
      </c>
      <c r="C223">
        <f t="shared" si="25"/>
        <v>2</v>
      </c>
      <c r="D223" t="str">
        <f t="shared" si="26"/>
        <v>Febrero</v>
      </c>
      <c r="E223" t="str">
        <f t="shared" si="27"/>
        <v>T1</v>
      </c>
      <c r="F223" t="s">
        <v>346</v>
      </c>
      <c r="G223" t="s">
        <v>54</v>
      </c>
      <c r="H223" t="s">
        <v>55</v>
      </c>
      <c r="I223" t="s">
        <v>56</v>
      </c>
      <c r="J223" t="s">
        <v>64</v>
      </c>
      <c r="K223" t="s">
        <v>96</v>
      </c>
      <c r="L223" t="s">
        <v>97</v>
      </c>
      <c r="M223" s="24">
        <v>10</v>
      </c>
      <c r="N223" s="25">
        <v>60319.23</v>
      </c>
      <c r="O223" s="25">
        <f t="shared" si="28"/>
        <v>603192.30000000005</v>
      </c>
      <c r="P223" s="25">
        <v>43175</v>
      </c>
      <c r="Q223" s="25">
        <f t="shared" si="29"/>
        <v>431750</v>
      </c>
      <c r="R223" s="25">
        <f t="shared" si="30"/>
        <v>171442.30000000005</v>
      </c>
      <c r="S223" s="26">
        <f t="shared" si="31"/>
        <v>0.28422494783172803</v>
      </c>
    </row>
    <row r="224" spans="1:19" ht="15" x14ac:dyDescent="0.2">
      <c r="A224" s="23">
        <v>45712</v>
      </c>
      <c r="B224">
        <f t="shared" si="24"/>
        <v>2025</v>
      </c>
      <c r="C224">
        <f t="shared" si="25"/>
        <v>2</v>
      </c>
      <c r="D224" t="str">
        <f t="shared" si="26"/>
        <v>Febrero</v>
      </c>
      <c r="E224" t="str">
        <f t="shared" si="27"/>
        <v>T1</v>
      </c>
      <c r="F224" t="s">
        <v>347</v>
      </c>
      <c r="G224" t="s">
        <v>54</v>
      </c>
      <c r="H224" t="s">
        <v>55</v>
      </c>
      <c r="I224" t="s">
        <v>56</v>
      </c>
      <c r="J224" t="s">
        <v>70</v>
      </c>
      <c r="K224" t="s">
        <v>71</v>
      </c>
      <c r="L224" t="s">
        <v>72</v>
      </c>
      <c r="M224" s="24">
        <v>7</v>
      </c>
      <c r="N224" s="25">
        <v>55943.42</v>
      </c>
      <c r="O224" s="25">
        <f t="shared" si="28"/>
        <v>391603.94</v>
      </c>
      <c r="P224" s="25">
        <v>41896.07</v>
      </c>
      <c r="Q224" s="25">
        <f t="shared" si="29"/>
        <v>293272.49</v>
      </c>
      <c r="R224" s="25">
        <f t="shared" si="30"/>
        <v>98331.450000000012</v>
      </c>
      <c r="S224" s="26">
        <f t="shared" si="31"/>
        <v>0.25109923562056097</v>
      </c>
    </row>
    <row r="225" spans="1:19" ht="15" x14ac:dyDescent="0.2">
      <c r="A225" s="23">
        <v>45712</v>
      </c>
      <c r="B225">
        <f t="shared" si="24"/>
        <v>2025</v>
      </c>
      <c r="C225">
        <f t="shared" si="25"/>
        <v>2</v>
      </c>
      <c r="D225" t="str">
        <f t="shared" si="26"/>
        <v>Febrero</v>
      </c>
      <c r="E225" t="str">
        <f t="shared" si="27"/>
        <v>T1</v>
      </c>
      <c r="F225" t="s">
        <v>348</v>
      </c>
      <c r="G225" t="s">
        <v>68</v>
      </c>
      <c r="H225" t="s">
        <v>62</v>
      </c>
      <c r="I225" t="s">
        <v>69</v>
      </c>
      <c r="J225" t="s">
        <v>64</v>
      </c>
      <c r="K225" t="s">
        <v>65</v>
      </c>
      <c r="L225" t="s">
        <v>123</v>
      </c>
      <c r="M225" s="24">
        <v>271</v>
      </c>
      <c r="N225" s="25">
        <v>3113.99</v>
      </c>
      <c r="O225" s="25">
        <f t="shared" si="28"/>
        <v>843891.28999999992</v>
      </c>
      <c r="P225" s="25">
        <v>2602.5</v>
      </c>
      <c r="Q225" s="25">
        <f t="shared" si="29"/>
        <v>705277.5</v>
      </c>
      <c r="R225" s="25">
        <f t="shared" si="30"/>
        <v>138613.78999999992</v>
      </c>
      <c r="S225" s="26">
        <f t="shared" si="31"/>
        <v>0.164255504995199</v>
      </c>
    </row>
    <row r="226" spans="1:19" ht="15" x14ac:dyDescent="0.2">
      <c r="A226" s="23">
        <v>45712</v>
      </c>
      <c r="B226">
        <f t="shared" si="24"/>
        <v>2025</v>
      </c>
      <c r="C226">
        <f t="shared" si="25"/>
        <v>2</v>
      </c>
      <c r="D226" t="str">
        <f t="shared" si="26"/>
        <v>Febrero</v>
      </c>
      <c r="E226" t="str">
        <f t="shared" si="27"/>
        <v>T1</v>
      </c>
      <c r="F226" t="s">
        <v>349</v>
      </c>
      <c r="G226" t="s">
        <v>68</v>
      </c>
      <c r="H226" t="s">
        <v>62</v>
      </c>
      <c r="I226" t="s">
        <v>69</v>
      </c>
      <c r="J226" t="s">
        <v>77</v>
      </c>
      <c r="K226" t="s">
        <v>107</v>
      </c>
      <c r="L226" t="s">
        <v>108</v>
      </c>
      <c r="M226" s="24">
        <v>241</v>
      </c>
      <c r="N226" s="25">
        <v>3305.11</v>
      </c>
      <c r="O226" s="25">
        <f t="shared" si="28"/>
        <v>796531.51</v>
      </c>
      <c r="P226" s="25">
        <v>2600.5500000000002</v>
      </c>
      <c r="Q226" s="25">
        <f t="shared" si="29"/>
        <v>626732.55000000005</v>
      </c>
      <c r="R226" s="25">
        <f t="shared" si="30"/>
        <v>169798.95999999996</v>
      </c>
      <c r="S226" s="26">
        <f t="shared" si="31"/>
        <v>0.2131729352426999</v>
      </c>
    </row>
    <row r="227" spans="1:19" ht="15" x14ac:dyDescent="0.2">
      <c r="A227" s="23">
        <v>45712</v>
      </c>
      <c r="B227">
        <f t="shared" si="24"/>
        <v>2025</v>
      </c>
      <c r="C227">
        <f t="shared" si="25"/>
        <v>2</v>
      </c>
      <c r="D227" t="str">
        <f t="shared" si="26"/>
        <v>Febrero</v>
      </c>
      <c r="E227" t="str">
        <f t="shared" si="27"/>
        <v>T1</v>
      </c>
      <c r="F227" t="s">
        <v>350</v>
      </c>
      <c r="G227" t="s">
        <v>74</v>
      </c>
      <c r="H227" t="s">
        <v>75</v>
      </c>
      <c r="I227" t="s">
        <v>76</v>
      </c>
      <c r="J227" t="s">
        <v>77</v>
      </c>
      <c r="K227" t="s">
        <v>107</v>
      </c>
      <c r="L227" t="s">
        <v>112</v>
      </c>
      <c r="M227" s="24">
        <v>5</v>
      </c>
      <c r="N227" s="25">
        <v>40660.910000000003</v>
      </c>
      <c r="O227" s="25">
        <f t="shared" si="28"/>
        <v>203304.55000000002</v>
      </c>
      <c r="P227" s="25">
        <v>25928.77</v>
      </c>
      <c r="Q227" s="25">
        <f t="shared" si="29"/>
        <v>129643.85</v>
      </c>
      <c r="R227" s="25">
        <f t="shared" si="30"/>
        <v>73660.700000000012</v>
      </c>
      <c r="S227" s="26">
        <f t="shared" si="31"/>
        <v>0.36231702635282881</v>
      </c>
    </row>
    <row r="228" spans="1:19" ht="15" x14ac:dyDescent="0.2">
      <c r="A228" s="23">
        <v>45712</v>
      </c>
      <c r="B228">
        <f t="shared" si="24"/>
        <v>2025</v>
      </c>
      <c r="C228">
        <f t="shared" si="25"/>
        <v>2</v>
      </c>
      <c r="D228" t="str">
        <f t="shared" si="26"/>
        <v>Febrero</v>
      </c>
      <c r="E228" t="str">
        <f t="shared" si="27"/>
        <v>T1</v>
      </c>
      <c r="F228" t="s">
        <v>351</v>
      </c>
      <c r="G228" t="s">
        <v>188</v>
      </c>
      <c r="H228" t="s">
        <v>88</v>
      </c>
      <c r="I228" t="s">
        <v>189</v>
      </c>
      <c r="J228" t="s">
        <v>77</v>
      </c>
      <c r="K228" t="s">
        <v>78</v>
      </c>
      <c r="L228" t="s">
        <v>79</v>
      </c>
      <c r="M228" s="24">
        <v>2</v>
      </c>
      <c r="N228" s="25">
        <v>92634.37</v>
      </c>
      <c r="O228" s="25">
        <f t="shared" si="28"/>
        <v>185268.74</v>
      </c>
      <c r="P228" s="25">
        <v>50363.95</v>
      </c>
      <c r="Q228" s="25">
        <f t="shared" si="29"/>
        <v>100727.9</v>
      </c>
      <c r="R228" s="25">
        <f t="shared" si="30"/>
        <v>84540.84</v>
      </c>
      <c r="S228" s="26">
        <f t="shared" si="31"/>
        <v>0.45631464865578508</v>
      </c>
    </row>
    <row r="229" spans="1:19" ht="15" x14ac:dyDescent="0.2">
      <c r="A229" s="23">
        <v>45712</v>
      </c>
      <c r="B229">
        <f t="shared" si="24"/>
        <v>2025</v>
      </c>
      <c r="C229">
        <f t="shared" si="25"/>
        <v>2</v>
      </c>
      <c r="D229" t="str">
        <f t="shared" si="26"/>
        <v>Febrero</v>
      </c>
      <c r="E229" t="str">
        <f t="shared" si="27"/>
        <v>T1</v>
      </c>
      <c r="F229" t="s">
        <v>352</v>
      </c>
      <c r="G229" t="s">
        <v>92</v>
      </c>
      <c r="H229" t="s">
        <v>93</v>
      </c>
      <c r="I229" t="s">
        <v>94</v>
      </c>
      <c r="J229" t="s">
        <v>125</v>
      </c>
      <c r="K229" t="s">
        <v>138</v>
      </c>
      <c r="L229" t="s">
        <v>139</v>
      </c>
      <c r="M229" s="24">
        <v>7</v>
      </c>
      <c r="N229" s="25">
        <v>19991.32</v>
      </c>
      <c r="O229" s="25">
        <f t="shared" si="28"/>
        <v>139939.24</v>
      </c>
      <c r="P229" s="25">
        <v>11380.67</v>
      </c>
      <c r="Q229" s="25">
        <f t="shared" si="29"/>
        <v>79664.69</v>
      </c>
      <c r="R229" s="25">
        <f t="shared" si="30"/>
        <v>60274.549999999988</v>
      </c>
      <c r="S229" s="26">
        <f t="shared" si="31"/>
        <v>0.43071943223358933</v>
      </c>
    </row>
    <row r="230" spans="1:19" ht="15" x14ac:dyDescent="0.2">
      <c r="A230" s="23">
        <v>45713</v>
      </c>
      <c r="B230">
        <f t="shared" si="24"/>
        <v>2025</v>
      </c>
      <c r="C230">
        <f t="shared" si="25"/>
        <v>2</v>
      </c>
      <c r="D230" t="str">
        <f t="shared" si="26"/>
        <v>Febrero</v>
      </c>
      <c r="E230" t="str">
        <f t="shared" si="27"/>
        <v>T1</v>
      </c>
      <c r="F230" t="s">
        <v>353</v>
      </c>
      <c r="G230" t="s">
        <v>87</v>
      </c>
      <c r="H230" t="s">
        <v>88</v>
      </c>
      <c r="I230" t="s">
        <v>89</v>
      </c>
      <c r="J230" t="s">
        <v>64</v>
      </c>
      <c r="K230" t="s">
        <v>65</v>
      </c>
      <c r="L230" t="s">
        <v>66</v>
      </c>
      <c r="M230" s="24">
        <v>8</v>
      </c>
      <c r="N230" s="25">
        <v>55707.96</v>
      </c>
      <c r="O230" s="25">
        <f t="shared" si="28"/>
        <v>445663.68</v>
      </c>
      <c r="P230" s="25">
        <v>31599.05</v>
      </c>
      <c r="Q230" s="25">
        <f t="shared" si="29"/>
        <v>252792.4</v>
      </c>
      <c r="R230" s="25">
        <f t="shared" si="30"/>
        <v>192871.28</v>
      </c>
      <c r="S230" s="26">
        <f t="shared" si="31"/>
        <v>0.43277316204003879</v>
      </c>
    </row>
    <row r="231" spans="1:19" ht="15" x14ac:dyDescent="0.2">
      <c r="A231" s="23">
        <v>45713</v>
      </c>
      <c r="B231">
        <f t="shared" si="24"/>
        <v>2025</v>
      </c>
      <c r="C231">
        <f t="shared" si="25"/>
        <v>2</v>
      </c>
      <c r="D231" t="str">
        <f t="shared" si="26"/>
        <v>Febrero</v>
      </c>
      <c r="E231" t="str">
        <f t="shared" si="27"/>
        <v>T1</v>
      </c>
      <c r="F231" t="s">
        <v>354</v>
      </c>
      <c r="G231" t="s">
        <v>149</v>
      </c>
      <c r="H231" t="s">
        <v>93</v>
      </c>
      <c r="I231" t="s">
        <v>150</v>
      </c>
      <c r="J231" t="s">
        <v>77</v>
      </c>
      <c r="K231" t="s">
        <v>78</v>
      </c>
      <c r="L231" t="s">
        <v>117</v>
      </c>
      <c r="M231" s="24">
        <v>5</v>
      </c>
      <c r="N231" s="25">
        <v>40464.42</v>
      </c>
      <c r="O231" s="25">
        <f t="shared" si="28"/>
        <v>202322.09999999998</v>
      </c>
      <c r="P231" s="25">
        <v>23953.85</v>
      </c>
      <c r="Q231" s="25">
        <f t="shared" si="29"/>
        <v>119769.25</v>
      </c>
      <c r="R231" s="25">
        <f t="shared" si="30"/>
        <v>82552.849999999977</v>
      </c>
      <c r="S231" s="26">
        <f t="shared" si="31"/>
        <v>0.40802685420920398</v>
      </c>
    </row>
    <row r="232" spans="1:19" ht="15" x14ac:dyDescent="0.2">
      <c r="A232" s="23">
        <v>45713</v>
      </c>
      <c r="B232">
        <f t="shared" si="24"/>
        <v>2025</v>
      </c>
      <c r="C232">
        <f t="shared" si="25"/>
        <v>2</v>
      </c>
      <c r="D232" t="str">
        <f t="shared" si="26"/>
        <v>Febrero</v>
      </c>
      <c r="E232" t="str">
        <f t="shared" si="27"/>
        <v>T1</v>
      </c>
      <c r="F232" t="s">
        <v>355</v>
      </c>
      <c r="G232" t="s">
        <v>149</v>
      </c>
      <c r="H232" t="s">
        <v>93</v>
      </c>
      <c r="I232" t="s">
        <v>150</v>
      </c>
      <c r="J232" t="s">
        <v>57</v>
      </c>
      <c r="K232" t="s">
        <v>58</v>
      </c>
      <c r="L232" t="s">
        <v>59</v>
      </c>
      <c r="M232" s="24">
        <v>3</v>
      </c>
      <c r="N232" s="25">
        <v>38226.910000000003</v>
      </c>
      <c r="O232" s="25">
        <f t="shared" si="28"/>
        <v>114680.73000000001</v>
      </c>
      <c r="P232" s="25">
        <v>22602.13</v>
      </c>
      <c r="Q232" s="25">
        <f t="shared" si="29"/>
        <v>67806.39</v>
      </c>
      <c r="R232" s="25">
        <f t="shared" si="30"/>
        <v>46874.340000000011</v>
      </c>
      <c r="S232" s="26">
        <f t="shared" si="31"/>
        <v>0.40873771905707268</v>
      </c>
    </row>
    <row r="233" spans="1:19" ht="15" x14ac:dyDescent="0.2">
      <c r="A233" s="23">
        <v>45713</v>
      </c>
      <c r="B233">
        <f t="shared" si="24"/>
        <v>2025</v>
      </c>
      <c r="C233">
        <f t="shared" si="25"/>
        <v>2</v>
      </c>
      <c r="D233" t="str">
        <f t="shared" si="26"/>
        <v>Febrero</v>
      </c>
      <c r="E233" t="str">
        <f t="shared" si="27"/>
        <v>T1</v>
      </c>
      <c r="F233" t="s">
        <v>356</v>
      </c>
      <c r="G233" t="s">
        <v>92</v>
      </c>
      <c r="H233" t="s">
        <v>93</v>
      </c>
      <c r="I233" t="s">
        <v>94</v>
      </c>
      <c r="J233" t="s">
        <v>70</v>
      </c>
      <c r="K233" t="s">
        <v>71</v>
      </c>
      <c r="L233" t="s">
        <v>72</v>
      </c>
      <c r="M233" s="24">
        <v>4</v>
      </c>
      <c r="N233" s="25">
        <v>18898.82</v>
      </c>
      <c r="O233" s="25">
        <f t="shared" si="28"/>
        <v>75595.28</v>
      </c>
      <c r="P233" s="25">
        <v>12242.85</v>
      </c>
      <c r="Q233" s="25">
        <f t="shared" si="29"/>
        <v>48971.4</v>
      </c>
      <c r="R233" s="25">
        <f t="shared" si="30"/>
        <v>26623.879999999997</v>
      </c>
      <c r="S233" s="26">
        <f t="shared" si="31"/>
        <v>0.35218971343184385</v>
      </c>
    </row>
    <row r="234" spans="1:19" ht="15" x14ac:dyDescent="0.2">
      <c r="A234" s="23">
        <v>45714</v>
      </c>
      <c r="B234">
        <f t="shared" si="24"/>
        <v>2025</v>
      </c>
      <c r="C234">
        <f t="shared" si="25"/>
        <v>2</v>
      </c>
      <c r="D234" t="str">
        <f t="shared" si="26"/>
        <v>Febrero</v>
      </c>
      <c r="E234" t="str">
        <f t="shared" si="27"/>
        <v>T1</v>
      </c>
      <c r="F234" t="s">
        <v>357</v>
      </c>
      <c r="G234" t="s">
        <v>105</v>
      </c>
      <c r="H234" t="s">
        <v>62</v>
      </c>
      <c r="I234" t="s">
        <v>106</v>
      </c>
      <c r="J234" t="s">
        <v>57</v>
      </c>
      <c r="K234" t="s">
        <v>58</v>
      </c>
      <c r="L234" t="s">
        <v>162</v>
      </c>
      <c r="M234" s="24">
        <v>154</v>
      </c>
      <c r="N234" s="25">
        <v>1806.5</v>
      </c>
      <c r="O234" s="25">
        <f t="shared" si="28"/>
        <v>278201</v>
      </c>
      <c r="P234" s="25">
        <v>1500.8</v>
      </c>
      <c r="Q234" s="25">
        <f t="shared" si="29"/>
        <v>231123.19999999998</v>
      </c>
      <c r="R234" s="25">
        <f t="shared" si="30"/>
        <v>47077.800000000017</v>
      </c>
      <c r="S234" s="26">
        <f t="shared" si="31"/>
        <v>0.1692222529753668</v>
      </c>
    </row>
    <row r="235" spans="1:19" ht="15" x14ac:dyDescent="0.2">
      <c r="A235" s="23">
        <v>45714</v>
      </c>
      <c r="B235">
        <f t="shared" si="24"/>
        <v>2025</v>
      </c>
      <c r="C235">
        <f t="shared" si="25"/>
        <v>2</v>
      </c>
      <c r="D235" t="str">
        <f t="shared" si="26"/>
        <v>Febrero</v>
      </c>
      <c r="E235" t="str">
        <f t="shared" si="27"/>
        <v>T1</v>
      </c>
      <c r="F235" t="s">
        <v>358</v>
      </c>
      <c r="G235" t="s">
        <v>144</v>
      </c>
      <c r="H235" t="s">
        <v>88</v>
      </c>
      <c r="I235" t="s">
        <v>145</v>
      </c>
      <c r="J235" t="s">
        <v>70</v>
      </c>
      <c r="K235" t="s">
        <v>71</v>
      </c>
      <c r="L235" t="s">
        <v>72</v>
      </c>
      <c r="M235" s="24">
        <v>7</v>
      </c>
      <c r="N235" s="25">
        <v>11857.4</v>
      </c>
      <c r="O235" s="25">
        <f t="shared" si="28"/>
        <v>83001.8</v>
      </c>
      <c r="P235" s="25">
        <v>6978.43</v>
      </c>
      <c r="Q235" s="25">
        <f t="shared" si="29"/>
        <v>48849.01</v>
      </c>
      <c r="R235" s="25">
        <f t="shared" si="30"/>
        <v>34152.79</v>
      </c>
      <c r="S235" s="26">
        <f t="shared" si="31"/>
        <v>0.41147047413429588</v>
      </c>
    </row>
    <row r="236" spans="1:19" ht="15" x14ac:dyDescent="0.2">
      <c r="A236" s="23">
        <v>45715</v>
      </c>
      <c r="B236">
        <f t="shared" si="24"/>
        <v>2025</v>
      </c>
      <c r="C236">
        <f t="shared" si="25"/>
        <v>2</v>
      </c>
      <c r="D236" t="str">
        <f t="shared" si="26"/>
        <v>Febrero</v>
      </c>
      <c r="E236" t="str">
        <f t="shared" si="27"/>
        <v>T1</v>
      </c>
      <c r="F236" t="s">
        <v>359</v>
      </c>
      <c r="G236" t="s">
        <v>54</v>
      </c>
      <c r="H236" t="s">
        <v>55</v>
      </c>
      <c r="I236" t="s">
        <v>56</v>
      </c>
      <c r="J236" t="s">
        <v>77</v>
      </c>
      <c r="K236" t="s">
        <v>107</v>
      </c>
      <c r="L236" t="s">
        <v>108</v>
      </c>
      <c r="M236" s="24">
        <v>7</v>
      </c>
      <c r="N236" s="25">
        <v>64141.02</v>
      </c>
      <c r="O236" s="25">
        <f t="shared" si="28"/>
        <v>448987.13999999996</v>
      </c>
      <c r="P236" s="25">
        <v>43336.959999999999</v>
      </c>
      <c r="Q236" s="25">
        <f t="shared" si="29"/>
        <v>303358.71999999997</v>
      </c>
      <c r="R236" s="25">
        <f t="shared" si="30"/>
        <v>145628.41999999998</v>
      </c>
      <c r="S236" s="26">
        <f t="shared" si="31"/>
        <v>0.32434875528951673</v>
      </c>
    </row>
    <row r="237" spans="1:19" ht="15" x14ac:dyDescent="0.2">
      <c r="A237" s="23">
        <v>45715</v>
      </c>
      <c r="B237">
        <f t="shared" si="24"/>
        <v>2025</v>
      </c>
      <c r="C237">
        <f t="shared" si="25"/>
        <v>2</v>
      </c>
      <c r="D237" t="str">
        <f t="shared" si="26"/>
        <v>Febrero</v>
      </c>
      <c r="E237" t="str">
        <f t="shared" si="27"/>
        <v>T1</v>
      </c>
      <c r="F237" t="s">
        <v>360</v>
      </c>
      <c r="G237" t="s">
        <v>54</v>
      </c>
      <c r="H237" t="s">
        <v>55</v>
      </c>
      <c r="I237" t="s">
        <v>56</v>
      </c>
      <c r="J237" t="s">
        <v>57</v>
      </c>
      <c r="K237" t="s">
        <v>81</v>
      </c>
      <c r="L237" t="s">
        <v>82</v>
      </c>
      <c r="M237" s="24">
        <v>11</v>
      </c>
      <c r="N237" s="25">
        <v>61428.9</v>
      </c>
      <c r="O237" s="25">
        <f t="shared" si="28"/>
        <v>675717.9</v>
      </c>
      <c r="P237" s="25">
        <v>42990.89</v>
      </c>
      <c r="Q237" s="25">
        <f t="shared" si="29"/>
        <v>472899.79</v>
      </c>
      <c r="R237" s="25">
        <f t="shared" si="30"/>
        <v>202818.11000000004</v>
      </c>
      <c r="S237" s="26">
        <f t="shared" si="31"/>
        <v>0.30015204569836029</v>
      </c>
    </row>
    <row r="238" spans="1:19" ht="15" x14ac:dyDescent="0.2">
      <c r="A238" s="23">
        <v>45716</v>
      </c>
      <c r="B238">
        <f t="shared" si="24"/>
        <v>2025</v>
      </c>
      <c r="C238">
        <f t="shared" si="25"/>
        <v>2</v>
      </c>
      <c r="D238" t="str">
        <f t="shared" si="26"/>
        <v>Febrero</v>
      </c>
      <c r="E238" t="str">
        <f t="shared" si="27"/>
        <v>T1</v>
      </c>
      <c r="F238" t="s">
        <v>361</v>
      </c>
      <c r="G238" t="s">
        <v>54</v>
      </c>
      <c r="H238" t="s">
        <v>55</v>
      </c>
      <c r="I238" t="s">
        <v>56</v>
      </c>
      <c r="J238" t="s">
        <v>70</v>
      </c>
      <c r="K238" t="s">
        <v>71</v>
      </c>
      <c r="L238" t="s">
        <v>72</v>
      </c>
      <c r="M238" s="24">
        <v>3</v>
      </c>
      <c r="N238" s="25">
        <v>64957.52</v>
      </c>
      <c r="O238" s="25">
        <f t="shared" si="28"/>
        <v>194872.56</v>
      </c>
      <c r="P238" s="25">
        <v>48682.8</v>
      </c>
      <c r="Q238" s="25">
        <f t="shared" si="29"/>
        <v>146048.40000000002</v>
      </c>
      <c r="R238" s="25">
        <f t="shared" si="30"/>
        <v>48824.159999999974</v>
      </c>
      <c r="S238" s="26">
        <f t="shared" si="31"/>
        <v>0.25054404786389617</v>
      </c>
    </row>
    <row r="239" spans="1:19" ht="15" x14ac:dyDescent="0.2">
      <c r="A239" s="23">
        <v>45717</v>
      </c>
      <c r="B239">
        <f t="shared" si="24"/>
        <v>2025</v>
      </c>
      <c r="C239">
        <f t="shared" si="25"/>
        <v>3</v>
      </c>
      <c r="D239" t="str">
        <f t="shared" si="26"/>
        <v>Marzo</v>
      </c>
      <c r="E239" t="str">
        <f t="shared" si="27"/>
        <v>T1</v>
      </c>
      <c r="F239" t="s">
        <v>362</v>
      </c>
      <c r="G239" t="s">
        <v>54</v>
      </c>
      <c r="H239" t="s">
        <v>55</v>
      </c>
      <c r="I239" t="s">
        <v>56</v>
      </c>
      <c r="J239" t="s">
        <v>125</v>
      </c>
      <c r="K239" t="s">
        <v>126</v>
      </c>
      <c r="L239" t="s">
        <v>131</v>
      </c>
      <c r="M239" s="24">
        <v>5</v>
      </c>
      <c r="N239" s="25">
        <v>61449.64</v>
      </c>
      <c r="O239" s="25">
        <f t="shared" si="28"/>
        <v>307248.2</v>
      </c>
      <c r="P239" s="25">
        <v>43201.4</v>
      </c>
      <c r="Q239" s="25">
        <f t="shared" si="29"/>
        <v>216007</v>
      </c>
      <c r="R239" s="25">
        <f t="shared" si="30"/>
        <v>91241.200000000012</v>
      </c>
      <c r="S239" s="26">
        <f t="shared" si="31"/>
        <v>0.29696252085447533</v>
      </c>
    </row>
    <row r="240" spans="1:19" ht="15" x14ac:dyDescent="0.2">
      <c r="A240" s="23">
        <v>45717</v>
      </c>
      <c r="B240">
        <f t="shared" si="24"/>
        <v>2025</v>
      </c>
      <c r="C240">
        <f t="shared" si="25"/>
        <v>3</v>
      </c>
      <c r="D240" t="str">
        <f t="shared" si="26"/>
        <v>Marzo</v>
      </c>
      <c r="E240" t="str">
        <f t="shared" si="27"/>
        <v>T1</v>
      </c>
      <c r="F240" t="s">
        <v>363</v>
      </c>
      <c r="G240" t="s">
        <v>54</v>
      </c>
      <c r="H240" t="s">
        <v>55</v>
      </c>
      <c r="I240" t="s">
        <v>56</v>
      </c>
      <c r="J240" t="s">
        <v>70</v>
      </c>
      <c r="K240" t="s">
        <v>84</v>
      </c>
      <c r="L240" t="s">
        <v>85</v>
      </c>
      <c r="M240" s="24">
        <v>9</v>
      </c>
      <c r="N240" s="25">
        <v>56554.66</v>
      </c>
      <c r="O240" s="25">
        <f t="shared" si="28"/>
        <v>508991.94000000006</v>
      </c>
      <c r="P240" s="25">
        <v>41793.78</v>
      </c>
      <c r="Q240" s="25">
        <f t="shared" si="29"/>
        <v>376144.02</v>
      </c>
      <c r="R240" s="25">
        <f t="shared" si="30"/>
        <v>132847.92000000004</v>
      </c>
      <c r="S240" s="26">
        <f t="shared" si="31"/>
        <v>0.26100201115168942</v>
      </c>
    </row>
    <row r="241" spans="1:19" ht="15" x14ac:dyDescent="0.2">
      <c r="A241" s="23">
        <v>45717</v>
      </c>
      <c r="B241">
        <f t="shared" si="24"/>
        <v>2025</v>
      </c>
      <c r="C241">
        <f t="shared" si="25"/>
        <v>3</v>
      </c>
      <c r="D241" t="str">
        <f t="shared" si="26"/>
        <v>Marzo</v>
      </c>
      <c r="E241" t="str">
        <f t="shared" si="27"/>
        <v>T1</v>
      </c>
      <c r="F241" t="s">
        <v>364</v>
      </c>
      <c r="G241" t="s">
        <v>54</v>
      </c>
      <c r="H241" t="s">
        <v>55</v>
      </c>
      <c r="I241" t="s">
        <v>56</v>
      </c>
      <c r="J241" t="s">
        <v>70</v>
      </c>
      <c r="K241" t="s">
        <v>71</v>
      </c>
      <c r="L241" t="s">
        <v>90</v>
      </c>
      <c r="M241" s="24">
        <v>4</v>
      </c>
      <c r="N241" s="25">
        <v>58304.800000000003</v>
      </c>
      <c r="O241" s="25">
        <f t="shared" si="28"/>
        <v>233219.20000000001</v>
      </c>
      <c r="P241" s="25">
        <v>43623.89</v>
      </c>
      <c r="Q241" s="25">
        <f t="shared" si="29"/>
        <v>174495.56</v>
      </c>
      <c r="R241" s="25">
        <f t="shared" si="30"/>
        <v>58723.640000000014</v>
      </c>
      <c r="S241" s="26">
        <f t="shared" si="31"/>
        <v>0.25179590702652271</v>
      </c>
    </row>
    <row r="242" spans="1:19" ht="15" x14ac:dyDescent="0.2">
      <c r="A242" s="23">
        <v>45717</v>
      </c>
      <c r="B242">
        <f t="shared" si="24"/>
        <v>2025</v>
      </c>
      <c r="C242">
        <f t="shared" si="25"/>
        <v>3</v>
      </c>
      <c r="D242" t="str">
        <f t="shared" si="26"/>
        <v>Marzo</v>
      </c>
      <c r="E242" t="str">
        <f t="shared" si="27"/>
        <v>T1</v>
      </c>
      <c r="F242" t="s">
        <v>365</v>
      </c>
      <c r="G242" t="s">
        <v>110</v>
      </c>
      <c r="H242" t="s">
        <v>62</v>
      </c>
      <c r="I242" t="s">
        <v>69</v>
      </c>
      <c r="J242" t="s">
        <v>64</v>
      </c>
      <c r="K242" t="s">
        <v>65</v>
      </c>
      <c r="L242" t="s">
        <v>123</v>
      </c>
      <c r="M242" s="24">
        <v>136</v>
      </c>
      <c r="N242" s="25">
        <v>6471.84</v>
      </c>
      <c r="O242" s="25">
        <f t="shared" si="28"/>
        <v>880170.24</v>
      </c>
      <c r="P242" s="25">
        <v>5399.12</v>
      </c>
      <c r="Q242" s="25">
        <f t="shared" si="29"/>
        <v>734280.32</v>
      </c>
      <c r="R242" s="25">
        <f t="shared" si="30"/>
        <v>145889.92000000004</v>
      </c>
      <c r="S242" s="26">
        <f t="shared" si="31"/>
        <v>0.16575193453484641</v>
      </c>
    </row>
    <row r="243" spans="1:19" ht="15" x14ac:dyDescent="0.2">
      <c r="A243" s="23">
        <v>45717</v>
      </c>
      <c r="B243">
        <f t="shared" si="24"/>
        <v>2025</v>
      </c>
      <c r="C243">
        <f t="shared" si="25"/>
        <v>3</v>
      </c>
      <c r="D243" t="str">
        <f t="shared" si="26"/>
        <v>Marzo</v>
      </c>
      <c r="E243" t="str">
        <f t="shared" si="27"/>
        <v>T1</v>
      </c>
      <c r="F243" t="s">
        <v>366</v>
      </c>
      <c r="G243" t="s">
        <v>61</v>
      </c>
      <c r="H243" t="s">
        <v>62</v>
      </c>
      <c r="I243" t="s">
        <v>63</v>
      </c>
      <c r="J243" t="s">
        <v>125</v>
      </c>
      <c r="K243" t="s">
        <v>126</v>
      </c>
      <c r="L243" t="s">
        <v>127</v>
      </c>
      <c r="M243" s="24">
        <v>50</v>
      </c>
      <c r="N243" s="25">
        <v>5921.2</v>
      </c>
      <c r="O243" s="25">
        <f t="shared" si="28"/>
        <v>296060</v>
      </c>
      <c r="P243" s="25">
        <v>4819.58</v>
      </c>
      <c r="Q243" s="25">
        <f t="shared" si="29"/>
        <v>240979</v>
      </c>
      <c r="R243" s="25">
        <f t="shared" si="30"/>
        <v>55081</v>
      </c>
      <c r="S243" s="26">
        <f t="shared" si="31"/>
        <v>0.18604674728095658</v>
      </c>
    </row>
    <row r="244" spans="1:19" ht="15" x14ac:dyDescent="0.2">
      <c r="A244" s="23">
        <v>45717</v>
      </c>
      <c r="B244">
        <f t="shared" si="24"/>
        <v>2025</v>
      </c>
      <c r="C244">
        <f t="shared" si="25"/>
        <v>3</v>
      </c>
      <c r="D244" t="str">
        <f t="shared" si="26"/>
        <v>Marzo</v>
      </c>
      <c r="E244" t="str">
        <f t="shared" si="27"/>
        <v>T1</v>
      </c>
      <c r="F244" t="s">
        <v>367</v>
      </c>
      <c r="G244" t="s">
        <v>92</v>
      </c>
      <c r="H244" t="s">
        <v>93</v>
      </c>
      <c r="I244" t="s">
        <v>94</v>
      </c>
      <c r="J244" t="s">
        <v>77</v>
      </c>
      <c r="K244" t="s">
        <v>78</v>
      </c>
      <c r="L244" t="s">
        <v>79</v>
      </c>
      <c r="M244" s="24">
        <v>9</v>
      </c>
      <c r="N244" s="25">
        <v>21210.99</v>
      </c>
      <c r="O244" s="25">
        <f t="shared" si="28"/>
        <v>190898.91</v>
      </c>
      <c r="P244" s="25">
        <v>11912.64</v>
      </c>
      <c r="Q244" s="25">
        <f t="shared" si="29"/>
        <v>107213.75999999999</v>
      </c>
      <c r="R244" s="25">
        <f t="shared" si="30"/>
        <v>83685.150000000009</v>
      </c>
      <c r="S244" s="26">
        <f t="shared" si="31"/>
        <v>0.43837416358218079</v>
      </c>
    </row>
    <row r="245" spans="1:19" ht="15" x14ac:dyDescent="0.2">
      <c r="A245" s="23">
        <v>45718</v>
      </c>
      <c r="B245">
        <f t="shared" si="24"/>
        <v>2025</v>
      </c>
      <c r="C245">
        <f t="shared" si="25"/>
        <v>3</v>
      </c>
      <c r="D245" t="str">
        <f t="shared" si="26"/>
        <v>Marzo</v>
      </c>
      <c r="E245" t="str">
        <f t="shared" si="27"/>
        <v>T1</v>
      </c>
      <c r="F245" t="s">
        <v>368</v>
      </c>
      <c r="G245" t="s">
        <v>54</v>
      </c>
      <c r="H245" t="s">
        <v>55</v>
      </c>
      <c r="I245" t="s">
        <v>56</v>
      </c>
      <c r="J245" t="s">
        <v>77</v>
      </c>
      <c r="K245" t="s">
        <v>78</v>
      </c>
      <c r="L245" t="s">
        <v>79</v>
      </c>
      <c r="M245" s="24">
        <v>13</v>
      </c>
      <c r="N245" s="25">
        <v>59534.04</v>
      </c>
      <c r="O245" s="25">
        <f t="shared" si="28"/>
        <v>773942.52</v>
      </c>
      <c r="P245" s="25">
        <v>41468.25</v>
      </c>
      <c r="Q245" s="25">
        <f t="shared" si="29"/>
        <v>539087.25</v>
      </c>
      <c r="R245" s="25">
        <f t="shared" si="30"/>
        <v>234855.27000000002</v>
      </c>
      <c r="S245" s="26">
        <f t="shared" si="31"/>
        <v>0.30345311690589116</v>
      </c>
    </row>
    <row r="246" spans="1:19" ht="15" x14ac:dyDescent="0.2">
      <c r="A246" s="23">
        <v>45718</v>
      </c>
      <c r="B246">
        <f t="shared" si="24"/>
        <v>2025</v>
      </c>
      <c r="C246">
        <f t="shared" si="25"/>
        <v>3</v>
      </c>
      <c r="D246" t="str">
        <f t="shared" si="26"/>
        <v>Marzo</v>
      </c>
      <c r="E246" t="str">
        <f t="shared" si="27"/>
        <v>T1</v>
      </c>
      <c r="F246" t="s">
        <v>369</v>
      </c>
      <c r="G246" t="s">
        <v>54</v>
      </c>
      <c r="H246" t="s">
        <v>55</v>
      </c>
      <c r="I246" t="s">
        <v>56</v>
      </c>
      <c r="J246" t="s">
        <v>57</v>
      </c>
      <c r="K246" t="s">
        <v>81</v>
      </c>
      <c r="L246" t="s">
        <v>129</v>
      </c>
      <c r="M246" s="24">
        <v>8</v>
      </c>
      <c r="N246" s="25">
        <v>56761.53</v>
      </c>
      <c r="O246" s="25">
        <f t="shared" si="28"/>
        <v>454092.24</v>
      </c>
      <c r="P246" s="25">
        <v>39655.620000000003</v>
      </c>
      <c r="Q246" s="25">
        <f t="shared" si="29"/>
        <v>317244.96000000002</v>
      </c>
      <c r="R246" s="25">
        <f t="shared" si="30"/>
        <v>136847.27999999997</v>
      </c>
      <c r="S246" s="26">
        <f t="shared" si="31"/>
        <v>0.30136449810285237</v>
      </c>
    </row>
    <row r="247" spans="1:19" ht="15" x14ac:dyDescent="0.2">
      <c r="A247" s="23">
        <v>45718</v>
      </c>
      <c r="B247">
        <f t="shared" si="24"/>
        <v>2025</v>
      </c>
      <c r="C247">
        <f t="shared" si="25"/>
        <v>3</v>
      </c>
      <c r="D247" t="str">
        <f t="shared" si="26"/>
        <v>Marzo</v>
      </c>
      <c r="E247" t="str">
        <f t="shared" si="27"/>
        <v>T1</v>
      </c>
      <c r="F247" t="s">
        <v>370</v>
      </c>
      <c r="G247" t="s">
        <v>87</v>
      </c>
      <c r="H247" t="s">
        <v>88</v>
      </c>
      <c r="I247" t="s">
        <v>89</v>
      </c>
      <c r="J247" t="s">
        <v>77</v>
      </c>
      <c r="K247" t="s">
        <v>78</v>
      </c>
      <c r="L247" t="s">
        <v>117</v>
      </c>
      <c r="M247" s="24">
        <v>4</v>
      </c>
      <c r="N247" s="25">
        <v>59661.38</v>
      </c>
      <c r="O247" s="25">
        <f t="shared" si="28"/>
        <v>238645.52</v>
      </c>
      <c r="P247" s="25">
        <v>33051.839999999997</v>
      </c>
      <c r="Q247" s="25">
        <f t="shared" si="29"/>
        <v>132207.35999999999</v>
      </c>
      <c r="R247" s="25">
        <f t="shared" si="30"/>
        <v>106438.16</v>
      </c>
      <c r="S247" s="26">
        <f t="shared" si="31"/>
        <v>0.4460094620674212</v>
      </c>
    </row>
    <row r="248" spans="1:19" ht="15" x14ac:dyDescent="0.2">
      <c r="A248" s="23">
        <v>45718</v>
      </c>
      <c r="B248">
        <f t="shared" si="24"/>
        <v>2025</v>
      </c>
      <c r="C248">
        <f t="shared" si="25"/>
        <v>3</v>
      </c>
      <c r="D248" t="str">
        <f t="shared" si="26"/>
        <v>Marzo</v>
      </c>
      <c r="E248" t="str">
        <f t="shared" si="27"/>
        <v>T1</v>
      </c>
      <c r="F248" t="s">
        <v>371</v>
      </c>
      <c r="G248" t="s">
        <v>144</v>
      </c>
      <c r="H248" t="s">
        <v>88</v>
      </c>
      <c r="I248" t="s">
        <v>145</v>
      </c>
      <c r="J248" t="s">
        <v>125</v>
      </c>
      <c r="K248" t="s">
        <v>126</v>
      </c>
      <c r="L248" t="s">
        <v>131</v>
      </c>
      <c r="M248" s="24">
        <v>7</v>
      </c>
      <c r="N248" s="25">
        <v>12996.55</v>
      </c>
      <c r="O248" s="25">
        <f t="shared" si="28"/>
        <v>90975.849999999991</v>
      </c>
      <c r="P248" s="25">
        <v>6988.32</v>
      </c>
      <c r="Q248" s="25">
        <f t="shared" si="29"/>
        <v>48918.239999999998</v>
      </c>
      <c r="R248" s="25">
        <f t="shared" si="30"/>
        <v>42057.609999999993</v>
      </c>
      <c r="S248" s="26">
        <f t="shared" si="31"/>
        <v>0.46229422423643196</v>
      </c>
    </row>
    <row r="249" spans="1:19" ht="15" x14ac:dyDescent="0.2">
      <c r="A249" s="23">
        <v>45718</v>
      </c>
      <c r="B249">
        <f t="shared" si="24"/>
        <v>2025</v>
      </c>
      <c r="C249">
        <f t="shared" si="25"/>
        <v>3</v>
      </c>
      <c r="D249" t="str">
        <f t="shared" si="26"/>
        <v>Marzo</v>
      </c>
      <c r="E249" t="str">
        <f t="shared" si="27"/>
        <v>T1</v>
      </c>
      <c r="F249" t="s">
        <v>372</v>
      </c>
      <c r="G249" t="s">
        <v>188</v>
      </c>
      <c r="H249" t="s">
        <v>88</v>
      </c>
      <c r="I249" t="s">
        <v>189</v>
      </c>
      <c r="J249" t="s">
        <v>70</v>
      </c>
      <c r="K249" t="s">
        <v>71</v>
      </c>
      <c r="L249" t="s">
        <v>72</v>
      </c>
      <c r="M249" s="24">
        <v>2</v>
      </c>
      <c r="N249" s="25">
        <v>86932.44</v>
      </c>
      <c r="O249" s="25">
        <f t="shared" si="28"/>
        <v>173864.88</v>
      </c>
      <c r="P249" s="25">
        <v>50872.08</v>
      </c>
      <c r="Q249" s="25">
        <f t="shared" si="29"/>
        <v>101744.16</v>
      </c>
      <c r="R249" s="25">
        <f t="shared" si="30"/>
        <v>72120.72</v>
      </c>
      <c r="S249" s="26">
        <f t="shared" si="31"/>
        <v>0.41480901720922592</v>
      </c>
    </row>
    <row r="250" spans="1:19" ht="15" x14ac:dyDescent="0.2">
      <c r="A250" s="23">
        <v>45718</v>
      </c>
      <c r="B250">
        <f t="shared" si="24"/>
        <v>2025</v>
      </c>
      <c r="C250">
        <f t="shared" si="25"/>
        <v>3</v>
      </c>
      <c r="D250" t="str">
        <f t="shared" si="26"/>
        <v>Marzo</v>
      </c>
      <c r="E250" t="str">
        <f t="shared" si="27"/>
        <v>T1</v>
      </c>
      <c r="F250" t="s">
        <v>373</v>
      </c>
      <c r="G250" t="s">
        <v>149</v>
      </c>
      <c r="H250" t="s">
        <v>93</v>
      </c>
      <c r="I250" t="s">
        <v>150</v>
      </c>
      <c r="J250" t="s">
        <v>57</v>
      </c>
      <c r="K250" t="s">
        <v>81</v>
      </c>
      <c r="L250" t="s">
        <v>129</v>
      </c>
      <c r="M250" s="24">
        <v>4</v>
      </c>
      <c r="N250" s="25">
        <v>40044.85</v>
      </c>
      <c r="O250" s="25">
        <f t="shared" si="28"/>
        <v>160179.4</v>
      </c>
      <c r="P250" s="25">
        <v>23728.2</v>
      </c>
      <c r="Q250" s="25">
        <f t="shared" si="29"/>
        <v>94912.8</v>
      </c>
      <c r="R250" s="25">
        <f t="shared" si="30"/>
        <v>65266.599999999991</v>
      </c>
      <c r="S250" s="26">
        <f t="shared" si="31"/>
        <v>0.40745938616326438</v>
      </c>
    </row>
    <row r="251" spans="1:19" ht="15" x14ac:dyDescent="0.2">
      <c r="A251" s="23">
        <v>45719</v>
      </c>
      <c r="B251">
        <f t="shared" si="24"/>
        <v>2025</v>
      </c>
      <c r="C251">
        <f t="shared" si="25"/>
        <v>3</v>
      </c>
      <c r="D251" t="str">
        <f t="shared" si="26"/>
        <v>Marzo</v>
      </c>
      <c r="E251" t="str">
        <f t="shared" si="27"/>
        <v>T1</v>
      </c>
      <c r="F251" t="s">
        <v>374</v>
      </c>
      <c r="G251" t="s">
        <v>114</v>
      </c>
      <c r="H251" t="s">
        <v>75</v>
      </c>
      <c r="I251" t="s">
        <v>115</v>
      </c>
      <c r="J251" t="s">
        <v>77</v>
      </c>
      <c r="K251" t="s">
        <v>107</v>
      </c>
      <c r="L251" t="s">
        <v>112</v>
      </c>
      <c r="M251" s="24">
        <v>7</v>
      </c>
      <c r="N251" s="25">
        <v>107799.01</v>
      </c>
      <c r="O251" s="25">
        <f t="shared" si="28"/>
        <v>754593.07</v>
      </c>
      <c r="P251" s="25">
        <v>69505.09</v>
      </c>
      <c r="Q251" s="25">
        <f t="shared" si="29"/>
        <v>486535.63</v>
      </c>
      <c r="R251" s="25">
        <f t="shared" si="30"/>
        <v>268057.43999999994</v>
      </c>
      <c r="S251" s="26">
        <f t="shared" si="31"/>
        <v>0.35523443118818987</v>
      </c>
    </row>
    <row r="252" spans="1:19" ht="15" x14ac:dyDescent="0.2">
      <c r="A252" s="23">
        <v>45719</v>
      </c>
      <c r="B252">
        <f t="shared" si="24"/>
        <v>2025</v>
      </c>
      <c r="C252">
        <f t="shared" si="25"/>
        <v>3</v>
      </c>
      <c r="D252" t="str">
        <f t="shared" si="26"/>
        <v>Marzo</v>
      </c>
      <c r="E252" t="str">
        <f t="shared" si="27"/>
        <v>T1</v>
      </c>
      <c r="F252" t="s">
        <v>375</v>
      </c>
      <c r="G252" t="s">
        <v>149</v>
      </c>
      <c r="H252" t="s">
        <v>93</v>
      </c>
      <c r="I252" t="s">
        <v>150</v>
      </c>
      <c r="J252" t="s">
        <v>70</v>
      </c>
      <c r="K252" t="s">
        <v>84</v>
      </c>
      <c r="L252" t="s">
        <v>147</v>
      </c>
      <c r="M252" s="24">
        <v>4</v>
      </c>
      <c r="N252" s="25">
        <v>44708.12</v>
      </c>
      <c r="O252" s="25">
        <f t="shared" si="28"/>
        <v>178832.48</v>
      </c>
      <c r="P252" s="25">
        <v>28271.13</v>
      </c>
      <c r="Q252" s="25">
        <f t="shared" si="29"/>
        <v>113084.52</v>
      </c>
      <c r="R252" s="25">
        <f t="shared" si="30"/>
        <v>65747.960000000006</v>
      </c>
      <c r="S252" s="26">
        <f t="shared" si="31"/>
        <v>0.36765111125227368</v>
      </c>
    </row>
    <row r="253" spans="1:19" ht="15" x14ac:dyDescent="0.2">
      <c r="A253" s="23">
        <v>45720</v>
      </c>
      <c r="B253">
        <f t="shared" si="24"/>
        <v>2025</v>
      </c>
      <c r="C253">
        <f t="shared" si="25"/>
        <v>3</v>
      </c>
      <c r="D253" t="str">
        <f t="shared" si="26"/>
        <v>Marzo</v>
      </c>
      <c r="E253" t="str">
        <f t="shared" si="27"/>
        <v>T1</v>
      </c>
      <c r="F253" t="s">
        <v>376</v>
      </c>
      <c r="G253" t="s">
        <v>54</v>
      </c>
      <c r="H253" t="s">
        <v>55</v>
      </c>
      <c r="I253" t="s">
        <v>56</v>
      </c>
      <c r="J253" t="s">
        <v>70</v>
      </c>
      <c r="K253" t="s">
        <v>84</v>
      </c>
      <c r="L253" t="s">
        <v>85</v>
      </c>
      <c r="M253" s="24">
        <v>9</v>
      </c>
      <c r="N253" s="25">
        <v>56744.33</v>
      </c>
      <c r="O253" s="25">
        <f t="shared" si="28"/>
        <v>510698.97000000003</v>
      </c>
      <c r="P253" s="25">
        <v>42603.33</v>
      </c>
      <c r="Q253" s="25">
        <f t="shared" si="29"/>
        <v>383429.97000000003</v>
      </c>
      <c r="R253" s="25">
        <f t="shared" si="30"/>
        <v>127269</v>
      </c>
      <c r="S253" s="26">
        <f t="shared" si="31"/>
        <v>0.24920551533518853</v>
      </c>
    </row>
    <row r="254" spans="1:19" ht="15" x14ac:dyDescent="0.2">
      <c r="A254" s="23">
        <v>45721</v>
      </c>
      <c r="B254">
        <f t="shared" si="24"/>
        <v>2025</v>
      </c>
      <c r="C254">
        <f t="shared" si="25"/>
        <v>3</v>
      </c>
      <c r="D254" t="str">
        <f t="shared" si="26"/>
        <v>Marzo</v>
      </c>
      <c r="E254" t="str">
        <f t="shared" si="27"/>
        <v>T1</v>
      </c>
      <c r="F254" t="s">
        <v>377</v>
      </c>
      <c r="G254" t="s">
        <v>61</v>
      </c>
      <c r="H254" t="s">
        <v>62</v>
      </c>
      <c r="I254" t="s">
        <v>63</v>
      </c>
      <c r="J254" t="s">
        <v>70</v>
      </c>
      <c r="K254" t="s">
        <v>84</v>
      </c>
      <c r="L254" t="s">
        <v>147</v>
      </c>
      <c r="M254" s="24">
        <v>55</v>
      </c>
      <c r="N254" s="25">
        <v>5619.98</v>
      </c>
      <c r="O254" s="25">
        <f t="shared" si="28"/>
        <v>309098.89999999997</v>
      </c>
      <c r="P254" s="25">
        <v>4774.6400000000003</v>
      </c>
      <c r="Q254" s="25">
        <f t="shared" si="29"/>
        <v>262605.2</v>
      </c>
      <c r="R254" s="25">
        <f t="shared" si="30"/>
        <v>46493.699999999953</v>
      </c>
      <c r="S254" s="26">
        <f t="shared" si="31"/>
        <v>0.15041690539823971</v>
      </c>
    </row>
    <row r="255" spans="1:19" ht="15" x14ac:dyDescent="0.2">
      <c r="A255" s="23">
        <v>45721</v>
      </c>
      <c r="B255">
        <f t="shared" si="24"/>
        <v>2025</v>
      </c>
      <c r="C255">
        <f t="shared" si="25"/>
        <v>3</v>
      </c>
      <c r="D255" t="str">
        <f t="shared" si="26"/>
        <v>Marzo</v>
      </c>
      <c r="E255" t="str">
        <f t="shared" si="27"/>
        <v>T1</v>
      </c>
      <c r="F255" t="s">
        <v>378</v>
      </c>
      <c r="G255" t="s">
        <v>114</v>
      </c>
      <c r="H255" t="s">
        <v>75</v>
      </c>
      <c r="I255" t="s">
        <v>115</v>
      </c>
      <c r="J255" t="s">
        <v>125</v>
      </c>
      <c r="K255" t="s">
        <v>138</v>
      </c>
      <c r="L255" t="s">
        <v>142</v>
      </c>
      <c r="M255" s="24">
        <v>2</v>
      </c>
      <c r="N255" s="25">
        <v>99124.87</v>
      </c>
      <c r="O255" s="25">
        <f t="shared" si="28"/>
        <v>198249.74</v>
      </c>
      <c r="P255" s="25">
        <v>66042.12</v>
      </c>
      <c r="Q255" s="25">
        <f t="shared" si="29"/>
        <v>132084.24</v>
      </c>
      <c r="R255" s="25">
        <f t="shared" si="30"/>
        <v>66165.5</v>
      </c>
      <c r="S255" s="26">
        <f t="shared" si="31"/>
        <v>0.33374823089301403</v>
      </c>
    </row>
    <row r="256" spans="1:19" ht="15" x14ac:dyDescent="0.2">
      <c r="A256" s="23">
        <v>45721</v>
      </c>
      <c r="B256">
        <f t="shared" si="24"/>
        <v>2025</v>
      </c>
      <c r="C256">
        <f t="shared" si="25"/>
        <v>3</v>
      </c>
      <c r="D256" t="str">
        <f t="shared" si="26"/>
        <v>Marzo</v>
      </c>
      <c r="E256" t="str">
        <f t="shared" si="27"/>
        <v>T1</v>
      </c>
      <c r="F256" t="s">
        <v>379</v>
      </c>
      <c r="G256" t="s">
        <v>206</v>
      </c>
      <c r="H256" t="s">
        <v>93</v>
      </c>
      <c r="I256" t="s">
        <v>207</v>
      </c>
      <c r="J256" t="s">
        <v>77</v>
      </c>
      <c r="K256" t="s">
        <v>107</v>
      </c>
      <c r="L256" t="s">
        <v>108</v>
      </c>
      <c r="M256" s="24">
        <v>3</v>
      </c>
      <c r="N256" s="25">
        <v>108576.41</v>
      </c>
      <c r="O256" s="25">
        <f t="shared" si="28"/>
        <v>325729.23</v>
      </c>
      <c r="P256" s="25">
        <v>59605.08</v>
      </c>
      <c r="Q256" s="25">
        <f t="shared" si="29"/>
        <v>178815.24</v>
      </c>
      <c r="R256" s="25">
        <f t="shared" si="30"/>
        <v>146913.99</v>
      </c>
      <c r="S256" s="26">
        <f t="shared" si="31"/>
        <v>0.45103102966841507</v>
      </c>
    </row>
    <row r="257" spans="1:19" ht="15" x14ac:dyDescent="0.2">
      <c r="A257" s="23">
        <v>45722</v>
      </c>
      <c r="B257">
        <f t="shared" si="24"/>
        <v>2025</v>
      </c>
      <c r="C257">
        <f t="shared" si="25"/>
        <v>3</v>
      </c>
      <c r="D257" t="str">
        <f t="shared" si="26"/>
        <v>Marzo</v>
      </c>
      <c r="E257" t="str">
        <f t="shared" si="27"/>
        <v>T1</v>
      </c>
      <c r="F257" t="s">
        <v>380</v>
      </c>
      <c r="G257" t="s">
        <v>183</v>
      </c>
      <c r="H257" t="s">
        <v>55</v>
      </c>
      <c r="I257" t="s">
        <v>184</v>
      </c>
      <c r="J257" t="s">
        <v>64</v>
      </c>
      <c r="K257" t="s">
        <v>96</v>
      </c>
      <c r="L257" t="s">
        <v>103</v>
      </c>
      <c r="M257" s="24">
        <v>2</v>
      </c>
      <c r="N257" s="25">
        <v>453489.32</v>
      </c>
      <c r="O257" s="25">
        <f t="shared" si="28"/>
        <v>906978.64</v>
      </c>
      <c r="P257" s="25">
        <v>326509.01</v>
      </c>
      <c r="Q257" s="25">
        <f t="shared" si="29"/>
        <v>653018.02</v>
      </c>
      <c r="R257" s="25">
        <f t="shared" si="30"/>
        <v>253960.62</v>
      </c>
      <c r="S257" s="26">
        <f t="shared" si="31"/>
        <v>0.28000727778991574</v>
      </c>
    </row>
    <row r="258" spans="1:19" ht="15" x14ac:dyDescent="0.2">
      <c r="A258" s="23">
        <v>45722</v>
      </c>
      <c r="B258">
        <f t="shared" ref="B258:B321" si="32">YEAR($A258)</f>
        <v>2025</v>
      </c>
      <c r="C258">
        <f t="shared" ref="C258:C321" si="33">MONTH($A258)</f>
        <v>3</v>
      </c>
      <c r="D258" t="str">
        <f t="shared" ref="D258:D321" si="34">INDEX(lst_Meses,MONTH($A258))</f>
        <v>Marzo</v>
      </c>
      <c r="E258" t="str">
        <f t="shared" ref="E258:E321" si="35">"T"&amp;ROUNDUP(MONTH($A258)/3,0)</f>
        <v>T1</v>
      </c>
      <c r="F258" t="s">
        <v>381</v>
      </c>
      <c r="G258" t="s">
        <v>54</v>
      </c>
      <c r="H258" t="s">
        <v>55</v>
      </c>
      <c r="I258" t="s">
        <v>56</v>
      </c>
      <c r="J258" t="s">
        <v>70</v>
      </c>
      <c r="K258" t="s">
        <v>71</v>
      </c>
      <c r="L258" t="s">
        <v>72</v>
      </c>
      <c r="M258" s="24">
        <v>1</v>
      </c>
      <c r="N258" s="25">
        <v>31753.37</v>
      </c>
      <c r="O258" s="25">
        <f t="shared" ref="O258:O321" si="36">$M258*$N258</f>
        <v>31753.37</v>
      </c>
      <c r="P258" s="25">
        <v>23688.3</v>
      </c>
      <c r="Q258" s="25">
        <f t="shared" ref="Q258:Q321" si="37">$M258*$P258</f>
        <v>23688.3</v>
      </c>
      <c r="R258" s="25">
        <f t="shared" ref="R258:R321" si="38">$O258-$Q258</f>
        <v>8065.07</v>
      </c>
      <c r="S258" s="26">
        <f t="shared" ref="S258:S321" si="39">IFERROR($R258/$O258,0)</f>
        <v>0.25399099371184852</v>
      </c>
    </row>
    <row r="259" spans="1:19" ht="15" x14ac:dyDescent="0.2">
      <c r="A259" s="23">
        <v>45722</v>
      </c>
      <c r="B259">
        <f t="shared" si="32"/>
        <v>2025</v>
      </c>
      <c r="C259">
        <f t="shared" si="33"/>
        <v>3</v>
      </c>
      <c r="D259" t="str">
        <f t="shared" si="34"/>
        <v>Marzo</v>
      </c>
      <c r="E259" t="str">
        <f t="shared" si="35"/>
        <v>T1</v>
      </c>
      <c r="F259" t="s">
        <v>382</v>
      </c>
      <c r="G259" t="s">
        <v>105</v>
      </c>
      <c r="H259" t="s">
        <v>62</v>
      </c>
      <c r="I259" t="s">
        <v>106</v>
      </c>
      <c r="J259" t="s">
        <v>125</v>
      </c>
      <c r="K259" t="s">
        <v>138</v>
      </c>
      <c r="L259" t="s">
        <v>139</v>
      </c>
      <c r="M259" s="24">
        <v>333</v>
      </c>
      <c r="N259" s="25">
        <v>1835.65</v>
      </c>
      <c r="O259" s="25">
        <f t="shared" si="36"/>
        <v>611271.45000000007</v>
      </c>
      <c r="P259" s="25">
        <v>1499.02</v>
      </c>
      <c r="Q259" s="25">
        <f t="shared" si="37"/>
        <v>499173.66</v>
      </c>
      <c r="R259" s="25">
        <f t="shared" si="38"/>
        <v>112097.7900000001</v>
      </c>
      <c r="S259" s="26">
        <f t="shared" si="39"/>
        <v>0.18338463214665118</v>
      </c>
    </row>
    <row r="260" spans="1:19" ht="15" x14ac:dyDescent="0.2">
      <c r="A260" s="23">
        <v>45723</v>
      </c>
      <c r="B260">
        <f t="shared" si="32"/>
        <v>2025</v>
      </c>
      <c r="C260">
        <f t="shared" si="33"/>
        <v>3</v>
      </c>
      <c r="D260" t="str">
        <f t="shared" si="34"/>
        <v>Marzo</v>
      </c>
      <c r="E260" t="str">
        <f t="shared" si="35"/>
        <v>T1</v>
      </c>
      <c r="F260" t="s">
        <v>383</v>
      </c>
      <c r="G260" t="s">
        <v>54</v>
      </c>
      <c r="H260" t="s">
        <v>55</v>
      </c>
      <c r="I260" t="s">
        <v>56</v>
      </c>
      <c r="J260" t="s">
        <v>57</v>
      </c>
      <c r="K260" t="s">
        <v>58</v>
      </c>
      <c r="L260" t="s">
        <v>59</v>
      </c>
      <c r="M260" s="24">
        <v>3</v>
      </c>
      <c r="N260" s="25">
        <v>49384.57</v>
      </c>
      <c r="O260" s="25">
        <f t="shared" si="36"/>
        <v>148153.71</v>
      </c>
      <c r="P260" s="25">
        <v>35243.25</v>
      </c>
      <c r="Q260" s="25">
        <f t="shared" si="37"/>
        <v>105729.75</v>
      </c>
      <c r="R260" s="25">
        <f t="shared" si="38"/>
        <v>42423.959999999992</v>
      </c>
      <c r="S260" s="26">
        <f t="shared" si="39"/>
        <v>0.28635097966834577</v>
      </c>
    </row>
    <row r="261" spans="1:19" ht="15" x14ac:dyDescent="0.2">
      <c r="A261" s="23">
        <v>45723</v>
      </c>
      <c r="B261">
        <f t="shared" si="32"/>
        <v>2025</v>
      </c>
      <c r="C261">
        <f t="shared" si="33"/>
        <v>3</v>
      </c>
      <c r="D261" t="str">
        <f t="shared" si="34"/>
        <v>Marzo</v>
      </c>
      <c r="E261" t="str">
        <f t="shared" si="35"/>
        <v>T1</v>
      </c>
      <c r="F261" t="s">
        <v>384</v>
      </c>
      <c r="G261" t="s">
        <v>114</v>
      </c>
      <c r="H261" t="s">
        <v>75</v>
      </c>
      <c r="I261" t="s">
        <v>115</v>
      </c>
      <c r="J261" t="s">
        <v>70</v>
      </c>
      <c r="K261" t="s">
        <v>71</v>
      </c>
      <c r="L261" t="s">
        <v>90</v>
      </c>
      <c r="M261" s="24">
        <v>3</v>
      </c>
      <c r="N261" s="25">
        <v>90239.61</v>
      </c>
      <c r="O261" s="25">
        <f t="shared" si="36"/>
        <v>270718.83</v>
      </c>
      <c r="P261" s="25">
        <v>65462.26</v>
      </c>
      <c r="Q261" s="25">
        <f t="shared" si="37"/>
        <v>196386.78</v>
      </c>
      <c r="R261" s="25">
        <f t="shared" si="38"/>
        <v>74332.050000000017</v>
      </c>
      <c r="S261" s="26">
        <f t="shared" si="39"/>
        <v>0.27457288434646387</v>
      </c>
    </row>
    <row r="262" spans="1:19" ht="15" x14ac:dyDescent="0.2">
      <c r="A262" s="23">
        <v>45723</v>
      </c>
      <c r="B262">
        <f t="shared" si="32"/>
        <v>2025</v>
      </c>
      <c r="C262">
        <f t="shared" si="33"/>
        <v>3</v>
      </c>
      <c r="D262" t="str">
        <f t="shared" si="34"/>
        <v>Marzo</v>
      </c>
      <c r="E262" t="str">
        <f t="shared" si="35"/>
        <v>T1</v>
      </c>
      <c r="F262" t="s">
        <v>385</v>
      </c>
      <c r="G262" t="s">
        <v>206</v>
      </c>
      <c r="H262" t="s">
        <v>93</v>
      </c>
      <c r="I262" t="s">
        <v>207</v>
      </c>
      <c r="J262" t="s">
        <v>57</v>
      </c>
      <c r="K262" t="s">
        <v>81</v>
      </c>
      <c r="L262" t="s">
        <v>129</v>
      </c>
      <c r="M262" s="24">
        <v>3</v>
      </c>
      <c r="N262" s="25">
        <v>100368.14</v>
      </c>
      <c r="O262" s="25">
        <f t="shared" si="36"/>
        <v>301104.42</v>
      </c>
      <c r="P262" s="25">
        <v>58710.31</v>
      </c>
      <c r="Q262" s="25">
        <f t="shared" si="37"/>
        <v>176130.93</v>
      </c>
      <c r="R262" s="25">
        <f t="shared" si="38"/>
        <v>124973.48999999999</v>
      </c>
      <c r="S262" s="26">
        <f t="shared" si="39"/>
        <v>0.41505033370151123</v>
      </c>
    </row>
    <row r="263" spans="1:19" ht="15" x14ac:dyDescent="0.2">
      <c r="A263" s="23">
        <v>45724</v>
      </c>
      <c r="B263">
        <f t="shared" si="32"/>
        <v>2025</v>
      </c>
      <c r="C263">
        <f t="shared" si="33"/>
        <v>3</v>
      </c>
      <c r="D263" t="str">
        <f t="shared" si="34"/>
        <v>Marzo</v>
      </c>
      <c r="E263" t="str">
        <f t="shared" si="35"/>
        <v>T1</v>
      </c>
      <c r="F263" t="s">
        <v>386</v>
      </c>
      <c r="G263" t="s">
        <v>54</v>
      </c>
      <c r="H263" t="s">
        <v>55</v>
      </c>
      <c r="I263" t="s">
        <v>56</v>
      </c>
      <c r="J263" t="s">
        <v>77</v>
      </c>
      <c r="K263" t="s">
        <v>107</v>
      </c>
      <c r="L263" t="s">
        <v>108</v>
      </c>
      <c r="M263" s="24">
        <v>12</v>
      </c>
      <c r="N263" s="25">
        <v>62005.25</v>
      </c>
      <c r="O263" s="25">
        <f t="shared" si="36"/>
        <v>744063</v>
      </c>
      <c r="P263" s="25">
        <v>41452.39</v>
      </c>
      <c r="Q263" s="25">
        <f t="shared" si="37"/>
        <v>497428.68</v>
      </c>
      <c r="R263" s="25">
        <f t="shared" si="38"/>
        <v>246634.32</v>
      </c>
      <c r="S263" s="26">
        <f t="shared" si="39"/>
        <v>0.33146967393890037</v>
      </c>
    </row>
    <row r="264" spans="1:19" ht="15" x14ac:dyDescent="0.2">
      <c r="A264" s="23">
        <v>45724</v>
      </c>
      <c r="B264">
        <f t="shared" si="32"/>
        <v>2025</v>
      </c>
      <c r="C264">
        <f t="shared" si="33"/>
        <v>3</v>
      </c>
      <c r="D264" t="str">
        <f t="shared" si="34"/>
        <v>Marzo</v>
      </c>
      <c r="E264" t="str">
        <f t="shared" si="35"/>
        <v>T1</v>
      </c>
      <c r="F264" t="s">
        <v>387</v>
      </c>
      <c r="G264" t="s">
        <v>74</v>
      </c>
      <c r="H264" t="s">
        <v>75</v>
      </c>
      <c r="I264" t="s">
        <v>76</v>
      </c>
      <c r="J264" t="s">
        <v>125</v>
      </c>
      <c r="K264" t="s">
        <v>138</v>
      </c>
      <c r="L264" t="s">
        <v>142</v>
      </c>
      <c r="M264" s="24">
        <v>12</v>
      </c>
      <c r="N264" s="25">
        <v>42966.36</v>
      </c>
      <c r="O264" s="25">
        <f t="shared" si="36"/>
        <v>515596.32</v>
      </c>
      <c r="P264" s="25">
        <v>28288.48</v>
      </c>
      <c r="Q264" s="25">
        <f t="shared" si="37"/>
        <v>339461.76</v>
      </c>
      <c r="R264" s="25">
        <f t="shared" si="38"/>
        <v>176134.56</v>
      </c>
      <c r="S264" s="26">
        <f t="shared" si="39"/>
        <v>0.34161329933464224</v>
      </c>
    </row>
    <row r="265" spans="1:19" ht="15" x14ac:dyDescent="0.2">
      <c r="A265" s="23">
        <v>45724</v>
      </c>
      <c r="B265">
        <f t="shared" si="32"/>
        <v>2025</v>
      </c>
      <c r="C265">
        <f t="shared" si="33"/>
        <v>3</v>
      </c>
      <c r="D265" t="str">
        <f t="shared" si="34"/>
        <v>Marzo</v>
      </c>
      <c r="E265" t="str">
        <f t="shared" si="35"/>
        <v>T1</v>
      </c>
      <c r="F265" t="s">
        <v>388</v>
      </c>
      <c r="G265" t="s">
        <v>87</v>
      </c>
      <c r="H265" t="s">
        <v>88</v>
      </c>
      <c r="I265" t="s">
        <v>89</v>
      </c>
      <c r="J265" t="s">
        <v>77</v>
      </c>
      <c r="K265" t="s">
        <v>78</v>
      </c>
      <c r="L265" t="s">
        <v>117</v>
      </c>
      <c r="M265" s="24">
        <v>8</v>
      </c>
      <c r="N265" s="25">
        <v>61184.59</v>
      </c>
      <c r="O265" s="25">
        <f t="shared" si="36"/>
        <v>489476.72</v>
      </c>
      <c r="P265" s="25">
        <v>32958.629999999997</v>
      </c>
      <c r="Q265" s="25">
        <f t="shared" si="37"/>
        <v>263669.03999999998</v>
      </c>
      <c r="R265" s="25">
        <f t="shared" si="38"/>
        <v>225807.68</v>
      </c>
      <c r="S265" s="26">
        <f t="shared" si="39"/>
        <v>0.46132465707460002</v>
      </c>
    </row>
    <row r="266" spans="1:19" ht="15" x14ac:dyDescent="0.2">
      <c r="A266" s="23">
        <v>45724</v>
      </c>
      <c r="B266">
        <f t="shared" si="32"/>
        <v>2025</v>
      </c>
      <c r="C266">
        <f t="shared" si="33"/>
        <v>3</v>
      </c>
      <c r="D266" t="str">
        <f t="shared" si="34"/>
        <v>Marzo</v>
      </c>
      <c r="E266" t="str">
        <f t="shared" si="35"/>
        <v>T1</v>
      </c>
      <c r="F266" t="s">
        <v>389</v>
      </c>
      <c r="G266" t="s">
        <v>144</v>
      </c>
      <c r="H266" t="s">
        <v>88</v>
      </c>
      <c r="I266" t="s">
        <v>145</v>
      </c>
      <c r="J266" t="s">
        <v>125</v>
      </c>
      <c r="K266" t="s">
        <v>138</v>
      </c>
      <c r="L266" t="s">
        <v>142</v>
      </c>
      <c r="M266" s="24">
        <v>17</v>
      </c>
      <c r="N266" s="25">
        <v>12375.99</v>
      </c>
      <c r="O266" s="25">
        <f t="shared" si="36"/>
        <v>210391.83</v>
      </c>
      <c r="P266" s="25">
        <v>6847.93</v>
      </c>
      <c r="Q266" s="25">
        <f t="shared" si="37"/>
        <v>116414.81</v>
      </c>
      <c r="R266" s="25">
        <f t="shared" si="38"/>
        <v>93977.01999999999</v>
      </c>
      <c r="S266" s="26">
        <f t="shared" si="39"/>
        <v>0.44667618509711138</v>
      </c>
    </row>
    <row r="267" spans="1:19" ht="15" x14ac:dyDescent="0.2">
      <c r="A267" s="23">
        <v>45724</v>
      </c>
      <c r="B267">
        <f t="shared" si="32"/>
        <v>2025</v>
      </c>
      <c r="C267">
        <f t="shared" si="33"/>
        <v>3</v>
      </c>
      <c r="D267" t="str">
        <f t="shared" si="34"/>
        <v>Marzo</v>
      </c>
      <c r="E267" t="str">
        <f t="shared" si="35"/>
        <v>T1</v>
      </c>
      <c r="F267" t="s">
        <v>390</v>
      </c>
      <c r="G267" t="s">
        <v>149</v>
      </c>
      <c r="H267" t="s">
        <v>93</v>
      </c>
      <c r="I267" t="s">
        <v>150</v>
      </c>
      <c r="J267" t="s">
        <v>70</v>
      </c>
      <c r="K267" t="s">
        <v>71</v>
      </c>
      <c r="L267" t="s">
        <v>90</v>
      </c>
      <c r="M267" s="24">
        <v>2</v>
      </c>
      <c r="N267" s="25">
        <v>47557.79</v>
      </c>
      <c r="O267" s="25">
        <f t="shared" si="36"/>
        <v>95115.58</v>
      </c>
      <c r="P267" s="25">
        <v>30436.29</v>
      </c>
      <c r="Q267" s="25">
        <f t="shared" si="37"/>
        <v>60872.58</v>
      </c>
      <c r="R267" s="25">
        <f t="shared" si="38"/>
        <v>34243</v>
      </c>
      <c r="S267" s="26">
        <f t="shared" si="39"/>
        <v>0.36001462641556725</v>
      </c>
    </row>
    <row r="268" spans="1:19" ht="15" x14ac:dyDescent="0.2">
      <c r="A268" s="23">
        <v>45725</v>
      </c>
      <c r="B268">
        <f t="shared" si="32"/>
        <v>2025</v>
      </c>
      <c r="C268">
        <f t="shared" si="33"/>
        <v>3</v>
      </c>
      <c r="D268" t="str">
        <f t="shared" si="34"/>
        <v>Marzo</v>
      </c>
      <c r="E268" t="str">
        <f t="shared" si="35"/>
        <v>T1</v>
      </c>
      <c r="F268" t="s">
        <v>391</v>
      </c>
      <c r="G268" t="s">
        <v>54</v>
      </c>
      <c r="H268" t="s">
        <v>55</v>
      </c>
      <c r="I268" t="s">
        <v>56</v>
      </c>
      <c r="J268" t="s">
        <v>77</v>
      </c>
      <c r="K268" t="s">
        <v>107</v>
      </c>
      <c r="L268" t="s">
        <v>108</v>
      </c>
      <c r="M268" s="24">
        <v>12</v>
      </c>
      <c r="N268" s="25">
        <v>64080.51</v>
      </c>
      <c r="O268" s="25">
        <f t="shared" si="36"/>
        <v>768966.12</v>
      </c>
      <c r="P268" s="25">
        <v>43128.13</v>
      </c>
      <c r="Q268" s="25">
        <f t="shared" si="37"/>
        <v>517537.55999999994</v>
      </c>
      <c r="R268" s="25">
        <f t="shared" si="38"/>
        <v>251428.56000000006</v>
      </c>
      <c r="S268" s="26">
        <f t="shared" si="39"/>
        <v>0.32696961993592133</v>
      </c>
    </row>
    <row r="269" spans="1:19" ht="15" x14ac:dyDescent="0.2">
      <c r="A269" s="23">
        <v>45725</v>
      </c>
      <c r="B269">
        <f t="shared" si="32"/>
        <v>2025</v>
      </c>
      <c r="C269">
        <f t="shared" si="33"/>
        <v>3</v>
      </c>
      <c r="D269" t="str">
        <f t="shared" si="34"/>
        <v>Marzo</v>
      </c>
      <c r="E269" t="str">
        <f t="shared" si="35"/>
        <v>T1</v>
      </c>
      <c r="F269" t="s">
        <v>392</v>
      </c>
      <c r="G269" t="s">
        <v>54</v>
      </c>
      <c r="H269" t="s">
        <v>55</v>
      </c>
      <c r="I269" t="s">
        <v>56</v>
      </c>
      <c r="J269" t="s">
        <v>125</v>
      </c>
      <c r="K269" t="s">
        <v>138</v>
      </c>
      <c r="L269" t="s">
        <v>142</v>
      </c>
      <c r="M269" s="24">
        <v>1</v>
      </c>
      <c r="N269" s="25">
        <v>46358.45</v>
      </c>
      <c r="O269" s="25">
        <f t="shared" si="36"/>
        <v>46358.45</v>
      </c>
      <c r="P269" s="25">
        <v>31982.94</v>
      </c>
      <c r="Q269" s="25">
        <f t="shared" si="37"/>
        <v>31982.94</v>
      </c>
      <c r="R269" s="25">
        <f t="shared" si="38"/>
        <v>14375.509999999998</v>
      </c>
      <c r="S269" s="26">
        <f t="shared" si="39"/>
        <v>0.31009470765308156</v>
      </c>
    </row>
    <row r="270" spans="1:19" ht="15" x14ac:dyDescent="0.2">
      <c r="A270" s="23">
        <v>45725</v>
      </c>
      <c r="B270">
        <f t="shared" si="32"/>
        <v>2025</v>
      </c>
      <c r="C270">
        <f t="shared" si="33"/>
        <v>3</v>
      </c>
      <c r="D270" t="str">
        <f t="shared" si="34"/>
        <v>Marzo</v>
      </c>
      <c r="E270" t="str">
        <f t="shared" si="35"/>
        <v>T1</v>
      </c>
      <c r="F270" t="s">
        <v>393</v>
      </c>
      <c r="G270" t="s">
        <v>68</v>
      </c>
      <c r="H270" t="s">
        <v>62</v>
      </c>
      <c r="I270" t="s">
        <v>69</v>
      </c>
      <c r="J270" t="s">
        <v>70</v>
      </c>
      <c r="K270" t="s">
        <v>84</v>
      </c>
      <c r="L270" t="s">
        <v>147</v>
      </c>
      <c r="M270" s="24">
        <v>9</v>
      </c>
      <c r="N270" s="25">
        <v>3031.72</v>
      </c>
      <c r="O270" s="25">
        <f t="shared" si="36"/>
        <v>27285.48</v>
      </c>
      <c r="P270" s="25">
        <v>2584.1799999999998</v>
      </c>
      <c r="Q270" s="25">
        <f t="shared" si="37"/>
        <v>23257.62</v>
      </c>
      <c r="R270" s="25">
        <f t="shared" si="38"/>
        <v>4027.8600000000006</v>
      </c>
      <c r="S270" s="26">
        <f t="shared" si="39"/>
        <v>0.14761917327457683</v>
      </c>
    </row>
    <row r="271" spans="1:19" ht="15" x14ac:dyDescent="0.2">
      <c r="A271" s="23">
        <v>45725</v>
      </c>
      <c r="B271">
        <f t="shared" si="32"/>
        <v>2025</v>
      </c>
      <c r="C271">
        <f t="shared" si="33"/>
        <v>3</v>
      </c>
      <c r="D271" t="str">
        <f t="shared" si="34"/>
        <v>Marzo</v>
      </c>
      <c r="E271" t="str">
        <f t="shared" si="35"/>
        <v>T1</v>
      </c>
      <c r="F271" t="s">
        <v>394</v>
      </c>
      <c r="G271" t="s">
        <v>110</v>
      </c>
      <c r="H271" t="s">
        <v>62</v>
      </c>
      <c r="I271" t="s">
        <v>69</v>
      </c>
      <c r="J271" t="s">
        <v>70</v>
      </c>
      <c r="K271" t="s">
        <v>71</v>
      </c>
      <c r="L271" t="s">
        <v>90</v>
      </c>
      <c r="M271" s="24">
        <v>48</v>
      </c>
      <c r="N271" s="25">
        <v>6283.1</v>
      </c>
      <c r="O271" s="25">
        <f t="shared" si="36"/>
        <v>301588.80000000005</v>
      </c>
      <c r="P271" s="25">
        <v>5402.86</v>
      </c>
      <c r="Q271" s="25">
        <f t="shared" si="37"/>
        <v>259337.27999999997</v>
      </c>
      <c r="R271" s="25">
        <f t="shared" si="38"/>
        <v>42251.520000000077</v>
      </c>
      <c r="S271" s="26">
        <f t="shared" si="39"/>
        <v>0.14009644920501049</v>
      </c>
    </row>
    <row r="272" spans="1:19" ht="15" x14ac:dyDescent="0.2">
      <c r="A272" s="23">
        <v>45725</v>
      </c>
      <c r="B272">
        <f t="shared" si="32"/>
        <v>2025</v>
      </c>
      <c r="C272">
        <f t="shared" si="33"/>
        <v>3</v>
      </c>
      <c r="D272" t="str">
        <f t="shared" si="34"/>
        <v>Marzo</v>
      </c>
      <c r="E272" t="str">
        <f t="shared" si="35"/>
        <v>T1</v>
      </c>
      <c r="F272" t="s">
        <v>395</v>
      </c>
      <c r="G272" t="s">
        <v>74</v>
      </c>
      <c r="H272" t="s">
        <v>75</v>
      </c>
      <c r="I272" t="s">
        <v>76</v>
      </c>
      <c r="J272" t="s">
        <v>70</v>
      </c>
      <c r="K272" t="s">
        <v>71</v>
      </c>
      <c r="L272" t="s">
        <v>90</v>
      </c>
      <c r="M272" s="24">
        <v>4</v>
      </c>
      <c r="N272" s="25">
        <v>35382.370000000003</v>
      </c>
      <c r="O272" s="25">
        <f t="shared" si="36"/>
        <v>141529.48000000001</v>
      </c>
      <c r="P272" s="25">
        <v>25270.959999999999</v>
      </c>
      <c r="Q272" s="25">
        <f t="shared" si="37"/>
        <v>101083.84</v>
      </c>
      <c r="R272" s="25">
        <f t="shared" si="38"/>
        <v>40445.640000000014</v>
      </c>
      <c r="S272" s="26">
        <f t="shared" si="39"/>
        <v>0.28577537344163217</v>
      </c>
    </row>
    <row r="273" spans="1:19" ht="15" x14ac:dyDescent="0.2">
      <c r="A273" s="23">
        <v>45725</v>
      </c>
      <c r="B273">
        <f t="shared" si="32"/>
        <v>2025</v>
      </c>
      <c r="C273">
        <f t="shared" si="33"/>
        <v>3</v>
      </c>
      <c r="D273" t="str">
        <f t="shared" si="34"/>
        <v>Marzo</v>
      </c>
      <c r="E273" t="str">
        <f t="shared" si="35"/>
        <v>T1</v>
      </c>
      <c r="F273" t="s">
        <v>396</v>
      </c>
      <c r="G273" t="s">
        <v>100</v>
      </c>
      <c r="H273" t="s">
        <v>88</v>
      </c>
      <c r="I273" t="s">
        <v>101</v>
      </c>
      <c r="J273" t="s">
        <v>77</v>
      </c>
      <c r="K273" t="s">
        <v>107</v>
      </c>
      <c r="L273" t="s">
        <v>108</v>
      </c>
      <c r="M273" s="24">
        <v>11</v>
      </c>
      <c r="N273" s="25">
        <v>41029.32</v>
      </c>
      <c r="O273" s="25">
        <f t="shared" si="36"/>
        <v>451322.52</v>
      </c>
      <c r="P273" s="25">
        <v>21582.27</v>
      </c>
      <c r="Q273" s="25">
        <f t="shared" si="37"/>
        <v>237404.97</v>
      </c>
      <c r="R273" s="25">
        <f t="shared" si="38"/>
        <v>213917.55000000002</v>
      </c>
      <c r="S273" s="26">
        <f t="shared" si="39"/>
        <v>0.47397933965271666</v>
      </c>
    </row>
    <row r="274" spans="1:19" ht="15" x14ac:dyDescent="0.2">
      <c r="A274" s="23">
        <v>45725</v>
      </c>
      <c r="B274">
        <f t="shared" si="32"/>
        <v>2025</v>
      </c>
      <c r="C274">
        <f t="shared" si="33"/>
        <v>3</v>
      </c>
      <c r="D274" t="str">
        <f t="shared" si="34"/>
        <v>Marzo</v>
      </c>
      <c r="E274" t="str">
        <f t="shared" si="35"/>
        <v>T1</v>
      </c>
      <c r="F274" t="s">
        <v>397</v>
      </c>
      <c r="G274" t="s">
        <v>92</v>
      </c>
      <c r="H274" t="s">
        <v>93</v>
      </c>
      <c r="I274" t="s">
        <v>94</v>
      </c>
      <c r="J274" t="s">
        <v>70</v>
      </c>
      <c r="K274" t="s">
        <v>84</v>
      </c>
      <c r="L274" t="s">
        <v>85</v>
      </c>
      <c r="M274" s="24">
        <v>4</v>
      </c>
      <c r="N274" s="25">
        <v>20132.310000000001</v>
      </c>
      <c r="O274" s="25">
        <f t="shared" si="36"/>
        <v>80529.240000000005</v>
      </c>
      <c r="P274" s="25">
        <v>12382.22</v>
      </c>
      <c r="Q274" s="25">
        <f t="shared" si="37"/>
        <v>49528.88</v>
      </c>
      <c r="R274" s="25">
        <f t="shared" si="38"/>
        <v>31000.360000000008</v>
      </c>
      <c r="S274" s="26">
        <f t="shared" si="39"/>
        <v>0.38495781159737763</v>
      </c>
    </row>
    <row r="275" spans="1:19" ht="15" x14ac:dyDescent="0.2">
      <c r="A275" s="23">
        <v>45726</v>
      </c>
      <c r="B275">
        <f t="shared" si="32"/>
        <v>2025</v>
      </c>
      <c r="C275">
        <f t="shared" si="33"/>
        <v>3</v>
      </c>
      <c r="D275" t="str">
        <f t="shared" si="34"/>
        <v>Marzo</v>
      </c>
      <c r="E275" t="str">
        <f t="shared" si="35"/>
        <v>T1</v>
      </c>
      <c r="F275" t="s">
        <v>398</v>
      </c>
      <c r="G275" t="s">
        <v>68</v>
      </c>
      <c r="H275" t="s">
        <v>62</v>
      </c>
      <c r="I275" t="s">
        <v>69</v>
      </c>
      <c r="J275" t="s">
        <v>70</v>
      </c>
      <c r="K275" t="s">
        <v>71</v>
      </c>
      <c r="L275" t="s">
        <v>72</v>
      </c>
      <c r="M275" s="24">
        <v>59</v>
      </c>
      <c r="N275" s="25">
        <v>2977.69</v>
      </c>
      <c r="O275" s="25">
        <f t="shared" si="36"/>
        <v>175683.71</v>
      </c>
      <c r="P275" s="25">
        <v>2581.65</v>
      </c>
      <c r="Q275" s="25">
        <f t="shared" si="37"/>
        <v>152317.35</v>
      </c>
      <c r="R275" s="25">
        <f t="shared" si="38"/>
        <v>23366.359999999986</v>
      </c>
      <c r="S275" s="26">
        <f t="shared" si="39"/>
        <v>0.13300242805664786</v>
      </c>
    </row>
    <row r="276" spans="1:19" ht="15" x14ac:dyDescent="0.2">
      <c r="A276" s="23">
        <v>45726</v>
      </c>
      <c r="B276">
        <f t="shared" si="32"/>
        <v>2025</v>
      </c>
      <c r="C276">
        <f t="shared" si="33"/>
        <v>3</v>
      </c>
      <c r="D276" t="str">
        <f t="shared" si="34"/>
        <v>Marzo</v>
      </c>
      <c r="E276" t="str">
        <f t="shared" si="35"/>
        <v>T1</v>
      </c>
      <c r="F276" t="s">
        <v>399</v>
      </c>
      <c r="G276" t="s">
        <v>74</v>
      </c>
      <c r="H276" t="s">
        <v>75</v>
      </c>
      <c r="I276" t="s">
        <v>76</v>
      </c>
      <c r="J276" t="s">
        <v>57</v>
      </c>
      <c r="K276" t="s">
        <v>58</v>
      </c>
      <c r="L276" t="s">
        <v>59</v>
      </c>
      <c r="M276" s="24">
        <v>6</v>
      </c>
      <c r="N276" s="25">
        <v>39179.089999999997</v>
      </c>
      <c r="O276" s="25">
        <f t="shared" si="36"/>
        <v>235074.53999999998</v>
      </c>
      <c r="P276" s="25">
        <v>26488.71</v>
      </c>
      <c r="Q276" s="25">
        <f t="shared" si="37"/>
        <v>158932.26</v>
      </c>
      <c r="R276" s="25">
        <f t="shared" si="38"/>
        <v>76142.27999999997</v>
      </c>
      <c r="S276" s="26">
        <f t="shared" si="39"/>
        <v>0.32390696159609617</v>
      </c>
    </row>
    <row r="277" spans="1:19" ht="15" x14ac:dyDescent="0.2">
      <c r="A277" s="23">
        <v>45726</v>
      </c>
      <c r="B277">
        <f t="shared" si="32"/>
        <v>2025</v>
      </c>
      <c r="C277">
        <f t="shared" si="33"/>
        <v>3</v>
      </c>
      <c r="D277" t="str">
        <f t="shared" si="34"/>
        <v>Marzo</v>
      </c>
      <c r="E277" t="str">
        <f t="shared" si="35"/>
        <v>T1</v>
      </c>
      <c r="F277" t="s">
        <v>400</v>
      </c>
      <c r="G277" t="s">
        <v>100</v>
      </c>
      <c r="H277" t="s">
        <v>88</v>
      </c>
      <c r="I277" t="s">
        <v>101</v>
      </c>
      <c r="J277" t="s">
        <v>64</v>
      </c>
      <c r="K277" t="s">
        <v>65</v>
      </c>
      <c r="L277" t="s">
        <v>123</v>
      </c>
      <c r="M277" s="24">
        <v>23</v>
      </c>
      <c r="N277" s="25">
        <v>35529.589999999997</v>
      </c>
      <c r="O277" s="25">
        <f t="shared" si="36"/>
        <v>817180.57</v>
      </c>
      <c r="P277" s="25">
        <v>20688.21</v>
      </c>
      <c r="Q277" s="25">
        <f t="shared" si="37"/>
        <v>475828.82999999996</v>
      </c>
      <c r="R277" s="25">
        <f t="shared" si="38"/>
        <v>341351.74</v>
      </c>
      <c r="S277" s="26">
        <f t="shared" si="39"/>
        <v>0.41771886475470166</v>
      </c>
    </row>
    <row r="278" spans="1:19" ht="15" x14ac:dyDescent="0.2">
      <c r="A278" s="23">
        <v>45726</v>
      </c>
      <c r="B278">
        <f t="shared" si="32"/>
        <v>2025</v>
      </c>
      <c r="C278">
        <f t="shared" si="33"/>
        <v>3</v>
      </c>
      <c r="D278" t="str">
        <f t="shared" si="34"/>
        <v>Marzo</v>
      </c>
      <c r="E278" t="str">
        <f t="shared" si="35"/>
        <v>T1</v>
      </c>
      <c r="F278" t="s">
        <v>401</v>
      </c>
      <c r="G278" t="s">
        <v>206</v>
      </c>
      <c r="H278" t="s">
        <v>93</v>
      </c>
      <c r="I278" t="s">
        <v>207</v>
      </c>
      <c r="J278" t="s">
        <v>64</v>
      </c>
      <c r="K278" t="s">
        <v>96</v>
      </c>
      <c r="L278" t="s">
        <v>103</v>
      </c>
      <c r="M278" s="24">
        <v>2</v>
      </c>
      <c r="N278" s="25">
        <v>122404.57</v>
      </c>
      <c r="O278" s="25">
        <f t="shared" si="36"/>
        <v>244809.14</v>
      </c>
      <c r="P278" s="25">
        <v>75309.539999999994</v>
      </c>
      <c r="Q278" s="25">
        <f t="shared" si="37"/>
        <v>150619.07999999999</v>
      </c>
      <c r="R278" s="25">
        <f t="shared" si="38"/>
        <v>94190.060000000027</v>
      </c>
      <c r="S278" s="26">
        <f t="shared" si="39"/>
        <v>0.38474895177524837</v>
      </c>
    </row>
    <row r="279" spans="1:19" ht="15" x14ac:dyDescent="0.2">
      <c r="A279" s="23">
        <v>45726</v>
      </c>
      <c r="B279">
        <f t="shared" si="32"/>
        <v>2025</v>
      </c>
      <c r="C279">
        <f t="shared" si="33"/>
        <v>3</v>
      </c>
      <c r="D279" t="str">
        <f t="shared" si="34"/>
        <v>Marzo</v>
      </c>
      <c r="E279" t="str">
        <f t="shared" si="35"/>
        <v>T1</v>
      </c>
      <c r="F279" t="s">
        <v>402</v>
      </c>
      <c r="G279" t="s">
        <v>149</v>
      </c>
      <c r="H279" t="s">
        <v>93</v>
      </c>
      <c r="I279" t="s">
        <v>150</v>
      </c>
      <c r="J279" t="s">
        <v>64</v>
      </c>
      <c r="K279" t="s">
        <v>96</v>
      </c>
      <c r="L279" t="s">
        <v>97</v>
      </c>
      <c r="M279" s="24">
        <v>11</v>
      </c>
      <c r="N279" s="25">
        <v>41314.199999999997</v>
      </c>
      <c r="O279" s="25">
        <f t="shared" si="36"/>
        <v>454456.19999999995</v>
      </c>
      <c r="P279" s="25">
        <v>25328.07</v>
      </c>
      <c r="Q279" s="25">
        <f t="shared" si="37"/>
        <v>278608.77</v>
      </c>
      <c r="R279" s="25">
        <f t="shared" si="38"/>
        <v>175847.42999999993</v>
      </c>
      <c r="S279" s="26">
        <f t="shared" si="39"/>
        <v>0.38694032560233516</v>
      </c>
    </row>
    <row r="280" spans="1:19" ht="15" x14ac:dyDescent="0.2">
      <c r="A280" s="23">
        <v>45726</v>
      </c>
      <c r="B280">
        <f t="shared" si="32"/>
        <v>2025</v>
      </c>
      <c r="C280">
        <f t="shared" si="33"/>
        <v>3</v>
      </c>
      <c r="D280" t="str">
        <f t="shared" si="34"/>
        <v>Marzo</v>
      </c>
      <c r="E280" t="str">
        <f t="shared" si="35"/>
        <v>T1</v>
      </c>
      <c r="F280" t="s">
        <v>403</v>
      </c>
      <c r="G280" t="s">
        <v>149</v>
      </c>
      <c r="H280" t="s">
        <v>93</v>
      </c>
      <c r="I280" t="s">
        <v>150</v>
      </c>
      <c r="J280" t="s">
        <v>125</v>
      </c>
      <c r="K280" t="s">
        <v>126</v>
      </c>
      <c r="L280" t="s">
        <v>127</v>
      </c>
      <c r="M280" s="24">
        <v>2</v>
      </c>
      <c r="N280" s="25">
        <v>54942</v>
      </c>
      <c r="O280" s="25">
        <f t="shared" si="36"/>
        <v>109884</v>
      </c>
      <c r="P280" s="25">
        <v>32213.91</v>
      </c>
      <c r="Q280" s="25">
        <f t="shared" si="37"/>
        <v>64427.82</v>
      </c>
      <c r="R280" s="25">
        <f t="shared" si="38"/>
        <v>45456.18</v>
      </c>
      <c r="S280" s="26">
        <f t="shared" si="39"/>
        <v>0.41367423828764882</v>
      </c>
    </row>
    <row r="281" spans="1:19" ht="15" x14ac:dyDescent="0.2">
      <c r="A281" s="23">
        <v>45727</v>
      </c>
      <c r="B281">
        <f t="shared" si="32"/>
        <v>2025</v>
      </c>
      <c r="C281">
        <f t="shared" si="33"/>
        <v>3</v>
      </c>
      <c r="D281" t="str">
        <f t="shared" si="34"/>
        <v>Marzo</v>
      </c>
      <c r="E281" t="str">
        <f t="shared" si="35"/>
        <v>T1</v>
      </c>
      <c r="F281" t="s">
        <v>404</v>
      </c>
      <c r="G281" t="s">
        <v>54</v>
      </c>
      <c r="H281" t="s">
        <v>55</v>
      </c>
      <c r="I281" t="s">
        <v>56</v>
      </c>
      <c r="J281" t="s">
        <v>125</v>
      </c>
      <c r="K281" t="s">
        <v>138</v>
      </c>
      <c r="L281" t="s">
        <v>139</v>
      </c>
      <c r="M281" s="24">
        <v>11</v>
      </c>
      <c r="N281" s="25">
        <v>62368.27</v>
      </c>
      <c r="O281" s="25">
        <f t="shared" si="36"/>
        <v>686050.97</v>
      </c>
      <c r="P281" s="25">
        <v>43167.33</v>
      </c>
      <c r="Q281" s="25">
        <f t="shared" si="37"/>
        <v>474840.63</v>
      </c>
      <c r="R281" s="25">
        <f t="shared" si="38"/>
        <v>211210.33999999997</v>
      </c>
      <c r="S281" s="26">
        <f t="shared" si="39"/>
        <v>0.30786391862400542</v>
      </c>
    </row>
    <row r="282" spans="1:19" ht="15" x14ac:dyDescent="0.2">
      <c r="A282" s="23">
        <v>45727</v>
      </c>
      <c r="B282">
        <f t="shared" si="32"/>
        <v>2025</v>
      </c>
      <c r="C282">
        <f t="shared" si="33"/>
        <v>3</v>
      </c>
      <c r="D282" t="str">
        <f t="shared" si="34"/>
        <v>Marzo</v>
      </c>
      <c r="E282" t="str">
        <f t="shared" si="35"/>
        <v>T1</v>
      </c>
      <c r="F282" t="s">
        <v>405</v>
      </c>
      <c r="G282" t="s">
        <v>110</v>
      </c>
      <c r="H282" t="s">
        <v>62</v>
      </c>
      <c r="I282" t="s">
        <v>69</v>
      </c>
      <c r="J282" t="s">
        <v>57</v>
      </c>
      <c r="K282" t="s">
        <v>81</v>
      </c>
      <c r="L282" t="s">
        <v>82</v>
      </c>
      <c r="M282" s="24">
        <v>69</v>
      </c>
      <c r="N282" s="25">
        <v>6680.06</v>
      </c>
      <c r="O282" s="25">
        <f t="shared" si="36"/>
        <v>460924.14</v>
      </c>
      <c r="P282" s="25">
        <v>5429.89</v>
      </c>
      <c r="Q282" s="25">
        <f t="shared" si="37"/>
        <v>374662.41000000003</v>
      </c>
      <c r="R282" s="25">
        <f t="shared" si="38"/>
        <v>86261.729999999981</v>
      </c>
      <c r="S282" s="26">
        <f t="shared" si="39"/>
        <v>0.18714951662110815</v>
      </c>
    </row>
    <row r="283" spans="1:19" ht="15" x14ac:dyDescent="0.2">
      <c r="A283" s="23">
        <v>45727</v>
      </c>
      <c r="B283">
        <f t="shared" si="32"/>
        <v>2025</v>
      </c>
      <c r="C283">
        <f t="shared" si="33"/>
        <v>3</v>
      </c>
      <c r="D283" t="str">
        <f t="shared" si="34"/>
        <v>Marzo</v>
      </c>
      <c r="E283" t="str">
        <f t="shared" si="35"/>
        <v>T1</v>
      </c>
      <c r="F283" t="s">
        <v>406</v>
      </c>
      <c r="G283" t="s">
        <v>74</v>
      </c>
      <c r="H283" t="s">
        <v>75</v>
      </c>
      <c r="I283" t="s">
        <v>76</v>
      </c>
      <c r="J283" t="s">
        <v>64</v>
      </c>
      <c r="K283" t="s">
        <v>96</v>
      </c>
      <c r="L283" t="s">
        <v>97</v>
      </c>
      <c r="M283" s="24">
        <v>3</v>
      </c>
      <c r="N283" s="25">
        <v>47394.69</v>
      </c>
      <c r="O283" s="25">
        <f t="shared" si="36"/>
        <v>142184.07</v>
      </c>
      <c r="P283" s="25">
        <v>32411.42</v>
      </c>
      <c r="Q283" s="25">
        <f t="shared" si="37"/>
        <v>97234.26</v>
      </c>
      <c r="R283" s="25">
        <f t="shared" si="38"/>
        <v>44949.810000000012</v>
      </c>
      <c r="S283" s="26">
        <f t="shared" si="39"/>
        <v>0.31613815809323792</v>
      </c>
    </row>
    <row r="284" spans="1:19" ht="15" x14ac:dyDescent="0.2">
      <c r="A284" s="23">
        <v>45727</v>
      </c>
      <c r="B284">
        <f t="shared" si="32"/>
        <v>2025</v>
      </c>
      <c r="C284">
        <f t="shared" si="33"/>
        <v>3</v>
      </c>
      <c r="D284" t="str">
        <f t="shared" si="34"/>
        <v>Marzo</v>
      </c>
      <c r="E284" t="str">
        <f t="shared" si="35"/>
        <v>T1</v>
      </c>
      <c r="F284" t="s">
        <v>407</v>
      </c>
      <c r="G284" t="s">
        <v>74</v>
      </c>
      <c r="H284" t="s">
        <v>75</v>
      </c>
      <c r="I284" t="s">
        <v>76</v>
      </c>
      <c r="J284" t="s">
        <v>77</v>
      </c>
      <c r="K284" t="s">
        <v>78</v>
      </c>
      <c r="L284" t="s">
        <v>117</v>
      </c>
      <c r="M284" s="24">
        <v>13</v>
      </c>
      <c r="N284" s="25">
        <v>43056.54</v>
      </c>
      <c r="O284" s="25">
        <f t="shared" si="36"/>
        <v>559735.02</v>
      </c>
      <c r="P284" s="25">
        <v>28880.34</v>
      </c>
      <c r="Q284" s="25">
        <f t="shared" si="37"/>
        <v>375444.42</v>
      </c>
      <c r="R284" s="25">
        <f t="shared" si="38"/>
        <v>184290.60000000003</v>
      </c>
      <c r="S284" s="26">
        <f t="shared" si="39"/>
        <v>0.32924614936546232</v>
      </c>
    </row>
    <row r="285" spans="1:19" ht="15" x14ac:dyDescent="0.2">
      <c r="A285" s="23">
        <v>45727</v>
      </c>
      <c r="B285">
        <f t="shared" si="32"/>
        <v>2025</v>
      </c>
      <c r="C285">
        <f t="shared" si="33"/>
        <v>3</v>
      </c>
      <c r="D285" t="str">
        <f t="shared" si="34"/>
        <v>Marzo</v>
      </c>
      <c r="E285" t="str">
        <f t="shared" si="35"/>
        <v>T1</v>
      </c>
      <c r="F285" t="s">
        <v>408</v>
      </c>
      <c r="G285" t="s">
        <v>92</v>
      </c>
      <c r="H285" t="s">
        <v>93</v>
      </c>
      <c r="I285" t="s">
        <v>94</v>
      </c>
      <c r="J285" t="s">
        <v>125</v>
      </c>
      <c r="K285" t="s">
        <v>126</v>
      </c>
      <c r="L285" t="s">
        <v>131</v>
      </c>
      <c r="M285" s="24">
        <v>3</v>
      </c>
      <c r="N285" s="25">
        <v>23753.94</v>
      </c>
      <c r="O285" s="25">
        <f t="shared" si="36"/>
        <v>71261.819999999992</v>
      </c>
      <c r="P285" s="25">
        <v>13671.53</v>
      </c>
      <c r="Q285" s="25">
        <f t="shared" si="37"/>
        <v>41014.590000000004</v>
      </c>
      <c r="R285" s="25">
        <f t="shared" si="38"/>
        <v>30247.229999999989</v>
      </c>
      <c r="S285" s="26">
        <f t="shared" si="39"/>
        <v>0.42445211194437626</v>
      </c>
    </row>
    <row r="286" spans="1:19" ht="15" x14ac:dyDescent="0.2">
      <c r="A286" s="23">
        <v>45728</v>
      </c>
      <c r="B286">
        <f t="shared" si="32"/>
        <v>2025</v>
      </c>
      <c r="C286">
        <f t="shared" si="33"/>
        <v>3</v>
      </c>
      <c r="D286" t="str">
        <f t="shared" si="34"/>
        <v>Marzo</v>
      </c>
      <c r="E286" t="str">
        <f t="shared" si="35"/>
        <v>T1</v>
      </c>
      <c r="F286" t="s">
        <v>409</v>
      </c>
      <c r="G286" t="s">
        <v>105</v>
      </c>
      <c r="H286" t="s">
        <v>62</v>
      </c>
      <c r="I286" t="s">
        <v>106</v>
      </c>
      <c r="J286" t="s">
        <v>64</v>
      </c>
      <c r="K286" t="s">
        <v>96</v>
      </c>
      <c r="L286" t="s">
        <v>97</v>
      </c>
      <c r="M286" s="24">
        <v>360</v>
      </c>
      <c r="N286" s="25">
        <v>1786.04</v>
      </c>
      <c r="O286" s="25">
        <f t="shared" si="36"/>
        <v>642974.4</v>
      </c>
      <c r="P286" s="25">
        <v>1498.38</v>
      </c>
      <c r="Q286" s="25">
        <f t="shared" si="37"/>
        <v>539416.80000000005</v>
      </c>
      <c r="R286" s="25">
        <f t="shared" si="38"/>
        <v>103557.59999999998</v>
      </c>
      <c r="S286" s="26">
        <f t="shared" si="39"/>
        <v>0.1610602226153949</v>
      </c>
    </row>
    <row r="287" spans="1:19" ht="15" x14ac:dyDescent="0.2">
      <c r="A287" s="23">
        <v>45728</v>
      </c>
      <c r="B287">
        <f t="shared" si="32"/>
        <v>2025</v>
      </c>
      <c r="C287">
        <f t="shared" si="33"/>
        <v>3</v>
      </c>
      <c r="D287" t="str">
        <f t="shared" si="34"/>
        <v>Marzo</v>
      </c>
      <c r="E287" t="str">
        <f t="shared" si="35"/>
        <v>T1</v>
      </c>
      <c r="F287" t="s">
        <v>410</v>
      </c>
      <c r="G287" t="s">
        <v>68</v>
      </c>
      <c r="H287" t="s">
        <v>62</v>
      </c>
      <c r="I287" t="s">
        <v>69</v>
      </c>
      <c r="J287" t="s">
        <v>57</v>
      </c>
      <c r="K287" t="s">
        <v>58</v>
      </c>
      <c r="L287" t="s">
        <v>162</v>
      </c>
      <c r="M287" s="24">
        <v>99</v>
      </c>
      <c r="N287" s="25">
        <v>3118.59</v>
      </c>
      <c r="O287" s="25">
        <f t="shared" si="36"/>
        <v>308740.41000000003</v>
      </c>
      <c r="P287" s="25">
        <v>2588.89</v>
      </c>
      <c r="Q287" s="25">
        <f t="shared" si="37"/>
        <v>256300.11</v>
      </c>
      <c r="R287" s="25">
        <f t="shared" si="38"/>
        <v>52440.300000000047</v>
      </c>
      <c r="S287" s="26">
        <f t="shared" si="39"/>
        <v>0.16985240124543477</v>
      </c>
    </row>
    <row r="288" spans="1:19" ht="15" x14ac:dyDescent="0.2">
      <c r="A288" s="23">
        <v>45728</v>
      </c>
      <c r="B288">
        <f t="shared" si="32"/>
        <v>2025</v>
      </c>
      <c r="C288">
        <f t="shared" si="33"/>
        <v>3</v>
      </c>
      <c r="D288" t="str">
        <f t="shared" si="34"/>
        <v>Marzo</v>
      </c>
      <c r="E288" t="str">
        <f t="shared" si="35"/>
        <v>T1</v>
      </c>
      <c r="F288" t="s">
        <v>411</v>
      </c>
      <c r="G288" t="s">
        <v>114</v>
      </c>
      <c r="H288" t="s">
        <v>75</v>
      </c>
      <c r="I288" t="s">
        <v>115</v>
      </c>
      <c r="J288" t="s">
        <v>64</v>
      </c>
      <c r="K288" t="s">
        <v>65</v>
      </c>
      <c r="L288" t="s">
        <v>66</v>
      </c>
      <c r="M288" s="24">
        <v>7</v>
      </c>
      <c r="N288" s="25">
        <v>87410.48</v>
      </c>
      <c r="O288" s="25">
        <f t="shared" si="36"/>
        <v>611873.36</v>
      </c>
      <c r="P288" s="25">
        <v>60623.67</v>
      </c>
      <c r="Q288" s="25">
        <f t="shared" si="37"/>
        <v>424365.69</v>
      </c>
      <c r="R288" s="25">
        <f t="shared" si="38"/>
        <v>187507.66999999998</v>
      </c>
      <c r="S288" s="26">
        <f t="shared" si="39"/>
        <v>0.3064484945054643</v>
      </c>
    </row>
    <row r="289" spans="1:19" ht="15" x14ac:dyDescent="0.2">
      <c r="A289" s="23">
        <v>45728</v>
      </c>
      <c r="B289">
        <f t="shared" si="32"/>
        <v>2025</v>
      </c>
      <c r="C289">
        <f t="shared" si="33"/>
        <v>3</v>
      </c>
      <c r="D289" t="str">
        <f t="shared" si="34"/>
        <v>Marzo</v>
      </c>
      <c r="E289" t="str">
        <f t="shared" si="35"/>
        <v>T1</v>
      </c>
      <c r="F289" t="s">
        <v>412</v>
      </c>
      <c r="G289" t="s">
        <v>188</v>
      </c>
      <c r="H289" t="s">
        <v>88</v>
      </c>
      <c r="I289" t="s">
        <v>189</v>
      </c>
      <c r="J289" t="s">
        <v>64</v>
      </c>
      <c r="K289" t="s">
        <v>65</v>
      </c>
      <c r="L289" t="s">
        <v>123</v>
      </c>
      <c r="M289" s="24">
        <v>5</v>
      </c>
      <c r="N289" s="25">
        <v>70854.259999999995</v>
      </c>
      <c r="O289" s="25">
        <f t="shared" si="36"/>
        <v>354271.3</v>
      </c>
      <c r="P289" s="25">
        <v>40542.42</v>
      </c>
      <c r="Q289" s="25">
        <f t="shared" si="37"/>
        <v>202712.09999999998</v>
      </c>
      <c r="R289" s="25">
        <f t="shared" si="38"/>
        <v>151559.20000000001</v>
      </c>
      <c r="S289" s="26">
        <f t="shared" si="39"/>
        <v>0.42780546998867819</v>
      </c>
    </row>
    <row r="290" spans="1:19" ht="15" x14ac:dyDescent="0.2">
      <c r="A290" s="23">
        <v>45729</v>
      </c>
      <c r="B290">
        <f t="shared" si="32"/>
        <v>2025</v>
      </c>
      <c r="C290">
        <f t="shared" si="33"/>
        <v>3</v>
      </c>
      <c r="D290" t="str">
        <f t="shared" si="34"/>
        <v>Marzo</v>
      </c>
      <c r="E290" t="str">
        <f t="shared" si="35"/>
        <v>T1</v>
      </c>
      <c r="F290" t="s">
        <v>413</v>
      </c>
      <c r="G290" t="s">
        <v>54</v>
      </c>
      <c r="H290" t="s">
        <v>55</v>
      </c>
      <c r="I290" t="s">
        <v>56</v>
      </c>
      <c r="J290" t="s">
        <v>57</v>
      </c>
      <c r="K290" t="s">
        <v>58</v>
      </c>
      <c r="L290" t="s">
        <v>59</v>
      </c>
      <c r="M290" s="24">
        <v>8</v>
      </c>
      <c r="N290" s="25">
        <v>56997.67</v>
      </c>
      <c r="O290" s="25">
        <f t="shared" si="36"/>
        <v>455981.36</v>
      </c>
      <c r="P290" s="25">
        <v>40145.339999999997</v>
      </c>
      <c r="Q290" s="25">
        <f t="shared" si="37"/>
        <v>321162.71999999997</v>
      </c>
      <c r="R290" s="25">
        <f t="shared" si="38"/>
        <v>134818.64000000001</v>
      </c>
      <c r="S290" s="26">
        <f t="shared" si="39"/>
        <v>0.29566699831765059</v>
      </c>
    </row>
    <row r="291" spans="1:19" ht="15" x14ac:dyDescent="0.2">
      <c r="A291" s="23">
        <v>45729</v>
      </c>
      <c r="B291">
        <f t="shared" si="32"/>
        <v>2025</v>
      </c>
      <c r="C291">
        <f t="shared" si="33"/>
        <v>3</v>
      </c>
      <c r="D291" t="str">
        <f t="shared" si="34"/>
        <v>Marzo</v>
      </c>
      <c r="E291" t="str">
        <f t="shared" si="35"/>
        <v>T1</v>
      </c>
      <c r="F291" t="s">
        <v>414</v>
      </c>
      <c r="G291" t="s">
        <v>61</v>
      </c>
      <c r="H291" t="s">
        <v>62</v>
      </c>
      <c r="I291" t="s">
        <v>63</v>
      </c>
      <c r="J291" t="s">
        <v>57</v>
      </c>
      <c r="K291" t="s">
        <v>58</v>
      </c>
      <c r="L291" t="s">
        <v>162</v>
      </c>
      <c r="M291" s="24">
        <v>30</v>
      </c>
      <c r="N291" s="25">
        <v>5827.63</v>
      </c>
      <c r="O291" s="25">
        <f t="shared" si="36"/>
        <v>174828.9</v>
      </c>
      <c r="P291" s="25">
        <v>4793.3999999999996</v>
      </c>
      <c r="Q291" s="25">
        <f t="shared" si="37"/>
        <v>143802</v>
      </c>
      <c r="R291" s="25">
        <f t="shared" si="38"/>
        <v>31026.899999999994</v>
      </c>
      <c r="S291" s="26">
        <f t="shared" si="39"/>
        <v>0.17747008646739754</v>
      </c>
    </row>
    <row r="292" spans="1:19" ht="15" x14ac:dyDescent="0.2">
      <c r="A292" s="23">
        <v>45729</v>
      </c>
      <c r="B292">
        <f t="shared" si="32"/>
        <v>2025</v>
      </c>
      <c r="C292">
        <f t="shared" si="33"/>
        <v>3</v>
      </c>
      <c r="D292" t="str">
        <f t="shared" si="34"/>
        <v>Marzo</v>
      </c>
      <c r="E292" t="str">
        <f t="shared" si="35"/>
        <v>T1</v>
      </c>
      <c r="F292" t="s">
        <v>415</v>
      </c>
      <c r="G292" t="s">
        <v>114</v>
      </c>
      <c r="H292" t="s">
        <v>75</v>
      </c>
      <c r="I292" t="s">
        <v>115</v>
      </c>
      <c r="J292" t="s">
        <v>57</v>
      </c>
      <c r="K292" t="s">
        <v>81</v>
      </c>
      <c r="L292" t="s">
        <v>129</v>
      </c>
      <c r="M292" s="24">
        <v>4</v>
      </c>
      <c r="N292" s="25">
        <v>100240.74</v>
      </c>
      <c r="O292" s="25">
        <f t="shared" si="36"/>
        <v>400962.96</v>
      </c>
      <c r="P292" s="25">
        <v>66458.880000000005</v>
      </c>
      <c r="Q292" s="25">
        <f t="shared" si="37"/>
        <v>265835.52000000002</v>
      </c>
      <c r="R292" s="25">
        <f t="shared" si="38"/>
        <v>135127.44</v>
      </c>
      <c r="S292" s="26">
        <f t="shared" si="39"/>
        <v>0.33700728865329604</v>
      </c>
    </row>
    <row r="293" spans="1:19" ht="15" x14ac:dyDescent="0.2">
      <c r="A293" s="23">
        <v>45730</v>
      </c>
      <c r="B293">
        <f t="shared" si="32"/>
        <v>2025</v>
      </c>
      <c r="C293">
        <f t="shared" si="33"/>
        <v>3</v>
      </c>
      <c r="D293" t="str">
        <f t="shared" si="34"/>
        <v>Marzo</v>
      </c>
      <c r="E293" t="str">
        <f t="shared" si="35"/>
        <v>T1</v>
      </c>
      <c r="F293" t="s">
        <v>416</v>
      </c>
      <c r="G293" t="s">
        <v>54</v>
      </c>
      <c r="H293" t="s">
        <v>55</v>
      </c>
      <c r="I293" t="s">
        <v>56</v>
      </c>
      <c r="J293" t="s">
        <v>77</v>
      </c>
      <c r="K293" t="s">
        <v>78</v>
      </c>
      <c r="L293" t="s">
        <v>117</v>
      </c>
      <c r="M293" s="24">
        <v>3</v>
      </c>
      <c r="N293" s="25">
        <v>67929.63</v>
      </c>
      <c r="O293" s="25">
        <f t="shared" si="36"/>
        <v>203788.89</v>
      </c>
      <c r="P293" s="25">
        <v>47586.11</v>
      </c>
      <c r="Q293" s="25">
        <f t="shared" si="37"/>
        <v>142758.33000000002</v>
      </c>
      <c r="R293" s="25">
        <f t="shared" si="38"/>
        <v>61030.559999999998</v>
      </c>
      <c r="S293" s="26">
        <f t="shared" si="39"/>
        <v>0.29947932882896605</v>
      </c>
    </row>
    <row r="294" spans="1:19" ht="15" x14ac:dyDescent="0.2">
      <c r="A294" s="23">
        <v>45730</v>
      </c>
      <c r="B294">
        <f t="shared" si="32"/>
        <v>2025</v>
      </c>
      <c r="C294">
        <f t="shared" si="33"/>
        <v>3</v>
      </c>
      <c r="D294" t="str">
        <f t="shared" si="34"/>
        <v>Marzo</v>
      </c>
      <c r="E294" t="str">
        <f t="shared" si="35"/>
        <v>T1</v>
      </c>
      <c r="F294" t="s">
        <v>417</v>
      </c>
      <c r="G294" t="s">
        <v>61</v>
      </c>
      <c r="H294" t="s">
        <v>62</v>
      </c>
      <c r="I294" t="s">
        <v>63</v>
      </c>
      <c r="J294" t="s">
        <v>77</v>
      </c>
      <c r="K294" t="s">
        <v>107</v>
      </c>
      <c r="L294" t="s">
        <v>112</v>
      </c>
      <c r="M294" s="24">
        <v>69</v>
      </c>
      <c r="N294" s="25">
        <v>6207.1</v>
      </c>
      <c r="O294" s="25">
        <f t="shared" si="36"/>
        <v>428289.9</v>
      </c>
      <c r="P294" s="25">
        <v>4832.9799999999996</v>
      </c>
      <c r="Q294" s="25">
        <f t="shared" si="37"/>
        <v>333475.62</v>
      </c>
      <c r="R294" s="25">
        <f t="shared" si="38"/>
        <v>94814.280000000028</v>
      </c>
      <c r="S294" s="26">
        <f t="shared" si="39"/>
        <v>0.22137874369673444</v>
      </c>
    </row>
    <row r="295" spans="1:19" ht="15" x14ac:dyDescent="0.2">
      <c r="A295" s="23">
        <v>45730</v>
      </c>
      <c r="B295">
        <f t="shared" si="32"/>
        <v>2025</v>
      </c>
      <c r="C295">
        <f t="shared" si="33"/>
        <v>3</v>
      </c>
      <c r="D295" t="str">
        <f t="shared" si="34"/>
        <v>Marzo</v>
      </c>
      <c r="E295" t="str">
        <f t="shared" si="35"/>
        <v>T1</v>
      </c>
      <c r="F295" t="s">
        <v>418</v>
      </c>
      <c r="G295" t="s">
        <v>74</v>
      </c>
      <c r="H295" t="s">
        <v>75</v>
      </c>
      <c r="I295" t="s">
        <v>76</v>
      </c>
      <c r="J295" t="s">
        <v>125</v>
      </c>
      <c r="K295" t="s">
        <v>126</v>
      </c>
      <c r="L295" t="s">
        <v>131</v>
      </c>
      <c r="M295" s="24">
        <v>3</v>
      </c>
      <c r="N295" s="25">
        <v>35378.769999999997</v>
      </c>
      <c r="O295" s="25">
        <f t="shared" si="36"/>
        <v>106136.31</v>
      </c>
      <c r="P295" s="25">
        <v>24088.87</v>
      </c>
      <c r="Q295" s="25">
        <f t="shared" si="37"/>
        <v>72266.61</v>
      </c>
      <c r="R295" s="25">
        <f t="shared" si="38"/>
        <v>33869.699999999997</v>
      </c>
      <c r="S295" s="26">
        <f t="shared" si="39"/>
        <v>0.31911510773268825</v>
      </c>
    </row>
    <row r="296" spans="1:19" ht="15" x14ac:dyDescent="0.2">
      <c r="A296" s="23">
        <v>45730</v>
      </c>
      <c r="B296">
        <f t="shared" si="32"/>
        <v>2025</v>
      </c>
      <c r="C296">
        <f t="shared" si="33"/>
        <v>3</v>
      </c>
      <c r="D296" t="str">
        <f t="shared" si="34"/>
        <v>Marzo</v>
      </c>
      <c r="E296" t="str">
        <f t="shared" si="35"/>
        <v>T1</v>
      </c>
      <c r="F296" t="s">
        <v>419</v>
      </c>
      <c r="G296" t="s">
        <v>74</v>
      </c>
      <c r="H296" t="s">
        <v>75</v>
      </c>
      <c r="I296" t="s">
        <v>76</v>
      </c>
      <c r="J296" t="s">
        <v>125</v>
      </c>
      <c r="K296" t="s">
        <v>126</v>
      </c>
      <c r="L296" t="s">
        <v>131</v>
      </c>
      <c r="M296" s="24">
        <v>4</v>
      </c>
      <c r="N296" s="25">
        <v>37672.54</v>
      </c>
      <c r="O296" s="25">
        <f t="shared" si="36"/>
        <v>150690.16</v>
      </c>
      <c r="P296" s="25">
        <v>25283.62</v>
      </c>
      <c r="Q296" s="25">
        <f t="shared" si="37"/>
        <v>101134.48</v>
      </c>
      <c r="R296" s="25">
        <f t="shared" si="38"/>
        <v>49555.680000000008</v>
      </c>
      <c r="S296" s="26">
        <f t="shared" si="39"/>
        <v>0.32885810194905896</v>
      </c>
    </row>
    <row r="297" spans="1:19" ht="15" x14ac:dyDescent="0.2">
      <c r="A297" s="23">
        <v>45730</v>
      </c>
      <c r="B297">
        <f t="shared" si="32"/>
        <v>2025</v>
      </c>
      <c r="C297">
        <f t="shared" si="33"/>
        <v>3</v>
      </c>
      <c r="D297" t="str">
        <f t="shared" si="34"/>
        <v>Marzo</v>
      </c>
      <c r="E297" t="str">
        <f t="shared" si="35"/>
        <v>T1</v>
      </c>
      <c r="F297" t="s">
        <v>420</v>
      </c>
      <c r="G297" t="s">
        <v>87</v>
      </c>
      <c r="H297" t="s">
        <v>88</v>
      </c>
      <c r="I297" t="s">
        <v>89</v>
      </c>
      <c r="J297" t="s">
        <v>64</v>
      </c>
      <c r="K297" t="s">
        <v>96</v>
      </c>
      <c r="L297" t="s">
        <v>103</v>
      </c>
      <c r="M297" s="24">
        <v>8</v>
      </c>
      <c r="N297" s="25">
        <v>58584.55</v>
      </c>
      <c r="O297" s="25">
        <f t="shared" si="36"/>
        <v>468676.4</v>
      </c>
      <c r="P297" s="25">
        <v>34523.89</v>
      </c>
      <c r="Q297" s="25">
        <f t="shared" si="37"/>
        <v>276191.12</v>
      </c>
      <c r="R297" s="25">
        <f t="shared" si="38"/>
        <v>192485.28000000003</v>
      </c>
      <c r="S297" s="26">
        <f t="shared" si="39"/>
        <v>0.41069974933664255</v>
      </c>
    </row>
    <row r="298" spans="1:19" ht="15" x14ac:dyDescent="0.2">
      <c r="A298" s="23">
        <v>45730</v>
      </c>
      <c r="B298">
        <f t="shared" si="32"/>
        <v>2025</v>
      </c>
      <c r="C298">
        <f t="shared" si="33"/>
        <v>3</v>
      </c>
      <c r="D298" t="str">
        <f t="shared" si="34"/>
        <v>Marzo</v>
      </c>
      <c r="E298" t="str">
        <f t="shared" si="35"/>
        <v>T1</v>
      </c>
      <c r="F298" t="s">
        <v>421</v>
      </c>
      <c r="G298" t="s">
        <v>92</v>
      </c>
      <c r="H298" t="s">
        <v>93</v>
      </c>
      <c r="I298" t="s">
        <v>94</v>
      </c>
      <c r="J298" t="s">
        <v>70</v>
      </c>
      <c r="K298" t="s">
        <v>71</v>
      </c>
      <c r="L298" t="s">
        <v>72</v>
      </c>
      <c r="M298" s="24">
        <v>2</v>
      </c>
      <c r="N298" s="25">
        <v>20055.400000000001</v>
      </c>
      <c r="O298" s="25">
        <f t="shared" si="36"/>
        <v>40110.800000000003</v>
      </c>
      <c r="P298" s="25">
        <v>13037.93</v>
      </c>
      <c r="Q298" s="25">
        <f t="shared" si="37"/>
        <v>26075.86</v>
      </c>
      <c r="R298" s="25">
        <f t="shared" si="38"/>
        <v>14034.940000000002</v>
      </c>
      <c r="S298" s="26">
        <f t="shared" si="39"/>
        <v>0.34990426518543638</v>
      </c>
    </row>
    <row r="299" spans="1:19" ht="15" x14ac:dyDescent="0.2">
      <c r="A299" s="23">
        <v>45731</v>
      </c>
      <c r="B299">
        <f t="shared" si="32"/>
        <v>2025</v>
      </c>
      <c r="C299">
        <f t="shared" si="33"/>
        <v>3</v>
      </c>
      <c r="D299" t="str">
        <f t="shared" si="34"/>
        <v>Marzo</v>
      </c>
      <c r="E299" t="str">
        <f t="shared" si="35"/>
        <v>T1</v>
      </c>
      <c r="F299" t="s">
        <v>422</v>
      </c>
      <c r="G299" t="s">
        <v>54</v>
      </c>
      <c r="H299" t="s">
        <v>55</v>
      </c>
      <c r="I299" t="s">
        <v>56</v>
      </c>
      <c r="J299" t="s">
        <v>125</v>
      </c>
      <c r="K299" t="s">
        <v>126</v>
      </c>
      <c r="L299" t="s">
        <v>131</v>
      </c>
      <c r="M299" s="24">
        <v>2</v>
      </c>
      <c r="N299" s="25">
        <v>72293.41</v>
      </c>
      <c r="O299" s="25">
        <f t="shared" si="36"/>
        <v>144586.82</v>
      </c>
      <c r="P299" s="25">
        <v>51454.19</v>
      </c>
      <c r="Q299" s="25">
        <f t="shared" si="37"/>
        <v>102908.38</v>
      </c>
      <c r="R299" s="25">
        <f t="shared" si="38"/>
        <v>41678.44</v>
      </c>
      <c r="S299" s="26">
        <f t="shared" si="39"/>
        <v>0.28825891599248121</v>
      </c>
    </row>
    <row r="300" spans="1:19" ht="15" x14ac:dyDescent="0.2">
      <c r="A300" s="23">
        <v>45731</v>
      </c>
      <c r="B300">
        <f t="shared" si="32"/>
        <v>2025</v>
      </c>
      <c r="C300">
        <f t="shared" si="33"/>
        <v>3</v>
      </c>
      <c r="D300" t="str">
        <f t="shared" si="34"/>
        <v>Marzo</v>
      </c>
      <c r="E300" t="str">
        <f t="shared" si="35"/>
        <v>T1</v>
      </c>
      <c r="F300" t="s">
        <v>423</v>
      </c>
      <c r="G300" t="s">
        <v>100</v>
      </c>
      <c r="H300" t="s">
        <v>88</v>
      </c>
      <c r="I300" t="s">
        <v>101</v>
      </c>
      <c r="J300" t="s">
        <v>70</v>
      </c>
      <c r="K300" t="s">
        <v>84</v>
      </c>
      <c r="L300" t="s">
        <v>85</v>
      </c>
      <c r="M300" s="24">
        <v>7</v>
      </c>
      <c r="N300" s="25">
        <v>35114.269999999997</v>
      </c>
      <c r="O300" s="25">
        <f t="shared" si="36"/>
        <v>245799.88999999998</v>
      </c>
      <c r="P300" s="25">
        <v>20540.95</v>
      </c>
      <c r="Q300" s="25">
        <f t="shared" si="37"/>
        <v>143786.65</v>
      </c>
      <c r="R300" s="25">
        <f t="shared" si="38"/>
        <v>102013.23999999999</v>
      </c>
      <c r="S300" s="26">
        <f t="shared" si="39"/>
        <v>0.41502557222462549</v>
      </c>
    </row>
    <row r="301" spans="1:19" ht="15" x14ac:dyDescent="0.2">
      <c r="A301" s="23">
        <v>45731</v>
      </c>
      <c r="B301">
        <f t="shared" si="32"/>
        <v>2025</v>
      </c>
      <c r="C301">
        <f t="shared" si="33"/>
        <v>3</v>
      </c>
      <c r="D301" t="str">
        <f t="shared" si="34"/>
        <v>Marzo</v>
      </c>
      <c r="E301" t="str">
        <f t="shared" si="35"/>
        <v>T1</v>
      </c>
      <c r="F301" t="s">
        <v>424</v>
      </c>
      <c r="G301" t="s">
        <v>92</v>
      </c>
      <c r="H301" t="s">
        <v>93</v>
      </c>
      <c r="I301" t="s">
        <v>94</v>
      </c>
      <c r="J301" t="s">
        <v>64</v>
      </c>
      <c r="K301" t="s">
        <v>65</v>
      </c>
      <c r="L301" t="s">
        <v>66</v>
      </c>
      <c r="M301" s="24">
        <v>27</v>
      </c>
      <c r="N301" s="25">
        <v>19343.57</v>
      </c>
      <c r="O301" s="25">
        <f t="shared" si="36"/>
        <v>522276.39</v>
      </c>
      <c r="P301" s="25">
        <v>11991.6</v>
      </c>
      <c r="Q301" s="25">
        <f t="shared" si="37"/>
        <v>323773.2</v>
      </c>
      <c r="R301" s="25">
        <f t="shared" si="38"/>
        <v>198503.19</v>
      </c>
      <c r="S301" s="26">
        <f t="shared" si="39"/>
        <v>0.38007306820819525</v>
      </c>
    </row>
    <row r="302" spans="1:19" ht="15" x14ac:dyDescent="0.2">
      <c r="A302" s="23">
        <v>45731</v>
      </c>
      <c r="B302">
        <f t="shared" si="32"/>
        <v>2025</v>
      </c>
      <c r="C302">
        <f t="shared" si="33"/>
        <v>3</v>
      </c>
      <c r="D302" t="str">
        <f t="shared" si="34"/>
        <v>Marzo</v>
      </c>
      <c r="E302" t="str">
        <f t="shared" si="35"/>
        <v>T1</v>
      </c>
      <c r="F302" t="s">
        <v>425</v>
      </c>
      <c r="G302" t="s">
        <v>92</v>
      </c>
      <c r="H302" t="s">
        <v>93</v>
      </c>
      <c r="I302" t="s">
        <v>94</v>
      </c>
      <c r="J302" t="s">
        <v>125</v>
      </c>
      <c r="K302" t="s">
        <v>138</v>
      </c>
      <c r="L302" t="s">
        <v>139</v>
      </c>
      <c r="M302" s="24">
        <v>7</v>
      </c>
      <c r="N302" s="25">
        <v>21987.439999999999</v>
      </c>
      <c r="O302" s="25">
        <f t="shared" si="36"/>
        <v>153912.07999999999</v>
      </c>
      <c r="P302" s="25">
        <v>12809.88</v>
      </c>
      <c r="Q302" s="25">
        <f t="shared" si="37"/>
        <v>89669.159999999989</v>
      </c>
      <c r="R302" s="25">
        <f t="shared" si="38"/>
        <v>64242.92</v>
      </c>
      <c r="S302" s="26">
        <f t="shared" si="39"/>
        <v>0.41740011570241925</v>
      </c>
    </row>
    <row r="303" spans="1:19" ht="15" x14ac:dyDescent="0.2">
      <c r="A303" s="23">
        <v>45732</v>
      </c>
      <c r="B303">
        <f t="shared" si="32"/>
        <v>2025</v>
      </c>
      <c r="C303">
        <f t="shared" si="33"/>
        <v>3</v>
      </c>
      <c r="D303" t="str">
        <f t="shared" si="34"/>
        <v>Marzo</v>
      </c>
      <c r="E303" t="str">
        <f t="shared" si="35"/>
        <v>T1</v>
      </c>
      <c r="F303" t="s">
        <v>426</v>
      </c>
      <c r="G303" t="s">
        <v>183</v>
      </c>
      <c r="H303" t="s">
        <v>55</v>
      </c>
      <c r="I303" t="s">
        <v>184</v>
      </c>
      <c r="J303" t="s">
        <v>57</v>
      </c>
      <c r="K303" t="s">
        <v>81</v>
      </c>
      <c r="L303" t="s">
        <v>129</v>
      </c>
      <c r="M303" s="24">
        <v>3</v>
      </c>
      <c r="N303" s="25">
        <v>361726.04</v>
      </c>
      <c r="O303" s="25">
        <f t="shared" si="36"/>
        <v>1085178.1199999999</v>
      </c>
      <c r="P303" s="25">
        <v>255559.84</v>
      </c>
      <c r="Q303" s="25">
        <f t="shared" si="37"/>
        <v>766679.52</v>
      </c>
      <c r="R303" s="25">
        <f t="shared" si="38"/>
        <v>318498.59999999986</v>
      </c>
      <c r="S303" s="26">
        <f t="shared" si="39"/>
        <v>0.29349891426119051</v>
      </c>
    </row>
    <row r="304" spans="1:19" ht="15" x14ac:dyDescent="0.2">
      <c r="A304" s="23">
        <v>45732</v>
      </c>
      <c r="B304">
        <f t="shared" si="32"/>
        <v>2025</v>
      </c>
      <c r="C304">
        <f t="shared" si="33"/>
        <v>3</v>
      </c>
      <c r="D304" t="str">
        <f t="shared" si="34"/>
        <v>Marzo</v>
      </c>
      <c r="E304" t="str">
        <f t="shared" si="35"/>
        <v>T1</v>
      </c>
      <c r="F304" t="s">
        <v>427</v>
      </c>
      <c r="G304" t="s">
        <v>74</v>
      </c>
      <c r="H304" t="s">
        <v>75</v>
      </c>
      <c r="I304" t="s">
        <v>76</v>
      </c>
      <c r="J304" t="s">
        <v>64</v>
      </c>
      <c r="K304" t="s">
        <v>65</v>
      </c>
      <c r="L304" t="s">
        <v>66</v>
      </c>
      <c r="M304" s="24">
        <v>32</v>
      </c>
      <c r="N304" s="25">
        <v>40077.74</v>
      </c>
      <c r="O304" s="25">
        <f t="shared" si="36"/>
        <v>1282487.68</v>
      </c>
      <c r="P304" s="25">
        <v>28122.55</v>
      </c>
      <c r="Q304" s="25">
        <f t="shared" si="37"/>
        <v>899921.6</v>
      </c>
      <c r="R304" s="25">
        <f t="shared" si="38"/>
        <v>382566.07999999996</v>
      </c>
      <c r="S304" s="26">
        <f t="shared" si="39"/>
        <v>0.29830000394233802</v>
      </c>
    </row>
    <row r="305" spans="1:19" ht="15" x14ac:dyDescent="0.2">
      <c r="A305" s="23">
        <v>45732</v>
      </c>
      <c r="B305">
        <f t="shared" si="32"/>
        <v>2025</v>
      </c>
      <c r="C305">
        <f t="shared" si="33"/>
        <v>3</v>
      </c>
      <c r="D305" t="str">
        <f t="shared" si="34"/>
        <v>Marzo</v>
      </c>
      <c r="E305" t="str">
        <f t="shared" si="35"/>
        <v>T1</v>
      </c>
      <c r="F305" t="s">
        <v>428</v>
      </c>
      <c r="G305" t="s">
        <v>144</v>
      </c>
      <c r="H305" t="s">
        <v>88</v>
      </c>
      <c r="I305" t="s">
        <v>145</v>
      </c>
      <c r="J305" t="s">
        <v>125</v>
      </c>
      <c r="K305" t="s">
        <v>138</v>
      </c>
      <c r="L305" t="s">
        <v>142</v>
      </c>
      <c r="M305" s="24">
        <v>28</v>
      </c>
      <c r="N305" s="25">
        <v>12761.88</v>
      </c>
      <c r="O305" s="25">
        <f t="shared" si="36"/>
        <v>357332.63999999996</v>
      </c>
      <c r="P305" s="25">
        <v>6956.12</v>
      </c>
      <c r="Q305" s="25">
        <f t="shared" si="37"/>
        <v>194771.36</v>
      </c>
      <c r="R305" s="25">
        <f t="shared" si="38"/>
        <v>162561.27999999997</v>
      </c>
      <c r="S305" s="26">
        <f t="shared" si="39"/>
        <v>0.45492983792356612</v>
      </c>
    </row>
    <row r="306" spans="1:19" ht="15" x14ac:dyDescent="0.2">
      <c r="A306" s="23">
        <v>45732</v>
      </c>
      <c r="B306">
        <f t="shared" si="32"/>
        <v>2025</v>
      </c>
      <c r="C306">
        <f t="shared" si="33"/>
        <v>3</v>
      </c>
      <c r="D306" t="str">
        <f t="shared" si="34"/>
        <v>Marzo</v>
      </c>
      <c r="E306" t="str">
        <f t="shared" si="35"/>
        <v>T1</v>
      </c>
      <c r="F306" t="s">
        <v>429</v>
      </c>
      <c r="G306" t="s">
        <v>92</v>
      </c>
      <c r="H306" t="s">
        <v>93</v>
      </c>
      <c r="I306" t="s">
        <v>94</v>
      </c>
      <c r="J306" t="s">
        <v>125</v>
      </c>
      <c r="K306" t="s">
        <v>138</v>
      </c>
      <c r="L306" t="s">
        <v>139</v>
      </c>
      <c r="M306" s="24">
        <v>8</v>
      </c>
      <c r="N306" s="25">
        <v>20217.82</v>
      </c>
      <c r="O306" s="25">
        <f t="shared" si="36"/>
        <v>161742.56</v>
      </c>
      <c r="P306" s="25">
        <v>11959.15</v>
      </c>
      <c r="Q306" s="25">
        <f t="shared" si="37"/>
        <v>95673.2</v>
      </c>
      <c r="R306" s="25">
        <f t="shared" si="38"/>
        <v>66069.36</v>
      </c>
      <c r="S306" s="26">
        <f t="shared" si="39"/>
        <v>0.40848469320629033</v>
      </c>
    </row>
    <row r="307" spans="1:19" ht="15" x14ac:dyDescent="0.2">
      <c r="A307" s="23">
        <v>45733</v>
      </c>
      <c r="B307">
        <f t="shared" si="32"/>
        <v>2025</v>
      </c>
      <c r="C307">
        <f t="shared" si="33"/>
        <v>3</v>
      </c>
      <c r="D307" t="str">
        <f t="shared" si="34"/>
        <v>Marzo</v>
      </c>
      <c r="E307" t="str">
        <f t="shared" si="35"/>
        <v>T1</v>
      </c>
      <c r="F307" t="s">
        <v>430</v>
      </c>
      <c r="G307" t="s">
        <v>54</v>
      </c>
      <c r="H307" t="s">
        <v>55</v>
      </c>
      <c r="I307" t="s">
        <v>56</v>
      </c>
      <c r="J307" t="s">
        <v>64</v>
      </c>
      <c r="K307" t="s">
        <v>65</v>
      </c>
      <c r="L307" t="s">
        <v>66</v>
      </c>
      <c r="M307" s="24">
        <v>19</v>
      </c>
      <c r="N307" s="25">
        <v>59789.93</v>
      </c>
      <c r="O307" s="25">
        <f t="shared" si="36"/>
        <v>1136008.67</v>
      </c>
      <c r="P307" s="25">
        <v>42552.66</v>
      </c>
      <c r="Q307" s="25">
        <f t="shared" si="37"/>
        <v>808500.54</v>
      </c>
      <c r="R307" s="25">
        <f t="shared" si="38"/>
        <v>327508.12999999989</v>
      </c>
      <c r="S307" s="26">
        <f t="shared" si="39"/>
        <v>0.28829720991477986</v>
      </c>
    </row>
    <row r="308" spans="1:19" ht="15" x14ac:dyDescent="0.2">
      <c r="A308" s="23">
        <v>45733</v>
      </c>
      <c r="B308">
        <f t="shared" si="32"/>
        <v>2025</v>
      </c>
      <c r="C308">
        <f t="shared" si="33"/>
        <v>3</v>
      </c>
      <c r="D308" t="str">
        <f t="shared" si="34"/>
        <v>Marzo</v>
      </c>
      <c r="E308" t="str">
        <f t="shared" si="35"/>
        <v>T1</v>
      </c>
      <c r="F308" t="s">
        <v>431</v>
      </c>
      <c r="G308" t="s">
        <v>54</v>
      </c>
      <c r="H308" t="s">
        <v>55</v>
      </c>
      <c r="I308" t="s">
        <v>56</v>
      </c>
      <c r="J308" t="s">
        <v>64</v>
      </c>
      <c r="K308" t="s">
        <v>96</v>
      </c>
      <c r="L308" t="s">
        <v>103</v>
      </c>
      <c r="M308" s="24">
        <v>10</v>
      </c>
      <c r="N308" s="25">
        <v>60980.24</v>
      </c>
      <c r="O308" s="25">
        <f t="shared" si="36"/>
        <v>609802.4</v>
      </c>
      <c r="P308" s="25">
        <v>43627.74</v>
      </c>
      <c r="Q308" s="25">
        <f t="shared" si="37"/>
        <v>436277.39999999997</v>
      </c>
      <c r="R308" s="25">
        <f t="shared" si="38"/>
        <v>173525.00000000006</v>
      </c>
      <c r="S308" s="26">
        <f t="shared" si="39"/>
        <v>0.28455939169803213</v>
      </c>
    </row>
    <row r="309" spans="1:19" ht="15" x14ac:dyDescent="0.2">
      <c r="A309" s="23">
        <v>45733</v>
      </c>
      <c r="B309">
        <f t="shared" si="32"/>
        <v>2025</v>
      </c>
      <c r="C309">
        <f t="shared" si="33"/>
        <v>3</v>
      </c>
      <c r="D309" t="str">
        <f t="shared" si="34"/>
        <v>Marzo</v>
      </c>
      <c r="E309" t="str">
        <f t="shared" si="35"/>
        <v>T1</v>
      </c>
      <c r="F309" t="s">
        <v>432</v>
      </c>
      <c r="G309" t="s">
        <v>114</v>
      </c>
      <c r="H309" t="s">
        <v>75</v>
      </c>
      <c r="I309" t="s">
        <v>115</v>
      </c>
      <c r="J309" t="s">
        <v>77</v>
      </c>
      <c r="K309" t="s">
        <v>107</v>
      </c>
      <c r="L309" t="s">
        <v>108</v>
      </c>
      <c r="M309" s="24">
        <v>4</v>
      </c>
      <c r="N309" s="25">
        <v>97093.93</v>
      </c>
      <c r="O309" s="25">
        <f t="shared" si="36"/>
        <v>388375.72</v>
      </c>
      <c r="P309" s="25">
        <v>62094.46</v>
      </c>
      <c r="Q309" s="25">
        <f t="shared" si="37"/>
        <v>248377.84</v>
      </c>
      <c r="R309" s="25">
        <f t="shared" si="38"/>
        <v>139997.87999999998</v>
      </c>
      <c r="S309" s="26">
        <f t="shared" si="39"/>
        <v>0.3604702168302385</v>
      </c>
    </row>
    <row r="310" spans="1:19" ht="15" x14ac:dyDescent="0.2">
      <c r="A310" s="23">
        <v>45734</v>
      </c>
      <c r="B310">
        <f t="shared" si="32"/>
        <v>2025</v>
      </c>
      <c r="C310">
        <f t="shared" si="33"/>
        <v>3</v>
      </c>
      <c r="D310" t="str">
        <f t="shared" si="34"/>
        <v>Marzo</v>
      </c>
      <c r="E310" t="str">
        <f t="shared" si="35"/>
        <v>T1</v>
      </c>
      <c r="F310" t="s">
        <v>433</v>
      </c>
      <c r="G310" t="s">
        <v>110</v>
      </c>
      <c r="H310" t="s">
        <v>62</v>
      </c>
      <c r="I310" t="s">
        <v>69</v>
      </c>
      <c r="J310" t="s">
        <v>77</v>
      </c>
      <c r="K310" t="s">
        <v>78</v>
      </c>
      <c r="L310" t="s">
        <v>117</v>
      </c>
      <c r="M310" s="24">
        <v>82</v>
      </c>
      <c r="N310" s="25">
        <v>6726.68</v>
      </c>
      <c r="O310" s="25">
        <f t="shared" si="36"/>
        <v>551587.76</v>
      </c>
      <c r="P310" s="25">
        <v>5407.94</v>
      </c>
      <c r="Q310" s="25">
        <f t="shared" si="37"/>
        <v>443451.07999999996</v>
      </c>
      <c r="R310" s="25">
        <f t="shared" si="38"/>
        <v>108136.68000000005</v>
      </c>
      <c r="S310" s="26">
        <f t="shared" si="39"/>
        <v>0.19604619217801361</v>
      </c>
    </row>
    <row r="311" spans="1:19" ht="15" x14ac:dyDescent="0.2">
      <c r="A311" s="23">
        <v>45734</v>
      </c>
      <c r="B311">
        <f t="shared" si="32"/>
        <v>2025</v>
      </c>
      <c r="C311">
        <f t="shared" si="33"/>
        <v>3</v>
      </c>
      <c r="D311" t="str">
        <f t="shared" si="34"/>
        <v>Marzo</v>
      </c>
      <c r="E311" t="str">
        <f t="shared" si="35"/>
        <v>T1</v>
      </c>
      <c r="F311" t="s">
        <v>434</v>
      </c>
      <c r="G311" t="s">
        <v>68</v>
      </c>
      <c r="H311" t="s">
        <v>62</v>
      </c>
      <c r="I311" t="s">
        <v>69</v>
      </c>
      <c r="J311" t="s">
        <v>57</v>
      </c>
      <c r="K311" t="s">
        <v>58</v>
      </c>
      <c r="L311" t="s">
        <v>59</v>
      </c>
      <c r="M311" s="24">
        <v>90</v>
      </c>
      <c r="N311" s="25">
        <v>3137.7</v>
      </c>
      <c r="O311" s="25">
        <f t="shared" si="36"/>
        <v>282393</v>
      </c>
      <c r="P311" s="25">
        <v>2598.48</v>
      </c>
      <c r="Q311" s="25">
        <f t="shared" si="37"/>
        <v>233863.2</v>
      </c>
      <c r="R311" s="25">
        <f t="shared" si="38"/>
        <v>48529.799999999988</v>
      </c>
      <c r="S311" s="26">
        <f t="shared" si="39"/>
        <v>0.17185199349842237</v>
      </c>
    </row>
    <row r="312" spans="1:19" ht="15" x14ac:dyDescent="0.2">
      <c r="A312" s="23">
        <v>45734</v>
      </c>
      <c r="B312">
        <f t="shared" si="32"/>
        <v>2025</v>
      </c>
      <c r="C312">
        <f t="shared" si="33"/>
        <v>3</v>
      </c>
      <c r="D312" t="str">
        <f t="shared" si="34"/>
        <v>Marzo</v>
      </c>
      <c r="E312" t="str">
        <f t="shared" si="35"/>
        <v>T1</v>
      </c>
      <c r="F312" t="s">
        <v>435</v>
      </c>
      <c r="G312" t="s">
        <v>87</v>
      </c>
      <c r="H312" t="s">
        <v>88</v>
      </c>
      <c r="I312" t="s">
        <v>89</v>
      </c>
      <c r="J312" t="s">
        <v>70</v>
      </c>
      <c r="K312" t="s">
        <v>71</v>
      </c>
      <c r="L312" t="s">
        <v>90</v>
      </c>
      <c r="M312" s="24">
        <v>2</v>
      </c>
      <c r="N312" s="25">
        <v>65020.2</v>
      </c>
      <c r="O312" s="25">
        <f t="shared" si="36"/>
        <v>130040.4</v>
      </c>
      <c r="P312" s="25">
        <v>38748.22</v>
      </c>
      <c r="Q312" s="25">
        <f t="shared" si="37"/>
        <v>77496.44</v>
      </c>
      <c r="R312" s="25">
        <f t="shared" si="38"/>
        <v>52543.959999999992</v>
      </c>
      <c r="S312" s="26">
        <f t="shared" si="39"/>
        <v>0.4040587386689059</v>
      </c>
    </row>
    <row r="313" spans="1:19" ht="15" x14ac:dyDescent="0.2">
      <c r="A313" s="23">
        <v>45735</v>
      </c>
      <c r="B313">
        <f t="shared" si="32"/>
        <v>2025</v>
      </c>
      <c r="C313">
        <f t="shared" si="33"/>
        <v>3</v>
      </c>
      <c r="D313" t="str">
        <f t="shared" si="34"/>
        <v>Marzo</v>
      </c>
      <c r="E313" t="str">
        <f t="shared" si="35"/>
        <v>T1</v>
      </c>
      <c r="F313" t="s">
        <v>436</v>
      </c>
      <c r="G313" t="s">
        <v>54</v>
      </c>
      <c r="H313" t="s">
        <v>55</v>
      </c>
      <c r="I313" t="s">
        <v>56</v>
      </c>
      <c r="J313" t="s">
        <v>64</v>
      </c>
      <c r="K313" t="s">
        <v>65</v>
      </c>
      <c r="L313" t="s">
        <v>66</v>
      </c>
      <c r="M313" s="24">
        <v>15</v>
      </c>
      <c r="N313" s="25">
        <v>57422.73</v>
      </c>
      <c r="O313" s="25">
        <f t="shared" si="36"/>
        <v>861340.95000000007</v>
      </c>
      <c r="P313" s="25">
        <v>41503.82</v>
      </c>
      <c r="Q313" s="25">
        <f t="shared" si="37"/>
        <v>622557.30000000005</v>
      </c>
      <c r="R313" s="25">
        <f t="shared" si="38"/>
        <v>238783.65000000002</v>
      </c>
      <c r="S313" s="26">
        <f t="shared" si="39"/>
        <v>0.27722314839437273</v>
      </c>
    </row>
    <row r="314" spans="1:19" ht="15" x14ac:dyDescent="0.2">
      <c r="A314" s="23">
        <v>45735</v>
      </c>
      <c r="B314">
        <f t="shared" si="32"/>
        <v>2025</v>
      </c>
      <c r="C314">
        <f t="shared" si="33"/>
        <v>3</v>
      </c>
      <c r="D314" t="str">
        <f t="shared" si="34"/>
        <v>Marzo</v>
      </c>
      <c r="E314" t="str">
        <f t="shared" si="35"/>
        <v>T1</v>
      </c>
      <c r="F314" t="s">
        <v>437</v>
      </c>
      <c r="G314" t="s">
        <v>282</v>
      </c>
      <c r="H314" t="s">
        <v>55</v>
      </c>
      <c r="I314" t="s">
        <v>56</v>
      </c>
      <c r="J314" t="s">
        <v>64</v>
      </c>
      <c r="K314" t="s">
        <v>96</v>
      </c>
      <c r="L314" t="s">
        <v>97</v>
      </c>
      <c r="M314" s="24">
        <v>2</v>
      </c>
      <c r="N314" s="25">
        <v>565035.75</v>
      </c>
      <c r="O314" s="25">
        <f t="shared" si="36"/>
        <v>1130071.5</v>
      </c>
      <c r="P314" s="25">
        <v>408736.33</v>
      </c>
      <c r="Q314" s="25">
        <f t="shared" si="37"/>
        <v>817472.66</v>
      </c>
      <c r="R314" s="25">
        <f t="shared" si="38"/>
        <v>312598.83999999997</v>
      </c>
      <c r="S314" s="26">
        <f t="shared" si="39"/>
        <v>0.27661863873215098</v>
      </c>
    </row>
    <row r="315" spans="1:19" ht="15" x14ac:dyDescent="0.2">
      <c r="A315" s="23">
        <v>45735</v>
      </c>
      <c r="B315">
        <f t="shared" si="32"/>
        <v>2025</v>
      </c>
      <c r="C315">
        <f t="shared" si="33"/>
        <v>3</v>
      </c>
      <c r="D315" t="str">
        <f t="shared" si="34"/>
        <v>Marzo</v>
      </c>
      <c r="E315" t="str">
        <f t="shared" si="35"/>
        <v>T1</v>
      </c>
      <c r="F315" t="s">
        <v>438</v>
      </c>
      <c r="G315" t="s">
        <v>54</v>
      </c>
      <c r="H315" t="s">
        <v>55</v>
      </c>
      <c r="I315" t="s">
        <v>56</v>
      </c>
      <c r="J315" t="s">
        <v>125</v>
      </c>
      <c r="K315" t="s">
        <v>126</v>
      </c>
      <c r="L315" t="s">
        <v>131</v>
      </c>
      <c r="M315" s="24">
        <v>3</v>
      </c>
      <c r="N315" s="25">
        <v>68658.53</v>
      </c>
      <c r="O315" s="25">
        <f t="shared" si="36"/>
        <v>205975.59</v>
      </c>
      <c r="P315" s="25">
        <v>48332.17</v>
      </c>
      <c r="Q315" s="25">
        <f t="shared" si="37"/>
        <v>144996.51</v>
      </c>
      <c r="R315" s="25">
        <f t="shared" si="38"/>
        <v>60979.079999999987</v>
      </c>
      <c r="S315" s="26">
        <f t="shared" si="39"/>
        <v>0.29605003194796037</v>
      </c>
    </row>
    <row r="316" spans="1:19" ht="15" x14ac:dyDescent="0.2">
      <c r="A316" s="23">
        <v>45735</v>
      </c>
      <c r="B316">
        <f t="shared" si="32"/>
        <v>2025</v>
      </c>
      <c r="C316">
        <f t="shared" si="33"/>
        <v>3</v>
      </c>
      <c r="D316" t="str">
        <f t="shared" si="34"/>
        <v>Marzo</v>
      </c>
      <c r="E316" t="str">
        <f t="shared" si="35"/>
        <v>T1</v>
      </c>
      <c r="F316" t="s">
        <v>439</v>
      </c>
      <c r="G316" t="s">
        <v>61</v>
      </c>
      <c r="H316" t="s">
        <v>62</v>
      </c>
      <c r="I316" t="s">
        <v>63</v>
      </c>
      <c r="J316" t="s">
        <v>57</v>
      </c>
      <c r="K316" t="s">
        <v>81</v>
      </c>
      <c r="L316" t="s">
        <v>129</v>
      </c>
      <c r="M316" s="24">
        <v>143</v>
      </c>
      <c r="N316" s="25">
        <v>5836.06</v>
      </c>
      <c r="O316" s="25">
        <f t="shared" si="36"/>
        <v>834556.58000000007</v>
      </c>
      <c r="P316" s="25">
        <v>4803.7</v>
      </c>
      <c r="Q316" s="25">
        <f t="shared" si="37"/>
        <v>686929.1</v>
      </c>
      <c r="R316" s="25">
        <f t="shared" si="38"/>
        <v>147627.4800000001</v>
      </c>
      <c r="S316" s="26">
        <f t="shared" si="39"/>
        <v>0.17689331501046948</v>
      </c>
    </row>
    <row r="317" spans="1:19" ht="15" x14ac:dyDescent="0.2">
      <c r="A317" s="23">
        <v>45735</v>
      </c>
      <c r="B317">
        <f t="shared" si="32"/>
        <v>2025</v>
      </c>
      <c r="C317">
        <f t="shared" si="33"/>
        <v>3</v>
      </c>
      <c r="D317" t="str">
        <f t="shared" si="34"/>
        <v>Marzo</v>
      </c>
      <c r="E317" t="str">
        <f t="shared" si="35"/>
        <v>T1</v>
      </c>
      <c r="F317" t="s">
        <v>440</v>
      </c>
      <c r="G317" t="s">
        <v>87</v>
      </c>
      <c r="H317" t="s">
        <v>88</v>
      </c>
      <c r="I317" t="s">
        <v>89</v>
      </c>
      <c r="J317" t="s">
        <v>64</v>
      </c>
      <c r="K317" t="s">
        <v>96</v>
      </c>
      <c r="L317" t="s">
        <v>97</v>
      </c>
      <c r="M317" s="24">
        <v>10</v>
      </c>
      <c r="N317" s="25">
        <v>56682.47</v>
      </c>
      <c r="O317" s="25">
        <f t="shared" si="36"/>
        <v>566824.69999999995</v>
      </c>
      <c r="P317" s="25">
        <v>31618</v>
      </c>
      <c r="Q317" s="25">
        <f t="shared" si="37"/>
        <v>316180</v>
      </c>
      <c r="R317" s="25">
        <f t="shared" si="38"/>
        <v>250644.69999999995</v>
      </c>
      <c r="S317" s="26">
        <f t="shared" si="39"/>
        <v>0.44219085724387092</v>
      </c>
    </row>
    <row r="318" spans="1:19" ht="15" x14ac:dyDescent="0.2">
      <c r="A318" s="23">
        <v>45735</v>
      </c>
      <c r="B318">
        <f t="shared" si="32"/>
        <v>2025</v>
      </c>
      <c r="C318">
        <f t="shared" si="33"/>
        <v>3</v>
      </c>
      <c r="D318" t="str">
        <f t="shared" si="34"/>
        <v>Marzo</v>
      </c>
      <c r="E318" t="str">
        <f t="shared" si="35"/>
        <v>T1</v>
      </c>
      <c r="F318" t="s">
        <v>441</v>
      </c>
      <c r="G318" t="s">
        <v>206</v>
      </c>
      <c r="H318" t="s">
        <v>93</v>
      </c>
      <c r="I318" t="s">
        <v>207</v>
      </c>
      <c r="J318" t="s">
        <v>64</v>
      </c>
      <c r="K318" t="s">
        <v>65</v>
      </c>
      <c r="L318" t="s">
        <v>66</v>
      </c>
      <c r="M318" s="24">
        <v>3</v>
      </c>
      <c r="N318" s="25">
        <v>120012.94</v>
      </c>
      <c r="O318" s="25">
        <f t="shared" si="36"/>
        <v>360038.82</v>
      </c>
      <c r="P318" s="25">
        <v>73893.850000000006</v>
      </c>
      <c r="Q318" s="25">
        <f t="shared" si="37"/>
        <v>221681.55000000002</v>
      </c>
      <c r="R318" s="25">
        <f t="shared" si="38"/>
        <v>138357.26999999999</v>
      </c>
      <c r="S318" s="26">
        <f t="shared" si="39"/>
        <v>0.38428431134176028</v>
      </c>
    </row>
    <row r="319" spans="1:19" ht="15" x14ac:dyDescent="0.2">
      <c r="A319" s="23">
        <v>45736</v>
      </c>
      <c r="B319">
        <f t="shared" si="32"/>
        <v>2025</v>
      </c>
      <c r="C319">
        <f t="shared" si="33"/>
        <v>3</v>
      </c>
      <c r="D319" t="str">
        <f t="shared" si="34"/>
        <v>Marzo</v>
      </c>
      <c r="E319" t="str">
        <f t="shared" si="35"/>
        <v>T1</v>
      </c>
      <c r="F319" t="s">
        <v>442</v>
      </c>
      <c r="G319" t="s">
        <v>54</v>
      </c>
      <c r="H319" t="s">
        <v>55</v>
      </c>
      <c r="I319" t="s">
        <v>56</v>
      </c>
      <c r="J319" t="s">
        <v>125</v>
      </c>
      <c r="K319" t="s">
        <v>138</v>
      </c>
      <c r="L319" t="s">
        <v>142</v>
      </c>
      <c r="M319" s="24">
        <v>7</v>
      </c>
      <c r="N319" s="25">
        <v>63757.53</v>
      </c>
      <c r="O319" s="25">
        <f t="shared" si="36"/>
        <v>446302.70999999996</v>
      </c>
      <c r="P319" s="25">
        <v>44040.13</v>
      </c>
      <c r="Q319" s="25">
        <f t="shared" si="37"/>
        <v>308280.90999999997</v>
      </c>
      <c r="R319" s="25">
        <f t="shared" si="38"/>
        <v>138021.79999999999</v>
      </c>
      <c r="S319" s="26">
        <f t="shared" si="39"/>
        <v>0.30925602042613631</v>
      </c>
    </row>
    <row r="320" spans="1:19" ht="15" x14ac:dyDescent="0.2">
      <c r="A320" s="23">
        <v>45736</v>
      </c>
      <c r="B320">
        <f t="shared" si="32"/>
        <v>2025</v>
      </c>
      <c r="C320">
        <f t="shared" si="33"/>
        <v>3</v>
      </c>
      <c r="D320" t="str">
        <f t="shared" si="34"/>
        <v>Marzo</v>
      </c>
      <c r="E320" t="str">
        <f t="shared" si="35"/>
        <v>T1</v>
      </c>
      <c r="F320" t="s">
        <v>443</v>
      </c>
      <c r="G320" t="s">
        <v>54</v>
      </c>
      <c r="H320" t="s">
        <v>55</v>
      </c>
      <c r="I320" t="s">
        <v>56</v>
      </c>
      <c r="J320" t="s">
        <v>70</v>
      </c>
      <c r="K320" t="s">
        <v>71</v>
      </c>
      <c r="L320" t="s">
        <v>72</v>
      </c>
      <c r="M320" s="24">
        <v>8</v>
      </c>
      <c r="N320" s="25">
        <v>57112.26</v>
      </c>
      <c r="O320" s="25">
        <f t="shared" si="36"/>
        <v>456898.08</v>
      </c>
      <c r="P320" s="25">
        <v>42874.85</v>
      </c>
      <c r="Q320" s="25">
        <f t="shared" si="37"/>
        <v>342998.8</v>
      </c>
      <c r="R320" s="25">
        <f t="shared" si="38"/>
        <v>113899.28000000003</v>
      </c>
      <c r="S320" s="26">
        <f t="shared" si="39"/>
        <v>0.24928815634331408</v>
      </c>
    </row>
    <row r="321" spans="1:19" ht="15" x14ac:dyDescent="0.2">
      <c r="A321" s="23">
        <v>45736</v>
      </c>
      <c r="B321">
        <f t="shared" si="32"/>
        <v>2025</v>
      </c>
      <c r="C321">
        <f t="shared" si="33"/>
        <v>3</v>
      </c>
      <c r="D321" t="str">
        <f t="shared" si="34"/>
        <v>Marzo</v>
      </c>
      <c r="E321" t="str">
        <f t="shared" si="35"/>
        <v>T1</v>
      </c>
      <c r="F321" t="s">
        <v>444</v>
      </c>
      <c r="G321" t="s">
        <v>68</v>
      </c>
      <c r="H321" t="s">
        <v>62</v>
      </c>
      <c r="I321" t="s">
        <v>69</v>
      </c>
      <c r="J321" t="s">
        <v>70</v>
      </c>
      <c r="K321" t="s">
        <v>84</v>
      </c>
      <c r="L321" t="s">
        <v>85</v>
      </c>
      <c r="M321" s="24">
        <v>115</v>
      </c>
      <c r="N321" s="25">
        <v>3020.33</v>
      </c>
      <c r="O321" s="25">
        <f t="shared" si="36"/>
        <v>347337.95</v>
      </c>
      <c r="P321" s="25">
        <v>2590.92</v>
      </c>
      <c r="Q321" s="25">
        <f t="shared" si="37"/>
        <v>297955.8</v>
      </c>
      <c r="R321" s="25">
        <f t="shared" si="38"/>
        <v>49382.150000000023</v>
      </c>
      <c r="S321" s="26">
        <f t="shared" si="39"/>
        <v>0.14217320623905341</v>
      </c>
    </row>
    <row r="322" spans="1:19" ht="15" x14ac:dyDescent="0.2">
      <c r="A322" s="23">
        <v>45736</v>
      </c>
      <c r="B322">
        <f t="shared" ref="B322:B385" si="40">YEAR($A322)</f>
        <v>2025</v>
      </c>
      <c r="C322">
        <f t="shared" ref="C322:C385" si="41">MONTH($A322)</f>
        <v>3</v>
      </c>
      <c r="D322" t="str">
        <f t="shared" ref="D322:D385" si="42">INDEX(lst_Meses,MONTH($A322))</f>
        <v>Marzo</v>
      </c>
      <c r="E322" t="str">
        <f t="shared" ref="E322:E385" si="43">"T"&amp;ROUNDUP(MONTH($A322)/3,0)</f>
        <v>T1</v>
      </c>
      <c r="F322" t="s">
        <v>445</v>
      </c>
      <c r="G322" t="s">
        <v>87</v>
      </c>
      <c r="H322" t="s">
        <v>88</v>
      </c>
      <c r="I322" t="s">
        <v>89</v>
      </c>
      <c r="J322" t="s">
        <v>57</v>
      </c>
      <c r="K322" t="s">
        <v>81</v>
      </c>
      <c r="L322" t="s">
        <v>129</v>
      </c>
      <c r="M322" s="24">
        <v>6</v>
      </c>
      <c r="N322" s="25">
        <v>60785.4</v>
      </c>
      <c r="O322" s="25">
        <f t="shared" ref="O322:O385" si="44">$M322*$N322</f>
        <v>364712.4</v>
      </c>
      <c r="P322" s="25">
        <v>33471.269999999997</v>
      </c>
      <c r="Q322" s="25">
        <f t="shared" ref="Q322:Q385" si="45">$M322*$P322</f>
        <v>200827.62</v>
      </c>
      <c r="R322" s="25">
        <f t="shared" ref="R322:R385" si="46">$O322-$Q322</f>
        <v>163884.78000000003</v>
      </c>
      <c r="S322" s="26">
        <f t="shared" ref="S322:S385" si="47">IFERROR($R322/$O322,0)</f>
        <v>0.44935346316714214</v>
      </c>
    </row>
    <row r="323" spans="1:19" ht="15" x14ac:dyDescent="0.2">
      <c r="A323" s="23">
        <v>45736</v>
      </c>
      <c r="B323">
        <f t="shared" si="40"/>
        <v>2025</v>
      </c>
      <c r="C323">
        <f t="shared" si="41"/>
        <v>3</v>
      </c>
      <c r="D323" t="str">
        <f t="shared" si="42"/>
        <v>Marzo</v>
      </c>
      <c r="E323" t="str">
        <f t="shared" si="43"/>
        <v>T1</v>
      </c>
      <c r="F323" t="s">
        <v>446</v>
      </c>
      <c r="G323" t="s">
        <v>87</v>
      </c>
      <c r="H323" t="s">
        <v>88</v>
      </c>
      <c r="I323" t="s">
        <v>89</v>
      </c>
      <c r="J323" t="s">
        <v>57</v>
      </c>
      <c r="K323" t="s">
        <v>58</v>
      </c>
      <c r="L323" t="s">
        <v>59</v>
      </c>
      <c r="M323" s="24">
        <v>6</v>
      </c>
      <c r="N323" s="25">
        <v>55000.69</v>
      </c>
      <c r="O323" s="25">
        <f t="shared" si="44"/>
        <v>330004.14</v>
      </c>
      <c r="P323" s="25">
        <v>30906.61</v>
      </c>
      <c r="Q323" s="25">
        <f t="shared" si="45"/>
        <v>185439.66</v>
      </c>
      <c r="R323" s="25">
        <f t="shared" si="46"/>
        <v>144564.48000000001</v>
      </c>
      <c r="S323" s="26">
        <f t="shared" si="47"/>
        <v>0.43806868604739324</v>
      </c>
    </row>
    <row r="324" spans="1:19" ht="15" x14ac:dyDescent="0.2">
      <c r="A324" s="23">
        <v>45736</v>
      </c>
      <c r="B324">
        <f t="shared" si="40"/>
        <v>2025</v>
      </c>
      <c r="C324">
        <f t="shared" si="41"/>
        <v>3</v>
      </c>
      <c r="D324" t="str">
        <f t="shared" si="42"/>
        <v>Marzo</v>
      </c>
      <c r="E324" t="str">
        <f t="shared" si="43"/>
        <v>T1</v>
      </c>
      <c r="F324" t="s">
        <v>447</v>
      </c>
      <c r="G324" t="s">
        <v>92</v>
      </c>
      <c r="H324" t="s">
        <v>93</v>
      </c>
      <c r="I324" t="s">
        <v>94</v>
      </c>
      <c r="J324" t="s">
        <v>77</v>
      </c>
      <c r="K324" t="s">
        <v>107</v>
      </c>
      <c r="L324" t="s">
        <v>112</v>
      </c>
      <c r="M324" s="24">
        <v>6</v>
      </c>
      <c r="N324" s="25">
        <v>21867.15</v>
      </c>
      <c r="O324" s="25">
        <f t="shared" si="44"/>
        <v>131202.90000000002</v>
      </c>
      <c r="P324" s="25">
        <v>12111.59</v>
      </c>
      <c r="Q324" s="25">
        <f t="shared" si="45"/>
        <v>72669.540000000008</v>
      </c>
      <c r="R324" s="25">
        <f t="shared" si="46"/>
        <v>58533.360000000015</v>
      </c>
      <c r="S324" s="26">
        <f t="shared" si="47"/>
        <v>0.44612855356093506</v>
      </c>
    </row>
    <row r="325" spans="1:19" ht="15" x14ac:dyDescent="0.2">
      <c r="A325" s="23">
        <v>45736</v>
      </c>
      <c r="B325">
        <f t="shared" si="40"/>
        <v>2025</v>
      </c>
      <c r="C325">
        <f t="shared" si="41"/>
        <v>3</v>
      </c>
      <c r="D325" t="str">
        <f t="shared" si="42"/>
        <v>Marzo</v>
      </c>
      <c r="E325" t="str">
        <f t="shared" si="43"/>
        <v>T1</v>
      </c>
      <c r="F325" t="s">
        <v>448</v>
      </c>
      <c r="G325" t="s">
        <v>92</v>
      </c>
      <c r="H325" t="s">
        <v>93</v>
      </c>
      <c r="I325" t="s">
        <v>94</v>
      </c>
      <c r="J325" t="s">
        <v>125</v>
      </c>
      <c r="K325" t="s">
        <v>138</v>
      </c>
      <c r="L325" t="s">
        <v>139</v>
      </c>
      <c r="M325" s="24">
        <v>1</v>
      </c>
      <c r="N325" s="25">
        <v>11655.74</v>
      </c>
      <c r="O325" s="25">
        <f t="shared" si="44"/>
        <v>11655.74</v>
      </c>
      <c r="P325" s="25">
        <v>6665.25</v>
      </c>
      <c r="Q325" s="25">
        <f t="shared" si="45"/>
        <v>6665.25</v>
      </c>
      <c r="R325" s="25">
        <f t="shared" si="46"/>
        <v>4990.49</v>
      </c>
      <c r="S325" s="26">
        <f t="shared" si="47"/>
        <v>0.42815728559490857</v>
      </c>
    </row>
    <row r="326" spans="1:19" ht="15" x14ac:dyDescent="0.2">
      <c r="A326" s="23">
        <v>45737</v>
      </c>
      <c r="B326">
        <f t="shared" si="40"/>
        <v>2025</v>
      </c>
      <c r="C326">
        <f t="shared" si="41"/>
        <v>3</v>
      </c>
      <c r="D326" t="str">
        <f t="shared" si="42"/>
        <v>Marzo</v>
      </c>
      <c r="E326" t="str">
        <f t="shared" si="43"/>
        <v>T1</v>
      </c>
      <c r="F326" t="s">
        <v>449</v>
      </c>
      <c r="G326" t="s">
        <v>54</v>
      </c>
      <c r="H326" t="s">
        <v>55</v>
      </c>
      <c r="I326" t="s">
        <v>56</v>
      </c>
      <c r="J326" t="s">
        <v>77</v>
      </c>
      <c r="K326" t="s">
        <v>78</v>
      </c>
      <c r="L326" t="s">
        <v>117</v>
      </c>
      <c r="M326" s="24">
        <v>6</v>
      </c>
      <c r="N326" s="25">
        <v>57741.02</v>
      </c>
      <c r="O326" s="25">
        <f t="shared" si="44"/>
        <v>346446.12</v>
      </c>
      <c r="P326" s="25">
        <v>39284.949999999997</v>
      </c>
      <c r="Q326" s="25">
        <f t="shared" si="45"/>
        <v>235709.69999999998</v>
      </c>
      <c r="R326" s="25">
        <f t="shared" si="46"/>
        <v>110736.42000000001</v>
      </c>
      <c r="S326" s="26">
        <f t="shared" si="47"/>
        <v>0.31963533030763924</v>
      </c>
    </row>
    <row r="327" spans="1:19" ht="15" x14ac:dyDescent="0.2">
      <c r="A327" s="23">
        <v>45737</v>
      </c>
      <c r="B327">
        <f t="shared" si="40"/>
        <v>2025</v>
      </c>
      <c r="C327">
        <f t="shared" si="41"/>
        <v>3</v>
      </c>
      <c r="D327" t="str">
        <f t="shared" si="42"/>
        <v>Marzo</v>
      </c>
      <c r="E327" t="str">
        <f t="shared" si="43"/>
        <v>T1</v>
      </c>
      <c r="F327" t="s">
        <v>450</v>
      </c>
      <c r="G327" t="s">
        <v>114</v>
      </c>
      <c r="H327" t="s">
        <v>75</v>
      </c>
      <c r="I327" t="s">
        <v>115</v>
      </c>
      <c r="J327" t="s">
        <v>57</v>
      </c>
      <c r="K327" t="s">
        <v>58</v>
      </c>
      <c r="L327" t="s">
        <v>162</v>
      </c>
      <c r="M327" s="24">
        <v>5</v>
      </c>
      <c r="N327" s="25">
        <v>98346.48</v>
      </c>
      <c r="O327" s="25">
        <f t="shared" si="44"/>
        <v>491732.39999999997</v>
      </c>
      <c r="P327" s="25">
        <v>67387.990000000005</v>
      </c>
      <c r="Q327" s="25">
        <f t="shared" si="45"/>
        <v>336939.95</v>
      </c>
      <c r="R327" s="25">
        <f t="shared" si="46"/>
        <v>154792.44999999995</v>
      </c>
      <c r="S327" s="26">
        <f t="shared" si="47"/>
        <v>0.31479001587042049</v>
      </c>
    </row>
    <row r="328" spans="1:19" ht="15" x14ac:dyDescent="0.2">
      <c r="A328" s="23">
        <v>45737</v>
      </c>
      <c r="B328">
        <f t="shared" si="40"/>
        <v>2025</v>
      </c>
      <c r="C328">
        <f t="shared" si="41"/>
        <v>3</v>
      </c>
      <c r="D328" t="str">
        <f t="shared" si="42"/>
        <v>Marzo</v>
      </c>
      <c r="E328" t="str">
        <f t="shared" si="43"/>
        <v>T1</v>
      </c>
      <c r="F328" t="s">
        <v>451</v>
      </c>
      <c r="G328" t="s">
        <v>144</v>
      </c>
      <c r="H328" t="s">
        <v>88</v>
      </c>
      <c r="I328" t="s">
        <v>145</v>
      </c>
      <c r="J328" t="s">
        <v>57</v>
      </c>
      <c r="K328" t="s">
        <v>81</v>
      </c>
      <c r="L328" t="s">
        <v>129</v>
      </c>
      <c r="M328" s="24">
        <v>42</v>
      </c>
      <c r="N328" s="25">
        <v>12412.39</v>
      </c>
      <c r="O328" s="25">
        <f t="shared" si="44"/>
        <v>521320.38</v>
      </c>
      <c r="P328" s="25">
        <v>7064.13</v>
      </c>
      <c r="Q328" s="25">
        <f t="shared" si="45"/>
        <v>296693.46000000002</v>
      </c>
      <c r="R328" s="25">
        <f t="shared" si="46"/>
        <v>224626.91999999998</v>
      </c>
      <c r="S328" s="26">
        <f t="shared" si="47"/>
        <v>0.43088075705001211</v>
      </c>
    </row>
    <row r="329" spans="1:19" ht="15" x14ac:dyDescent="0.2">
      <c r="A329" s="23">
        <v>45737</v>
      </c>
      <c r="B329">
        <f t="shared" si="40"/>
        <v>2025</v>
      </c>
      <c r="C329">
        <f t="shared" si="41"/>
        <v>3</v>
      </c>
      <c r="D329" t="str">
        <f t="shared" si="42"/>
        <v>Marzo</v>
      </c>
      <c r="E329" t="str">
        <f t="shared" si="43"/>
        <v>T1</v>
      </c>
      <c r="F329" t="s">
        <v>452</v>
      </c>
      <c r="G329" t="s">
        <v>149</v>
      </c>
      <c r="H329" t="s">
        <v>93</v>
      </c>
      <c r="I329" t="s">
        <v>150</v>
      </c>
      <c r="J329" t="s">
        <v>57</v>
      </c>
      <c r="K329" t="s">
        <v>58</v>
      </c>
      <c r="L329" t="s">
        <v>59</v>
      </c>
      <c r="M329" s="24">
        <v>5</v>
      </c>
      <c r="N329" s="25">
        <v>44165.72</v>
      </c>
      <c r="O329" s="25">
        <f t="shared" si="44"/>
        <v>220828.6</v>
      </c>
      <c r="P329" s="25">
        <v>26278.85</v>
      </c>
      <c r="Q329" s="25">
        <f t="shared" si="45"/>
        <v>131394.25</v>
      </c>
      <c r="R329" s="25">
        <f t="shared" si="46"/>
        <v>89434.35</v>
      </c>
      <c r="S329" s="26">
        <f t="shared" si="47"/>
        <v>0.40499441648409673</v>
      </c>
    </row>
    <row r="330" spans="1:19" ht="15" x14ac:dyDescent="0.2">
      <c r="A330" s="23">
        <v>45738</v>
      </c>
      <c r="B330">
        <f t="shared" si="40"/>
        <v>2025</v>
      </c>
      <c r="C330">
        <f t="shared" si="41"/>
        <v>3</v>
      </c>
      <c r="D330" t="str">
        <f t="shared" si="42"/>
        <v>Marzo</v>
      </c>
      <c r="E330" t="str">
        <f t="shared" si="43"/>
        <v>T1</v>
      </c>
      <c r="F330" t="s">
        <v>453</v>
      </c>
      <c r="G330" t="s">
        <v>61</v>
      </c>
      <c r="H330" t="s">
        <v>62</v>
      </c>
      <c r="I330" t="s">
        <v>63</v>
      </c>
      <c r="J330" t="s">
        <v>77</v>
      </c>
      <c r="K330" t="s">
        <v>107</v>
      </c>
      <c r="L330" t="s">
        <v>108</v>
      </c>
      <c r="M330" s="24">
        <v>158</v>
      </c>
      <c r="N330" s="25">
        <v>6197.7</v>
      </c>
      <c r="O330" s="25">
        <f t="shared" si="44"/>
        <v>979236.6</v>
      </c>
      <c r="P330" s="25">
        <v>4806.57</v>
      </c>
      <c r="Q330" s="25">
        <f t="shared" si="45"/>
        <v>759438.05999999994</v>
      </c>
      <c r="R330" s="25">
        <f t="shared" si="46"/>
        <v>219798.54000000004</v>
      </c>
      <c r="S330" s="26">
        <f t="shared" si="47"/>
        <v>0.22445907352727629</v>
      </c>
    </row>
    <row r="331" spans="1:19" ht="15" x14ac:dyDescent="0.2">
      <c r="A331" s="23">
        <v>45738</v>
      </c>
      <c r="B331">
        <f t="shared" si="40"/>
        <v>2025</v>
      </c>
      <c r="C331">
        <f t="shared" si="41"/>
        <v>3</v>
      </c>
      <c r="D331" t="str">
        <f t="shared" si="42"/>
        <v>Marzo</v>
      </c>
      <c r="E331" t="str">
        <f t="shared" si="43"/>
        <v>T1</v>
      </c>
      <c r="F331" t="s">
        <v>454</v>
      </c>
      <c r="G331" t="s">
        <v>74</v>
      </c>
      <c r="H331" t="s">
        <v>75</v>
      </c>
      <c r="I331" t="s">
        <v>76</v>
      </c>
      <c r="J331" t="s">
        <v>64</v>
      </c>
      <c r="K331" t="s">
        <v>96</v>
      </c>
      <c r="L331" t="s">
        <v>103</v>
      </c>
      <c r="M331" s="24">
        <v>20</v>
      </c>
      <c r="N331" s="25">
        <v>40060.120000000003</v>
      </c>
      <c r="O331" s="25">
        <f t="shared" si="44"/>
        <v>801202.4</v>
      </c>
      <c r="P331" s="25">
        <v>28181.29</v>
      </c>
      <c r="Q331" s="25">
        <f t="shared" si="45"/>
        <v>563625.80000000005</v>
      </c>
      <c r="R331" s="25">
        <f t="shared" si="46"/>
        <v>237576.59999999998</v>
      </c>
      <c r="S331" s="26">
        <f t="shared" si="47"/>
        <v>0.29652507281555818</v>
      </c>
    </row>
    <row r="332" spans="1:19" ht="15" x14ac:dyDescent="0.2">
      <c r="A332" s="23">
        <v>45738</v>
      </c>
      <c r="B332">
        <f t="shared" si="40"/>
        <v>2025</v>
      </c>
      <c r="C332">
        <f t="shared" si="41"/>
        <v>3</v>
      </c>
      <c r="D332" t="str">
        <f t="shared" si="42"/>
        <v>Marzo</v>
      </c>
      <c r="E332" t="str">
        <f t="shared" si="43"/>
        <v>T1</v>
      </c>
      <c r="F332" t="s">
        <v>455</v>
      </c>
      <c r="G332" t="s">
        <v>74</v>
      </c>
      <c r="H332" t="s">
        <v>75</v>
      </c>
      <c r="I332" t="s">
        <v>76</v>
      </c>
      <c r="J332" t="s">
        <v>70</v>
      </c>
      <c r="K332" t="s">
        <v>84</v>
      </c>
      <c r="L332" t="s">
        <v>85</v>
      </c>
      <c r="M332" s="24">
        <v>9</v>
      </c>
      <c r="N332" s="25">
        <v>37742.410000000003</v>
      </c>
      <c r="O332" s="25">
        <f t="shared" si="44"/>
        <v>339681.69000000006</v>
      </c>
      <c r="P332" s="25">
        <v>26713.58</v>
      </c>
      <c r="Q332" s="25">
        <f t="shared" si="45"/>
        <v>240422.22000000003</v>
      </c>
      <c r="R332" s="25">
        <f t="shared" si="46"/>
        <v>99259.47000000003</v>
      </c>
      <c r="S332" s="26">
        <f t="shared" si="47"/>
        <v>0.29221318935383306</v>
      </c>
    </row>
    <row r="333" spans="1:19" ht="15" x14ac:dyDescent="0.2">
      <c r="A333" s="23">
        <v>45738</v>
      </c>
      <c r="B333">
        <f t="shared" si="40"/>
        <v>2025</v>
      </c>
      <c r="C333">
        <f t="shared" si="41"/>
        <v>3</v>
      </c>
      <c r="D333" t="str">
        <f t="shared" si="42"/>
        <v>Marzo</v>
      </c>
      <c r="E333" t="str">
        <f t="shared" si="43"/>
        <v>T1</v>
      </c>
      <c r="F333" t="s">
        <v>456</v>
      </c>
      <c r="G333" t="s">
        <v>100</v>
      </c>
      <c r="H333" t="s">
        <v>88</v>
      </c>
      <c r="I333" t="s">
        <v>101</v>
      </c>
      <c r="J333" t="s">
        <v>125</v>
      </c>
      <c r="K333" t="s">
        <v>126</v>
      </c>
      <c r="L333" t="s">
        <v>131</v>
      </c>
      <c r="M333" s="24">
        <v>4</v>
      </c>
      <c r="N333" s="25">
        <v>34528.120000000003</v>
      </c>
      <c r="O333" s="25">
        <f t="shared" si="44"/>
        <v>138112.48000000001</v>
      </c>
      <c r="P333" s="25">
        <v>18644.919999999998</v>
      </c>
      <c r="Q333" s="25">
        <f t="shared" si="45"/>
        <v>74579.679999999993</v>
      </c>
      <c r="R333" s="25">
        <f t="shared" si="46"/>
        <v>63532.800000000017</v>
      </c>
      <c r="S333" s="26">
        <f t="shared" si="47"/>
        <v>0.46000766911143737</v>
      </c>
    </row>
    <row r="334" spans="1:19" ht="15" x14ac:dyDescent="0.2">
      <c r="A334" s="23">
        <v>45738</v>
      </c>
      <c r="B334">
        <f t="shared" si="40"/>
        <v>2025</v>
      </c>
      <c r="C334">
        <f t="shared" si="41"/>
        <v>3</v>
      </c>
      <c r="D334" t="str">
        <f t="shared" si="42"/>
        <v>Marzo</v>
      </c>
      <c r="E334" t="str">
        <f t="shared" si="43"/>
        <v>T1</v>
      </c>
      <c r="F334" t="s">
        <v>457</v>
      </c>
      <c r="G334" t="s">
        <v>92</v>
      </c>
      <c r="H334" t="s">
        <v>93</v>
      </c>
      <c r="I334" t="s">
        <v>94</v>
      </c>
      <c r="J334" t="s">
        <v>70</v>
      </c>
      <c r="K334" t="s">
        <v>71</v>
      </c>
      <c r="L334" t="s">
        <v>72</v>
      </c>
      <c r="M334" s="24">
        <v>3</v>
      </c>
      <c r="N334" s="25">
        <v>21021.43</v>
      </c>
      <c r="O334" s="25">
        <f t="shared" si="44"/>
        <v>63064.29</v>
      </c>
      <c r="P334" s="25">
        <v>13519.53</v>
      </c>
      <c r="Q334" s="25">
        <f t="shared" si="45"/>
        <v>40558.590000000004</v>
      </c>
      <c r="R334" s="25">
        <f t="shared" si="46"/>
        <v>22505.699999999997</v>
      </c>
      <c r="S334" s="26">
        <f t="shared" si="47"/>
        <v>0.3568691568556468</v>
      </c>
    </row>
    <row r="335" spans="1:19" ht="15" x14ac:dyDescent="0.2">
      <c r="A335" s="23">
        <v>45739</v>
      </c>
      <c r="B335">
        <f t="shared" si="40"/>
        <v>2025</v>
      </c>
      <c r="C335">
        <f t="shared" si="41"/>
        <v>3</v>
      </c>
      <c r="D335" t="str">
        <f t="shared" si="42"/>
        <v>Marzo</v>
      </c>
      <c r="E335" t="str">
        <f t="shared" si="43"/>
        <v>T1</v>
      </c>
      <c r="F335" t="s">
        <v>458</v>
      </c>
      <c r="G335" t="s">
        <v>68</v>
      </c>
      <c r="H335" t="s">
        <v>62</v>
      </c>
      <c r="I335" t="s">
        <v>69</v>
      </c>
      <c r="J335" t="s">
        <v>64</v>
      </c>
      <c r="K335" t="s">
        <v>96</v>
      </c>
      <c r="L335" t="s">
        <v>103</v>
      </c>
      <c r="M335" s="24">
        <v>208</v>
      </c>
      <c r="N335" s="25">
        <v>3087.93</v>
      </c>
      <c r="O335" s="25">
        <f t="shared" si="44"/>
        <v>642289.43999999994</v>
      </c>
      <c r="P335" s="25">
        <v>2599.83</v>
      </c>
      <c r="Q335" s="25">
        <f t="shared" si="45"/>
        <v>540764.64</v>
      </c>
      <c r="R335" s="25">
        <f t="shared" si="46"/>
        <v>101524.79999999993</v>
      </c>
      <c r="S335" s="26">
        <f t="shared" si="47"/>
        <v>0.15806705462882892</v>
      </c>
    </row>
    <row r="336" spans="1:19" ht="15" x14ac:dyDescent="0.2">
      <c r="A336" s="23">
        <v>45739</v>
      </c>
      <c r="B336">
        <f t="shared" si="40"/>
        <v>2025</v>
      </c>
      <c r="C336">
        <f t="shared" si="41"/>
        <v>3</v>
      </c>
      <c r="D336" t="str">
        <f t="shared" si="42"/>
        <v>Marzo</v>
      </c>
      <c r="E336" t="str">
        <f t="shared" si="43"/>
        <v>T1</v>
      </c>
      <c r="F336" t="s">
        <v>459</v>
      </c>
      <c r="G336" t="s">
        <v>110</v>
      </c>
      <c r="H336" t="s">
        <v>62</v>
      </c>
      <c r="I336" t="s">
        <v>69</v>
      </c>
      <c r="J336" t="s">
        <v>77</v>
      </c>
      <c r="K336" t="s">
        <v>78</v>
      </c>
      <c r="L336" t="s">
        <v>79</v>
      </c>
      <c r="M336" s="24">
        <v>47</v>
      </c>
      <c r="N336" s="25">
        <v>6707.44</v>
      </c>
      <c r="O336" s="25">
        <f t="shared" si="44"/>
        <v>315249.68</v>
      </c>
      <c r="P336" s="25">
        <v>5400.04</v>
      </c>
      <c r="Q336" s="25">
        <f t="shared" si="45"/>
        <v>253801.88</v>
      </c>
      <c r="R336" s="25">
        <f t="shared" si="46"/>
        <v>61447.799999999988</v>
      </c>
      <c r="S336" s="26">
        <f t="shared" si="47"/>
        <v>0.19491788223226741</v>
      </c>
    </row>
    <row r="337" spans="1:19" ht="15" x14ac:dyDescent="0.2">
      <c r="A337" s="23">
        <v>45740</v>
      </c>
      <c r="B337">
        <f t="shared" si="40"/>
        <v>2025</v>
      </c>
      <c r="C337">
        <f t="shared" si="41"/>
        <v>3</v>
      </c>
      <c r="D337" t="str">
        <f t="shared" si="42"/>
        <v>Marzo</v>
      </c>
      <c r="E337" t="str">
        <f t="shared" si="43"/>
        <v>T1</v>
      </c>
      <c r="F337" t="s">
        <v>460</v>
      </c>
      <c r="G337" t="s">
        <v>54</v>
      </c>
      <c r="H337" t="s">
        <v>55</v>
      </c>
      <c r="I337" t="s">
        <v>56</v>
      </c>
      <c r="J337" t="s">
        <v>57</v>
      </c>
      <c r="K337" t="s">
        <v>58</v>
      </c>
      <c r="L337" t="s">
        <v>162</v>
      </c>
      <c r="M337" s="24">
        <v>4</v>
      </c>
      <c r="N337" s="25">
        <v>64766.34</v>
      </c>
      <c r="O337" s="25">
        <f t="shared" si="44"/>
        <v>259065.36</v>
      </c>
      <c r="P337" s="25">
        <v>45441.88</v>
      </c>
      <c r="Q337" s="25">
        <f t="shared" si="45"/>
        <v>181767.52</v>
      </c>
      <c r="R337" s="25">
        <f t="shared" si="46"/>
        <v>77297.84</v>
      </c>
      <c r="S337" s="26">
        <f t="shared" si="47"/>
        <v>0.29837196296718327</v>
      </c>
    </row>
    <row r="338" spans="1:19" ht="15" x14ac:dyDescent="0.2">
      <c r="A338" s="23">
        <v>45741</v>
      </c>
      <c r="B338">
        <f t="shared" si="40"/>
        <v>2025</v>
      </c>
      <c r="C338">
        <f t="shared" si="41"/>
        <v>3</v>
      </c>
      <c r="D338" t="str">
        <f t="shared" si="42"/>
        <v>Marzo</v>
      </c>
      <c r="E338" t="str">
        <f t="shared" si="43"/>
        <v>T1</v>
      </c>
      <c r="F338" t="s">
        <v>461</v>
      </c>
      <c r="G338" t="s">
        <v>68</v>
      </c>
      <c r="H338" t="s">
        <v>62</v>
      </c>
      <c r="I338" t="s">
        <v>69</v>
      </c>
      <c r="J338" t="s">
        <v>125</v>
      </c>
      <c r="K338" t="s">
        <v>138</v>
      </c>
      <c r="L338" t="s">
        <v>142</v>
      </c>
      <c r="M338" s="24">
        <v>112</v>
      </c>
      <c r="N338" s="25">
        <v>3183.87</v>
      </c>
      <c r="O338" s="25">
        <f t="shared" si="44"/>
        <v>356593.44</v>
      </c>
      <c r="P338" s="25">
        <v>2598.23</v>
      </c>
      <c r="Q338" s="25">
        <f t="shared" si="45"/>
        <v>291001.76</v>
      </c>
      <c r="R338" s="25">
        <f t="shared" si="46"/>
        <v>65591.679999999993</v>
      </c>
      <c r="S338" s="26">
        <f t="shared" si="47"/>
        <v>0.18393967090364868</v>
      </c>
    </row>
    <row r="339" spans="1:19" ht="15" x14ac:dyDescent="0.2">
      <c r="A339" s="23">
        <v>45741</v>
      </c>
      <c r="B339">
        <f t="shared" si="40"/>
        <v>2025</v>
      </c>
      <c r="C339">
        <f t="shared" si="41"/>
        <v>3</v>
      </c>
      <c r="D339" t="str">
        <f t="shared" si="42"/>
        <v>Marzo</v>
      </c>
      <c r="E339" t="str">
        <f t="shared" si="43"/>
        <v>T1</v>
      </c>
      <c r="F339" t="s">
        <v>462</v>
      </c>
      <c r="G339" t="s">
        <v>74</v>
      </c>
      <c r="H339" t="s">
        <v>75</v>
      </c>
      <c r="I339" t="s">
        <v>76</v>
      </c>
      <c r="J339" t="s">
        <v>64</v>
      </c>
      <c r="K339" t="s">
        <v>65</v>
      </c>
      <c r="L339" t="s">
        <v>66</v>
      </c>
      <c r="M339" s="24">
        <v>1</v>
      </c>
      <c r="N339" s="25">
        <v>17672.95</v>
      </c>
      <c r="O339" s="25">
        <f t="shared" si="44"/>
        <v>17672.95</v>
      </c>
      <c r="P339" s="25">
        <v>12318.58</v>
      </c>
      <c r="Q339" s="25">
        <f t="shared" si="45"/>
        <v>12318.58</v>
      </c>
      <c r="R339" s="25">
        <f t="shared" si="46"/>
        <v>5354.3700000000008</v>
      </c>
      <c r="S339" s="26">
        <f t="shared" si="47"/>
        <v>0.30296979281896913</v>
      </c>
    </row>
    <row r="340" spans="1:19" ht="15" x14ac:dyDescent="0.2">
      <c r="A340" s="23">
        <v>45741</v>
      </c>
      <c r="B340">
        <f t="shared" si="40"/>
        <v>2025</v>
      </c>
      <c r="C340">
        <f t="shared" si="41"/>
        <v>3</v>
      </c>
      <c r="D340" t="str">
        <f t="shared" si="42"/>
        <v>Marzo</v>
      </c>
      <c r="E340" t="str">
        <f t="shared" si="43"/>
        <v>T1</v>
      </c>
      <c r="F340" t="s">
        <v>463</v>
      </c>
      <c r="G340" t="s">
        <v>188</v>
      </c>
      <c r="H340" t="s">
        <v>88</v>
      </c>
      <c r="I340" t="s">
        <v>189</v>
      </c>
      <c r="J340" t="s">
        <v>64</v>
      </c>
      <c r="K340" t="s">
        <v>65</v>
      </c>
      <c r="L340" t="s">
        <v>66</v>
      </c>
      <c r="M340" s="24">
        <v>3</v>
      </c>
      <c r="N340" s="25">
        <v>67860.81</v>
      </c>
      <c r="O340" s="25">
        <f t="shared" si="44"/>
        <v>203582.43</v>
      </c>
      <c r="P340" s="25">
        <v>37841.040000000001</v>
      </c>
      <c r="Q340" s="25">
        <f t="shared" si="45"/>
        <v>113523.12</v>
      </c>
      <c r="R340" s="25">
        <f t="shared" si="46"/>
        <v>90059.31</v>
      </c>
      <c r="S340" s="26">
        <f t="shared" si="47"/>
        <v>0.44237270377409288</v>
      </c>
    </row>
    <row r="341" spans="1:19" ht="15" x14ac:dyDescent="0.2">
      <c r="A341" s="23">
        <v>45741</v>
      </c>
      <c r="B341">
        <f t="shared" si="40"/>
        <v>2025</v>
      </c>
      <c r="C341">
        <f t="shared" si="41"/>
        <v>3</v>
      </c>
      <c r="D341" t="str">
        <f t="shared" si="42"/>
        <v>Marzo</v>
      </c>
      <c r="E341" t="str">
        <f t="shared" si="43"/>
        <v>T1</v>
      </c>
      <c r="F341" t="s">
        <v>464</v>
      </c>
      <c r="G341" t="s">
        <v>144</v>
      </c>
      <c r="H341" t="s">
        <v>88</v>
      </c>
      <c r="I341" t="s">
        <v>145</v>
      </c>
      <c r="J341" t="s">
        <v>77</v>
      </c>
      <c r="K341" t="s">
        <v>107</v>
      </c>
      <c r="L341" t="s">
        <v>112</v>
      </c>
      <c r="M341" s="24">
        <v>1</v>
      </c>
      <c r="N341" s="25">
        <v>14646.36</v>
      </c>
      <c r="O341" s="25">
        <f t="shared" si="44"/>
        <v>14646.36</v>
      </c>
      <c r="P341" s="25">
        <v>7828.16</v>
      </c>
      <c r="Q341" s="25">
        <f t="shared" si="45"/>
        <v>7828.16</v>
      </c>
      <c r="R341" s="25">
        <f t="shared" si="46"/>
        <v>6818.2000000000007</v>
      </c>
      <c r="S341" s="26">
        <f t="shared" si="47"/>
        <v>0.46552180883168243</v>
      </c>
    </row>
    <row r="342" spans="1:19" ht="15" x14ac:dyDescent="0.2">
      <c r="A342" s="23">
        <v>45741</v>
      </c>
      <c r="B342">
        <f t="shared" si="40"/>
        <v>2025</v>
      </c>
      <c r="C342">
        <f t="shared" si="41"/>
        <v>3</v>
      </c>
      <c r="D342" t="str">
        <f t="shared" si="42"/>
        <v>Marzo</v>
      </c>
      <c r="E342" t="str">
        <f t="shared" si="43"/>
        <v>T1</v>
      </c>
      <c r="F342" t="s">
        <v>465</v>
      </c>
      <c r="G342" t="s">
        <v>87</v>
      </c>
      <c r="H342" t="s">
        <v>88</v>
      </c>
      <c r="I342" t="s">
        <v>89</v>
      </c>
      <c r="J342" t="s">
        <v>77</v>
      </c>
      <c r="K342" t="s">
        <v>107</v>
      </c>
      <c r="L342" t="s">
        <v>108</v>
      </c>
      <c r="M342" s="24">
        <v>10</v>
      </c>
      <c r="N342" s="25">
        <v>65591.87</v>
      </c>
      <c r="O342" s="25">
        <f t="shared" si="44"/>
        <v>655918.69999999995</v>
      </c>
      <c r="P342" s="25">
        <v>33450.160000000003</v>
      </c>
      <c r="Q342" s="25">
        <f t="shared" si="45"/>
        <v>334501.60000000003</v>
      </c>
      <c r="R342" s="25">
        <f t="shared" si="46"/>
        <v>321417.09999999992</v>
      </c>
      <c r="S342" s="26">
        <f t="shared" si="47"/>
        <v>0.49002582179773185</v>
      </c>
    </row>
    <row r="343" spans="1:19" ht="15" x14ac:dyDescent="0.2">
      <c r="A343" s="23">
        <v>45741</v>
      </c>
      <c r="B343">
        <f t="shared" si="40"/>
        <v>2025</v>
      </c>
      <c r="C343">
        <f t="shared" si="41"/>
        <v>3</v>
      </c>
      <c r="D343" t="str">
        <f t="shared" si="42"/>
        <v>Marzo</v>
      </c>
      <c r="E343" t="str">
        <f t="shared" si="43"/>
        <v>T1</v>
      </c>
      <c r="F343" t="s">
        <v>466</v>
      </c>
      <c r="G343" t="s">
        <v>144</v>
      </c>
      <c r="H343" t="s">
        <v>88</v>
      </c>
      <c r="I343" t="s">
        <v>145</v>
      </c>
      <c r="J343" t="s">
        <v>125</v>
      </c>
      <c r="K343" t="s">
        <v>126</v>
      </c>
      <c r="L343" t="s">
        <v>127</v>
      </c>
      <c r="M343" s="24">
        <v>5</v>
      </c>
      <c r="N343" s="25">
        <v>11998.7</v>
      </c>
      <c r="O343" s="25">
        <f t="shared" si="44"/>
        <v>59993.5</v>
      </c>
      <c r="P343" s="25">
        <v>6450.7</v>
      </c>
      <c r="Q343" s="25">
        <f t="shared" si="45"/>
        <v>32253.5</v>
      </c>
      <c r="R343" s="25">
        <f t="shared" si="46"/>
        <v>27740</v>
      </c>
      <c r="S343" s="26">
        <f t="shared" si="47"/>
        <v>0.46238342487102768</v>
      </c>
    </row>
    <row r="344" spans="1:19" ht="15" x14ac:dyDescent="0.2">
      <c r="A344" s="23">
        <v>45742</v>
      </c>
      <c r="B344">
        <f t="shared" si="40"/>
        <v>2025</v>
      </c>
      <c r="C344">
        <f t="shared" si="41"/>
        <v>3</v>
      </c>
      <c r="D344" t="str">
        <f t="shared" si="42"/>
        <v>Marzo</v>
      </c>
      <c r="E344" t="str">
        <f t="shared" si="43"/>
        <v>T1</v>
      </c>
      <c r="F344" t="s">
        <v>467</v>
      </c>
      <c r="G344" t="s">
        <v>54</v>
      </c>
      <c r="H344" t="s">
        <v>55</v>
      </c>
      <c r="I344" t="s">
        <v>56</v>
      </c>
      <c r="J344" t="s">
        <v>64</v>
      </c>
      <c r="K344" t="s">
        <v>65</v>
      </c>
      <c r="L344" t="s">
        <v>123</v>
      </c>
      <c r="M344" s="24">
        <v>16</v>
      </c>
      <c r="N344" s="25">
        <v>57725.91</v>
      </c>
      <c r="O344" s="25">
        <f t="shared" si="44"/>
        <v>923614.56</v>
      </c>
      <c r="P344" s="25">
        <v>42274.71</v>
      </c>
      <c r="Q344" s="25">
        <f t="shared" si="45"/>
        <v>676395.36</v>
      </c>
      <c r="R344" s="25">
        <f t="shared" si="46"/>
        <v>247219.20000000007</v>
      </c>
      <c r="S344" s="26">
        <f t="shared" si="47"/>
        <v>0.26766490125491316</v>
      </c>
    </row>
    <row r="345" spans="1:19" ht="15" x14ac:dyDescent="0.2">
      <c r="A345" s="23">
        <v>45742</v>
      </c>
      <c r="B345">
        <f t="shared" si="40"/>
        <v>2025</v>
      </c>
      <c r="C345">
        <f t="shared" si="41"/>
        <v>3</v>
      </c>
      <c r="D345" t="str">
        <f t="shared" si="42"/>
        <v>Marzo</v>
      </c>
      <c r="E345" t="str">
        <f t="shared" si="43"/>
        <v>T1</v>
      </c>
      <c r="F345" t="s">
        <v>468</v>
      </c>
      <c r="G345" t="s">
        <v>114</v>
      </c>
      <c r="H345" t="s">
        <v>75</v>
      </c>
      <c r="I345" t="s">
        <v>115</v>
      </c>
      <c r="J345" t="s">
        <v>57</v>
      </c>
      <c r="K345" t="s">
        <v>81</v>
      </c>
      <c r="L345" t="s">
        <v>129</v>
      </c>
      <c r="M345" s="24">
        <v>7</v>
      </c>
      <c r="N345" s="25">
        <v>93924.86</v>
      </c>
      <c r="O345" s="25">
        <f t="shared" si="44"/>
        <v>657474.02</v>
      </c>
      <c r="P345" s="25">
        <v>64105.54</v>
      </c>
      <c r="Q345" s="25">
        <f t="shared" si="45"/>
        <v>448738.78</v>
      </c>
      <c r="R345" s="25">
        <f t="shared" si="46"/>
        <v>208735.24</v>
      </c>
      <c r="S345" s="26">
        <f t="shared" si="47"/>
        <v>0.31748059033572151</v>
      </c>
    </row>
    <row r="346" spans="1:19" ht="15" x14ac:dyDescent="0.2">
      <c r="A346" s="23">
        <v>45742</v>
      </c>
      <c r="B346">
        <f t="shared" si="40"/>
        <v>2025</v>
      </c>
      <c r="C346">
        <f t="shared" si="41"/>
        <v>3</v>
      </c>
      <c r="D346" t="str">
        <f t="shared" si="42"/>
        <v>Marzo</v>
      </c>
      <c r="E346" t="str">
        <f t="shared" si="43"/>
        <v>T1</v>
      </c>
      <c r="F346" t="s">
        <v>469</v>
      </c>
      <c r="G346" t="s">
        <v>74</v>
      </c>
      <c r="H346" t="s">
        <v>75</v>
      </c>
      <c r="I346" t="s">
        <v>76</v>
      </c>
      <c r="J346" t="s">
        <v>70</v>
      </c>
      <c r="K346" t="s">
        <v>84</v>
      </c>
      <c r="L346" t="s">
        <v>85</v>
      </c>
      <c r="M346" s="24">
        <v>8</v>
      </c>
      <c r="N346" s="25">
        <v>37359.24</v>
      </c>
      <c r="O346" s="25">
        <f t="shared" si="44"/>
        <v>298873.92</v>
      </c>
      <c r="P346" s="25">
        <v>26470.63</v>
      </c>
      <c r="Q346" s="25">
        <f t="shared" si="45"/>
        <v>211765.04</v>
      </c>
      <c r="R346" s="25">
        <f t="shared" si="46"/>
        <v>87108.879999999976</v>
      </c>
      <c r="S346" s="26">
        <f t="shared" si="47"/>
        <v>0.29145694612631301</v>
      </c>
    </row>
    <row r="347" spans="1:19" ht="15" x14ac:dyDescent="0.2">
      <c r="A347" s="23">
        <v>45742</v>
      </c>
      <c r="B347">
        <f t="shared" si="40"/>
        <v>2025</v>
      </c>
      <c r="C347">
        <f t="shared" si="41"/>
        <v>3</v>
      </c>
      <c r="D347" t="str">
        <f t="shared" si="42"/>
        <v>Marzo</v>
      </c>
      <c r="E347" t="str">
        <f t="shared" si="43"/>
        <v>T1</v>
      </c>
      <c r="F347" t="s">
        <v>470</v>
      </c>
      <c r="G347" t="s">
        <v>87</v>
      </c>
      <c r="H347" t="s">
        <v>88</v>
      </c>
      <c r="I347" t="s">
        <v>89</v>
      </c>
      <c r="J347" t="s">
        <v>70</v>
      </c>
      <c r="K347" t="s">
        <v>84</v>
      </c>
      <c r="L347" t="s">
        <v>85</v>
      </c>
      <c r="M347" s="24">
        <v>4</v>
      </c>
      <c r="N347" s="25">
        <v>49798</v>
      </c>
      <c r="O347" s="25">
        <f t="shared" si="44"/>
        <v>199192</v>
      </c>
      <c r="P347" s="25">
        <v>30112.85</v>
      </c>
      <c r="Q347" s="25">
        <f t="shared" si="45"/>
        <v>120451.4</v>
      </c>
      <c r="R347" s="25">
        <f t="shared" si="46"/>
        <v>78740.600000000006</v>
      </c>
      <c r="S347" s="26">
        <f t="shared" si="47"/>
        <v>0.39530001204867671</v>
      </c>
    </row>
    <row r="348" spans="1:19" ht="15" x14ac:dyDescent="0.2">
      <c r="A348" s="23">
        <v>45742</v>
      </c>
      <c r="B348">
        <f t="shared" si="40"/>
        <v>2025</v>
      </c>
      <c r="C348">
        <f t="shared" si="41"/>
        <v>3</v>
      </c>
      <c r="D348" t="str">
        <f t="shared" si="42"/>
        <v>Marzo</v>
      </c>
      <c r="E348" t="str">
        <f t="shared" si="43"/>
        <v>T1</v>
      </c>
      <c r="F348" t="s">
        <v>471</v>
      </c>
      <c r="G348" t="s">
        <v>92</v>
      </c>
      <c r="H348" t="s">
        <v>93</v>
      </c>
      <c r="I348" t="s">
        <v>94</v>
      </c>
      <c r="J348" t="s">
        <v>57</v>
      </c>
      <c r="K348" t="s">
        <v>58</v>
      </c>
      <c r="L348" t="s">
        <v>162</v>
      </c>
      <c r="M348" s="24">
        <v>4</v>
      </c>
      <c r="N348" s="25">
        <v>19955.349999999999</v>
      </c>
      <c r="O348" s="25">
        <f t="shared" si="44"/>
        <v>79821.399999999994</v>
      </c>
      <c r="P348" s="25">
        <v>11696.48</v>
      </c>
      <c r="Q348" s="25">
        <f t="shared" si="45"/>
        <v>46785.919999999998</v>
      </c>
      <c r="R348" s="25">
        <f t="shared" si="46"/>
        <v>33035.479999999996</v>
      </c>
      <c r="S348" s="26">
        <f t="shared" si="47"/>
        <v>0.41386745910244621</v>
      </c>
    </row>
    <row r="349" spans="1:19" ht="15" x14ac:dyDescent="0.2">
      <c r="A349" s="23">
        <v>45743</v>
      </c>
      <c r="B349">
        <f t="shared" si="40"/>
        <v>2025</v>
      </c>
      <c r="C349">
        <f t="shared" si="41"/>
        <v>3</v>
      </c>
      <c r="D349" t="str">
        <f t="shared" si="42"/>
        <v>Marzo</v>
      </c>
      <c r="E349" t="str">
        <f t="shared" si="43"/>
        <v>T1</v>
      </c>
      <c r="F349" t="s">
        <v>472</v>
      </c>
      <c r="G349" t="s">
        <v>54</v>
      </c>
      <c r="H349" t="s">
        <v>55</v>
      </c>
      <c r="I349" t="s">
        <v>56</v>
      </c>
      <c r="J349" t="s">
        <v>77</v>
      </c>
      <c r="K349" t="s">
        <v>107</v>
      </c>
      <c r="L349" t="s">
        <v>112</v>
      </c>
      <c r="M349" s="24">
        <v>8</v>
      </c>
      <c r="N349" s="25">
        <v>66248.7</v>
      </c>
      <c r="O349" s="25">
        <f t="shared" si="44"/>
        <v>529989.6</v>
      </c>
      <c r="P349" s="25">
        <v>43892.480000000003</v>
      </c>
      <c r="Q349" s="25">
        <f t="shared" si="45"/>
        <v>351139.84000000003</v>
      </c>
      <c r="R349" s="25">
        <f t="shared" si="46"/>
        <v>178849.75999999995</v>
      </c>
      <c r="S349" s="26">
        <f t="shared" si="47"/>
        <v>0.33745899919545586</v>
      </c>
    </row>
    <row r="350" spans="1:19" ht="15" x14ac:dyDescent="0.2">
      <c r="A350" s="23">
        <v>45743</v>
      </c>
      <c r="B350">
        <f t="shared" si="40"/>
        <v>2025</v>
      </c>
      <c r="C350">
        <f t="shared" si="41"/>
        <v>3</v>
      </c>
      <c r="D350" t="str">
        <f t="shared" si="42"/>
        <v>Marzo</v>
      </c>
      <c r="E350" t="str">
        <f t="shared" si="43"/>
        <v>T1</v>
      </c>
      <c r="F350" t="s">
        <v>473</v>
      </c>
      <c r="G350" t="s">
        <v>61</v>
      </c>
      <c r="H350" t="s">
        <v>62</v>
      </c>
      <c r="I350" t="s">
        <v>63</v>
      </c>
      <c r="J350" t="s">
        <v>64</v>
      </c>
      <c r="K350" t="s">
        <v>96</v>
      </c>
      <c r="L350" t="s">
        <v>103</v>
      </c>
      <c r="M350" s="24">
        <v>75</v>
      </c>
      <c r="N350" s="25">
        <v>5767.25</v>
      </c>
      <c r="O350" s="25">
        <f t="shared" si="44"/>
        <v>432543.75</v>
      </c>
      <c r="P350" s="25">
        <v>4830.46</v>
      </c>
      <c r="Q350" s="25">
        <f t="shared" si="45"/>
        <v>362284.5</v>
      </c>
      <c r="R350" s="25">
        <f t="shared" si="46"/>
        <v>70259.25</v>
      </c>
      <c r="S350" s="26">
        <f t="shared" si="47"/>
        <v>0.16243270189431705</v>
      </c>
    </row>
    <row r="351" spans="1:19" ht="15" x14ac:dyDescent="0.2">
      <c r="A351" s="23">
        <v>45743</v>
      </c>
      <c r="B351">
        <f t="shared" si="40"/>
        <v>2025</v>
      </c>
      <c r="C351">
        <f t="shared" si="41"/>
        <v>3</v>
      </c>
      <c r="D351" t="str">
        <f t="shared" si="42"/>
        <v>Marzo</v>
      </c>
      <c r="E351" t="str">
        <f t="shared" si="43"/>
        <v>T1</v>
      </c>
      <c r="F351" t="s">
        <v>474</v>
      </c>
      <c r="G351" t="s">
        <v>110</v>
      </c>
      <c r="H351" t="s">
        <v>62</v>
      </c>
      <c r="I351" t="s">
        <v>69</v>
      </c>
      <c r="J351" t="s">
        <v>125</v>
      </c>
      <c r="K351" t="s">
        <v>126</v>
      </c>
      <c r="L351" t="s">
        <v>131</v>
      </c>
      <c r="M351" s="24">
        <v>29</v>
      </c>
      <c r="N351" s="25">
        <v>6508.08</v>
      </c>
      <c r="O351" s="25">
        <f t="shared" si="44"/>
        <v>188734.32</v>
      </c>
      <c r="P351" s="25">
        <v>5352.43</v>
      </c>
      <c r="Q351" s="25">
        <f t="shared" si="45"/>
        <v>155220.47</v>
      </c>
      <c r="R351" s="25">
        <f t="shared" si="46"/>
        <v>33513.850000000006</v>
      </c>
      <c r="S351" s="26">
        <f t="shared" si="47"/>
        <v>0.17757157256825365</v>
      </c>
    </row>
    <row r="352" spans="1:19" ht="15" x14ac:dyDescent="0.2">
      <c r="A352" s="23">
        <v>45743</v>
      </c>
      <c r="B352">
        <f t="shared" si="40"/>
        <v>2025</v>
      </c>
      <c r="C352">
        <f t="shared" si="41"/>
        <v>3</v>
      </c>
      <c r="D352" t="str">
        <f t="shared" si="42"/>
        <v>Marzo</v>
      </c>
      <c r="E352" t="str">
        <f t="shared" si="43"/>
        <v>T1</v>
      </c>
      <c r="F352" t="s">
        <v>475</v>
      </c>
      <c r="G352" t="s">
        <v>144</v>
      </c>
      <c r="H352" t="s">
        <v>88</v>
      </c>
      <c r="I352" t="s">
        <v>145</v>
      </c>
      <c r="J352" t="s">
        <v>57</v>
      </c>
      <c r="K352" t="s">
        <v>58</v>
      </c>
      <c r="L352" t="s">
        <v>162</v>
      </c>
      <c r="M352" s="24">
        <v>17</v>
      </c>
      <c r="N352" s="25">
        <v>12427.45</v>
      </c>
      <c r="O352" s="25">
        <f t="shared" si="44"/>
        <v>211266.65000000002</v>
      </c>
      <c r="P352" s="25">
        <v>7082.6</v>
      </c>
      <c r="Q352" s="25">
        <f t="shared" si="45"/>
        <v>120404.20000000001</v>
      </c>
      <c r="R352" s="25">
        <f t="shared" si="46"/>
        <v>90862.450000000012</v>
      </c>
      <c r="S352" s="26">
        <f t="shared" si="47"/>
        <v>0.43008420874757092</v>
      </c>
    </row>
    <row r="353" spans="1:19" ht="15" x14ac:dyDescent="0.2">
      <c r="A353" s="23">
        <v>45743</v>
      </c>
      <c r="B353">
        <f t="shared" si="40"/>
        <v>2025</v>
      </c>
      <c r="C353">
        <f t="shared" si="41"/>
        <v>3</v>
      </c>
      <c r="D353" t="str">
        <f t="shared" si="42"/>
        <v>Marzo</v>
      </c>
      <c r="E353" t="str">
        <f t="shared" si="43"/>
        <v>T1</v>
      </c>
      <c r="F353" t="s">
        <v>476</v>
      </c>
      <c r="G353" t="s">
        <v>149</v>
      </c>
      <c r="H353" t="s">
        <v>93</v>
      </c>
      <c r="I353" t="s">
        <v>150</v>
      </c>
      <c r="J353" t="s">
        <v>77</v>
      </c>
      <c r="K353" t="s">
        <v>78</v>
      </c>
      <c r="L353" t="s">
        <v>117</v>
      </c>
      <c r="M353" s="24">
        <v>3</v>
      </c>
      <c r="N353" s="25">
        <v>46876.23</v>
      </c>
      <c r="O353" s="25">
        <f t="shared" si="44"/>
        <v>140628.69</v>
      </c>
      <c r="P353" s="25">
        <v>26370.91</v>
      </c>
      <c r="Q353" s="25">
        <f t="shared" si="45"/>
        <v>79112.73</v>
      </c>
      <c r="R353" s="25">
        <f t="shared" si="46"/>
        <v>61515.960000000006</v>
      </c>
      <c r="S353" s="26">
        <f t="shared" si="47"/>
        <v>0.43743534836312564</v>
      </c>
    </row>
    <row r="354" spans="1:19" ht="15" x14ac:dyDescent="0.2">
      <c r="A354" s="23">
        <v>45744</v>
      </c>
      <c r="B354">
        <f t="shared" si="40"/>
        <v>2025</v>
      </c>
      <c r="C354">
        <f t="shared" si="41"/>
        <v>3</v>
      </c>
      <c r="D354" t="str">
        <f t="shared" si="42"/>
        <v>Marzo</v>
      </c>
      <c r="E354" t="str">
        <f t="shared" si="43"/>
        <v>T1</v>
      </c>
      <c r="F354" t="s">
        <v>477</v>
      </c>
      <c r="G354" t="s">
        <v>110</v>
      </c>
      <c r="H354" t="s">
        <v>62</v>
      </c>
      <c r="I354" t="s">
        <v>69</v>
      </c>
      <c r="J354" t="s">
        <v>64</v>
      </c>
      <c r="K354" t="s">
        <v>65</v>
      </c>
      <c r="L354" t="s">
        <v>123</v>
      </c>
      <c r="M354" s="24">
        <v>201</v>
      </c>
      <c r="N354" s="25">
        <v>6471.34</v>
      </c>
      <c r="O354" s="25">
        <f t="shared" si="44"/>
        <v>1300739.3400000001</v>
      </c>
      <c r="P354" s="25">
        <v>5412.28</v>
      </c>
      <c r="Q354" s="25">
        <f t="shared" si="45"/>
        <v>1087868.28</v>
      </c>
      <c r="R354" s="25">
        <f t="shared" si="46"/>
        <v>212871.06000000006</v>
      </c>
      <c r="S354" s="26">
        <f t="shared" si="47"/>
        <v>0.16365389548377929</v>
      </c>
    </row>
    <row r="355" spans="1:19" ht="15" x14ac:dyDescent="0.2">
      <c r="A355" s="23">
        <v>45744</v>
      </c>
      <c r="B355">
        <f t="shared" si="40"/>
        <v>2025</v>
      </c>
      <c r="C355">
        <f t="shared" si="41"/>
        <v>3</v>
      </c>
      <c r="D355" t="str">
        <f t="shared" si="42"/>
        <v>Marzo</v>
      </c>
      <c r="E355" t="str">
        <f t="shared" si="43"/>
        <v>T1</v>
      </c>
      <c r="F355" t="s">
        <v>478</v>
      </c>
      <c r="G355" t="s">
        <v>74</v>
      </c>
      <c r="H355" t="s">
        <v>75</v>
      </c>
      <c r="I355" t="s">
        <v>76</v>
      </c>
      <c r="J355" t="s">
        <v>64</v>
      </c>
      <c r="K355" t="s">
        <v>96</v>
      </c>
      <c r="L355" t="s">
        <v>103</v>
      </c>
      <c r="M355" s="24">
        <v>17</v>
      </c>
      <c r="N355" s="25">
        <v>40146.01</v>
      </c>
      <c r="O355" s="25">
        <f t="shared" si="44"/>
        <v>682482.17</v>
      </c>
      <c r="P355" s="25">
        <v>27712.11</v>
      </c>
      <c r="Q355" s="25">
        <f t="shared" si="45"/>
        <v>471105.87</v>
      </c>
      <c r="R355" s="25">
        <f t="shared" si="46"/>
        <v>211376.30000000005</v>
      </c>
      <c r="S355" s="26">
        <f t="shared" si="47"/>
        <v>0.30971695568251995</v>
      </c>
    </row>
    <row r="356" spans="1:19" ht="15" x14ac:dyDescent="0.2">
      <c r="A356" s="23">
        <v>45744</v>
      </c>
      <c r="B356">
        <f t="shared" si="40"/>
        <v>2025</v>
      </c>
      <c r="C356">
        <f t="shared" si="41"/>
        <v>3</v>
      </c>
      <c r="D356" t="str">
        <f t="shared" si="42"/>
        <v>Marzo</v>
      </c>
      <c r="E356" t="str">
        <f t="shared" si="43"/>
        <v>T1</v>
      </c>
      <c r="F356" t="s">
        <v>479</v>
      </c>
      <c r="G356" t="s">
        <v>114</v>
      </c>
      <c r="H356" t="s">
        <v>75</v>
      </c>
      <c r="I356" t="s">
        <v>115</v>
      </c>
      <c r="J356" t="s">
        <v>77</v>
      </c>
      <c r="K356" t="s">
        <v>78</v>
      </c>
      <c r="L356" t="s">
        <v>117</v>
      </c>
      <c r="M356" s="24">
        <v>2</v>
      </c>
      <c r="N356" s="25">
        <v>116995.6</v>
      </c>
      <c r="O356" s="25">
        <f t="shared" si="44"/>
        <v>233991.2</v>
      </c>
      <c r="P356" s="25">
        <v>78274.69</v>
      </c>
      <c r="Q356" s="25">
        <f t="shared" si="45"/>
        <v>156549.38</v>
      </c>
      <c r="R356" s="25">
        <f t="shared" si="46"/>
        <v>77441.820000000007</v>
      </c>
      <c r="S356" s="26">
        <f t="shared" si="47"/>
        <v>0.33096039509178127</v>
      </c>
    </row>
    <row r="357" spans="1:19" ht="15" x14ac:dyDescent="0.2">
      <c r="A357" s="23">
        <v>45744</v>
      </c>
      <c r="B357">
        <f t="shared" si="40"/>
        <v>2025</v>
      </c>
      <c r="C357">
        <f t="shared" si="41"/>
        <v>3</v>
      </c>
      <c r="D357" t="str">
        <f t="shared" si="42"/>
        <v>Marzo</v>
      </c>
      <c r="E357" t="str">
        <f t="shared" si="43"/>
        <v>T1</v>
      </c>
      <c r="F357" t="s">
        <v>480</v>
      </c>
      <c r="G357" t="s">
        <v>74</v>
      </c>
      <c r="H357" t="s">
        <v>75</v>
      </c>
      <c r="I357" t="s">
        <v>76</v>
      </c>
      <c r="J357" t="s">
        <v>125</v>
      </c>
      <c r="K357" t="s">
        <v>126</v>
      </c>
      <c r="L357" t="s">
        <v>127</v>
      </c>
      <c r="M357" s="24">
        <v>3</v>
      </c>
      <c r="N357" s="25">
        <v>36162.03</v>
      </c>
      <c r="O357" s="25">
        <f t="shared" si="44"/>
        <v>108486.09</v>
      </c>
      <c r="P357" s="25">
        <v>24307.17</v>
      </c>
      <c r="Q357" s="25">
        <f t="shared" si="45"/>
        <v>72921.509999999995</v>
      </c>
      <c r="R357" s="25">
        <f t="shared" si="46"/>
        <v>35564.58</v>
      </c>
      <c r="S357" s="26">
        <f t="shared" si="47"/>
        <v>0.32782617568759281</v>
      </c>
    </row>
    <row r="358" spans="1:19" ht="15" x14ac:dyDescent="0.2">
      <c r="A358" s="23">
        <v>45748</v>
      </c>
      <c r="B358">
        <f t="shared" si="40"/>
        <v>2025</v>
      </c>
      <c r="C358">
        <f t="shared" si="41"/>
        <v>4</v>
      </c>
      <c r="D358" t="str">
        <f t="shared" si="42"/>
        <v>Abril</v>
      </c>
      <c r="E358" t="str">
        <f t="shared" si="43"/>
        <v>T2</v>
      </c>
      <c r="F358" t="s">
        <v>481</v>
      </c>
      <c r="G358" t="s">
        <v>54</v>
      </c>
      <c r="H358" t="s">
        <v>55</v>
      </c>
      <c r="I358" t="s">
        <v>56</v>
      </c>
      <c r="J358" t="s">
        <v>77</v>
      </c>
      <c r="K358" t="s">
        <v>107</v>
      </c>
      <c r="L358" t="s">
        <v>112</v>
      </c>
      <c r="M358" s="24">
        <v>23</v>
      </c>
      <c r="N358" s="25">
        <v>62896.33</v>
      </c>
      <c r="O358" s="25">
        <f t="shared" si="44"/>
        <v>1446615.59</v>
      </c>
      <c r="P358" s="25">
        <v>42590.87</v>
      </c>
      <c r="Q358" s="25">
        <f t="shared" si="45"/>
        <v>979590.01</v>
      </c>
      <c r="R358" s="25">
        <f t="shared" si="46"/>
        <v>467025.58000000007</v>
      </c>
      <c r="S358" s="26">
        <f t="shared" si="47"/>
        <v>0.32284014027527524</v>
      </c>
    </row>
    <row r="359" spans="1:19" ht="15" x14ac:dyDescent="0.2">
      <c r="A359" s="23">
        <v>45748</v>
      </c>
      <c r="B359">
        <f t="shared" si="40"/>
        <v>2025</v>
      </c>
      <c r="C359">
        <f t="shared" si="41"/>
        <v>4</v>
      </c>
      <c r="D359" t="str">
        <f t="shared" si="42"/>
        <v>Abril</v>
      </c>
      <c r="E359" t="str">
        <f t="shared" si="43"/>
        <v>T2</v>
      </c>
      <c r="F359" t="s">
        <v>482</v>
      </c>
      <c r="G359" t="s">
        <v>54</v>
      </c>
      <c r="H359" t="s">
        <v>55</v>
      </c>
      <c r="I359" t="s">
        <v>56</v>
      </c>
      <c r="J359" t="s">
        <v>70</v>
      </c>
      <c r="K359" t="s">
        <v>71</v>
      </c>
      <c r="L359" t="s">
        <v>72</v>
      </c>
      <c r="M359" s="24">
        <v>6</v>
      </c>
      <c r="N359" s="25">
        <v>57428.21</v>
      </c>
      <c r="O359" s="25">
        <f t="shared" si="44"/>
        <v>344569.26</v>
      </c>
      <c r="P359" s="25">
        <v>43114.96</v>
      </c>
      <c r="Q359" s="25">
        <f t="shared" si="45"/>
        <v>258689.76</v>
      </c>
      <c r="R359" s="25">
        <f t="shared" si="46"/>
        <v>85879.5</v>
      </c>
      <c r="S359" s="26">
        <f t="shared" si="47"/>
        <v>0.24923726510020075</v>
      </c>
    </row>
    <row r="360" spans="1:19" ht="15" x14ac:dyDescent="0.2">
      <c r="A360" s="23">
        <v>45748</v>
      </c>
      <c r="B360">
        <f t="shared" si="40"/>
        <v>2025</v>
      </c>
      <c r="C360">
        <f t="shared" si="41"/>
        <v>4</v>
      </c>
      <c r="D360" t="str">
        <f t="shared" si="42"/>
        <v>Abril</v>
      </c>
      <c r="E360" t="str">
        <f t="shared" si="43"/>
        <v>T2</v>
      </c>
      <c r="F360" t="s">
        <v>483</v>
      </c>
      <c r="G360" t="s">
        <v>114</v>
      </c>
      <c r="H360" t="s">
        <v>75</v>
      </c>
      <c r="I360" t="s">
        <v>115</v>
      </c>
      <c r="J360" t="s">
        <v>125</v>
      </c>
      <c r="K360" t="s">
        <v>126</v>
      </c>
      <c r="L360" t="s">
        <v>131</v>
      </c>
      <c r="M360" s="24">
        <v>2</v>
      </c>
      <c r="N360" s="25">
        <v>97948.84</v>
      </c>
      <c r="O360" s="25">
        <f t="shared" si="44"/>
        <v>195897.68</v>
      </c>
      <c r="P360" s="25">
        <v>66376.39</v>
      </c>
      <c r="Q360" s="25">
        <f t="shared" si="45"/>
        <v>132752.78</v>
      </c>
      <c r="R360" s="25">
        <f t="shared" si="46"/>
        <v>63144.899999999994</v>
      </c>
      <c r="S360" s="26">
        <f t="shared" si="47"/>
        <v>0.32233612975916814</v>
      </c>
    </row>
    <row r="361" spans="1:19" ht="15" x14ac:dyDescent="0.2">
      <c r="A361" s="23">
        <v>45748</v>
      </c>
      <c r="B361">
        <f t="shared" si="40"/>
        <v>2025</v>
      </c>
      <c r="C361">
        <f t="shared" si="41"/>
        <v>4</v>
      </c>
      <c r="D361" t="str">
        <f t="shared" si="42"/>
        <v>Abril</v>
      </c>
      <c r="E361" t="str">
        <f t="shared" si="43"/>
        <v>T2</v>
      </c>
      <c r="F361" t="s">
        <v>484</v>
      </c>
      <c r="G361" t="s">
        <v>144</v>
      </c>
      <c r="H361" t="s">
        <v>88</v>
      </c>
      <c r="I361" t="s">
        <v>145</v>
      </c>
      <c r="J361" t="s">
        <v>57</v>
      </c>
      <c r="K361" t="s">
        <v>81</v>
      </c>
      <c r="L361" t="s">
        <v>82</v>
      </c>
      <c r="M361" s="24">
        <v>17</v>
      </c>
      <c r="N361" s="25">
        <v>12655.76</v>
      </c>
      <c r="O361" s="25">
        <f t="shared" si="44"/>
        <v>215147.92</v>
      </c>
      <c r="P361" s="25">
        <v>6955.66</v>
      </c>
      <c r="Q361" s="25">
        <f t="shared" si="45"/>
        <v>118246.22</v>
      </c>
      <c r="R361" s="25">
        <f t="shared" si="46"/>
        <v>96901.700000000012</v>
      </c>
      <c r="S361" s="26">
        <f t="shared" si="47"/>
        <v>0.45039570914745541</v>
      </c>
    </row>
    <row r="362" spans="1:19" ht="15" x14ac:dyDescent="0.2">
      <c r="A362" s="23">
        <v>45748</v>
      </c>
      <c r="B362">
        <f t="shared" si="40"/>
        <v>2025</v>
      </c>
      <c r="C362">
        <f t="shared" si="41"/>
        <v>4</v>
      </c>
      <c r="D362" t="str">
        <f t="shared" si="42"/>
        <v>Abril</v>
      </c>
      <c r="E362" t="str">
        <f t="shared" si="43"/>
        <v>T2</v>
      </c>
      <c r="F362" t="s">
        <v>485</v>
      </c>
      <c r="G362" t="s">
        <v>144</v>
      </c>
      <c r="H362" t="s">
        <v>88</v>
      </c>
      <c r="I362" t="s">
        <v>145</v>
      </c>
      <c r="J362" t="s">
        <v>70</v>
      </c>
      <c r="K362" t="s">
        <v>84</v>
      </c>
      <c r="L362" t="s">
        <v>85</v>
      </c>
      <c r="M362" s="24">
        <v>13</v>
      </c>
      <c r="N362" s="25">
        <v>11624.57</v>
      </c>
      <c r="O362" s="25">
        <f t="shared" si="44"/>
        <v>151119.41</v>
      </c>
      <c r="P362" s="25">
        <v>6764.82</v>
      </c>
      <c r="Q362" s="25">
        <f t="shared" si="45"/>
        <v>87942.66</v>
      </c>
      <c r="R362" s="25">
        <f t="shared" si="46"/>
        <v>63176.75</v>
      </c>
      <c r="S362" s="26">
        <f t="shared" si="47"/>
        <v>0.41805847442098931</v>
      </c>
    </row>
    <row r="363" spans="1:19" ht="15" x14ac:dyDescent="0.2">
      <c r="A363" s="23">
        <v>45749</v>
      </c>
      <c r="B363">
        <f t="shared" si="40"/>
        <v>2025</v>
      </c>
      <c r="C363">
        <f t="shared" si="41"/>
        <v>4</v>
      </c>
      <c r="D363" t="str">
        <f t="shared" si="42"/>
        <v>Abril</v>
      </c>
      <c r="E363" t="str">
        <f t="shared" si="43"/>
        <v>T2</v>
      </c>
      <c r="F363" t="s">
        <v>486</v>
      </c>
      <c r="G363" t="s">
        <v>183</v>
      </c>
      <c r="H363" t="s">
        <v>55</v>
      </c>
      <c r="I363" t="s">
        <v>184</v>
      </c>
      <c r="J363" t="s">
        <v>64</v>
      </c>
      <c r="K363" t="s">
        <v>65</v>
      </c>
      <c r="L363" t="s">
        <v>66</v>
      </c>
      <c r="M363" s="24">
        <v>5</v>
      </c>
      <c r="N363" s="25">
        <v>378050.05</v>
      </c>
      <c r="O363" s="25">
        <f t="shared" si="44"/>
        <v>1890250.25</v>
      </c>
      <c r="P363" s="25">
        <v>274357.44</v>
      </c>
      <c r="Q363" s="25">
        <f t="shared" si="45"/>
        <v>1371787.2</v>
      </c>
      <c r="R363" s="25">
        <f t="shared" si="46"/>
        <v>518463.05000000005</v>
      </c>
      <c r="S363" s="26">
        <f t="shared" si="47"/>
        <v>0.27428275700532245</v>
      </c>
    </row>
    <row r="364" spans="1:19" ht="15" x14ac:dyDescent="0.2">
      <c r="A364" s="23">
        <v>45749</v>
      </c>
      <c r="B364">
        <f t="shared" si="40"/>
        <v>2025</v>
      </c>
      <c r="C364">
        <f t="shared" si="41"/>
        <v>4</v>
      </c>
      <c r="D364" t="str">
        <f t="shared" si="42"/>
        <v>Abril</v>
      </c>
      <c r="E364" t="str">
        <f t="shared" si="43"/>
        <v>T2</v>
      </c>
      <c r="F364" t="s">
        <v>487</v>
      </c>
      <c r="G364" t="s">
        <v>87</v>
      </c>
      <c r="H364" t="s">
        <v>88</v>
      </c>
      <c r="I364" t="s">
        <v>89</v>
      </c>
      <c r="J364" t="s">
        <v>70</v>
      </c>
      <c r="K364" t="s">
        <v>71</v>
      </c>
      <c r="L364" t="s">
        <v>90</v>
      </c>
      <c r="M364" s="24">
        <v>3</v>
      </c>
      <c r="N364" s="25">
        <v>62469.36</v>
      </c>
      <c r="O364" s="25">
        <f t="shared" si="44"/>
        <v>187408.08000000002</v>
      </c>
      <c r="P364" s="25">
        <v>37633.43</v>
      </c>
      <c r="Q364" s="25">
        <f t="shared" si="45"/>
        <v>112900.29000000001</v>
      </c>
      <c r="R364" s="25">
        <f t="shared" si="46"/>
        <v>74507.790000000008</v>
      </c>
      <c r="S364" s="26">
        <f t="shared" si="47"/>
        <v>0.39756978461120779</v>
      </c>
    </row>
    <row r="365" spans="1:19" ht="15" x14ac:dyDescent="0.2">
      <c r="A365" s="23">
        <v>45750</v>
      </c>
      <c r="B365">
        <f t="shared" si="40"/>
        <v>2025</v>
      </c>
      <c r="C365">
        <f t="shared" si="41"/>
        <v>4</v>
      </c>
      <c r="D365" t="str">
        <f t="shared" si="42"/>
        <v>Abril</v>
      </c>
      <c r="E365" t="str">
        <f t="shared" si="43"/>
        <v>T2</v>
      </c>
      <c r="F365" t="s">
        <v>488</v>
      </c>
      <c r="G365" t="s">
        <v>68</v>
      </c>
      <c r="H365" t="s">
        <v>62</v>
      </c>
      <c r="I365" t="s">
        <v>69</v>
      </c>
      <c r="J365" t="s">
        <v>64</v>
      </c>
      <c r="K365" t="s">
        <v>65</v>
      </c>
      <c r="L365" t="s">
        <v>66</v>
      </c>
      <c r="M365" s="24">
        <v>498</v>
      </c>
      <c r="N365" s="25">
        <v>3119.76</v>
      </c>
      <c r="O365" s="25">
        <f t="shared" si="44"/>
        <v>1553640.4800000002</v>
      </c>
      <c r="P365" s="25">
        <v>2597.5500000000002</v>
      </c>
      <c r="Q365" s="25">
        <f t="shared" si="45"/>
        <v>1293579.9000000001</v>
      </c>
      <c r="R365" s="25">
        <f t="shared" si="46"/>
        <v>260060.58000000007</v>
      </c>
      <c r="S365" s="26">
        <f t="shared" si="47"/>
        <v>0.16738787599046082</v>
      </c>
    </row>
    <row r="366" spans="1:19" ht="15" x14ac:dyDescent="0.2">
      <c r="A366" s="23">
        <v>45750</v>
      </c>
      <c r="B366">
        <f t="shared" si="40"/>
        <v>2025</v>
      </c>
      <c r="C366">
        <f t="shared" si="41"/>
        <v>4</v>
      </c>
      <c r="D366" t="str">
        <f t="shared" si="42"/>
        <v>Abril</v>
      </c>
      <c r="E366" t="str">
        <f t="shared" si="43"/>
        <v>T2</v>
      </c>
      <c r="F366" t="s">
        <v>489</v>
      </c>
      <c r="G366" t="s">
        <v>87</v>
      </c>
      <c r="H366" t="s">
        <v>88</v>
      </c>
      <c r="I366" t="s">
        <v>89</v>
      </c>
      <c r="J366" t="s">
        <v>57</v>
      </c>
      <c r="K366" t="s">
        <v>81</v>
      </c>
      <c r="L366" t="s">
        <v>129</v>
      </c>
      <c r="M366" s="24">
        <v>10</v>
      </c>
      <c r="N366" s="25">
        <v>57083.09</v>
      </c>
      <c r="O366" s="25">
        <f t="shared" si="44"/>
        <v>570830.89999999991</v>
      </c>
      <c r="P366" s="25">
        <v>31586.71</v>
      </c>
      <c r="Q366" s="25">
        <f t="shared" si="45"/>
        <v>315867.09999999998</v>
      </c>
      <c r="R366" s="25">
        <f t="shared" si="46"/>
        <v>254963.79999999993</v>
      </c>
      <c r="S366" s="26">
        <f t="shared" si="47"/>
        <v>0.44665381639291069</v>
      </c>
    </row>
    <row r="367" spans="1:19" ht="15" x14ac:dyDescent="0.2">
      <c r="A367" s="23">
        <v>45750</v>
      </c>
      <c r="B367">
        <f t="shared" si="40"/>
        <v>2025</v>
      </c>
      <c r="C367">
        <f t="shared" si="41"/>
        <v>4</v>
      </c>
      <c r="D367" t="str">
        <f t="shared" si="42"/>
        <v>Abril</v>
      </c>
      <c r="E367" t="str">
        <f t="shared" si="43"/>
        <v>T2</v>
      </c>
      <c r="F367" t="s">
        <v>490</v>
      </c>
      <c r="G367" t="s">
        <v>92</v>
      </c>
      <c r="H367" t="s">
        <v>93</v>
      </c>
      <c r="I367" t="s">
        <v>94</v>
      </c>
      <c r="J367" t="s">
        <v>77</v>
      </c>
      <c r="K367" t="s">
        <v>107</v>
      </c>
      <c r="L367" t="s">
        <v>112</v>
      </c>
      <c r="M367" s="24">
        <v>12</v>
      </c>
      <c r="N367" s="25">
        <v>21815.01</v>
      </c>
      <c r="O367" s="25">
        <f t="shared" si="44"/>
        <v>261780.12</v>
      </c>
      <c r="P367" s="25">
        <v>12118.53</v>
      </c>
      <c r="Q367" s="25">
        <f t="shared" si="45"/>
        <v>145422.36000000002</v>
      </c>
      <c r="R367" s="25">
        <f t="shared" si="46"/>
        <v>116357.75999999998</v>
      </c>
      <c r="S367" s="26">
        <f t="shared" si="47"/>
        <v>0.44448661724198146</v>
      </c>
    </row>
    <row r="368" spans="1:19" ht="15" x14ac:dyDescent="0.2">
      <c r="A368" s="23">
        <v>45750</v>
      </c>
      <c r="B368">
        <f t="shared" si="40"/>
        <v>2025</v>
      </c>
      <c r="C368">
        <f t="shared" si="41"/>
        <v>4</v>
      </c>
      <c r="D368" t="str">
        <f t="shared" si="42"/>
        <v>Abril</v>
      </c>
      <c r="E368" t="str">
        <f t="shared" si="43"/>
        <v>T2</v>
      </c>
      <c r="F368" t="s">
        <v>491</v>
      </c>
      <c r="G368" t="s">
        <v>92</v>
      </c>
      <c r="H368" t="s">
        <v>93</v>
      </c>
      <c r="I368" t="s">
        <v>94</v>
      </c>
      <c r="J368" t="s">
        <v>125</v>
      </c>
      <c r="K368" t="s">
        <v>138</v>
      </c>
      <c r="L368" t="s">
        <v>142</v>
      </c>
      <c r="M368" s="24">
        <v>8</v>
      </c>
      <c r="N368" s="25">
        <v>19457.66</v>
      </c>
      <c r="O368" s="25">
        <f t="shared" si="44"/>
        <v>155661.28</v>
      </c>
      <c r="P368" s="25">
        <v>11486.45</v>
      </c>
      <c r="Q368" s="25">
        <f t="shared" si="45"/>
        <v>91891.6</v>
      </c>
      <c r="R368" s="25">
        <f t="shared" si="46"/>
        <v>63769.679999999993</v>
      </c>
      <c r="S368" s="26">
        <f t="shared" si="47"/>
        <v>0.40966950804978602</v>
      </c>
    </row>
    <row r="369" spans="1:19" ht="15" x14ac:dyDescent="0.2">
      <c r="A369" s="23">
        <v>45751</v>
      </c>
      <c r="B369">
        <f t="shared" si="40"/>
        <v>2025</v>
      </c>
      <c r="C369">
        <f t="shared" si="41"/>
        <v>4</v>
      </c>
      <c r="D369" t="str">
        <f t="shared" si="42"/>
        <v>Abril</v>
      </c>
      <c r="E369" t="str">
        <f t="shared" si="43"/>
        <v>T2</v>
      </c>
      <c r="F369" t="s">
        <v>492</v>
      </c>
      <c r="G369" t="s">
        <v>54</v>
      </c>
      <c r="H369" t="s">
        <v>55</v>
      </c>
      <c r="I369" t="s">
        <v>56</v>
      </c>
      <c r="J369" t="s">
        <v>57</v>
      </c>
      <c r="K369" t="s">
        <v>81</v>
      </c>
      <c r="L369" t="s">
        <v>82</v>
      </c>
      <c r="M369" s="24">
        <v>12</v>
      </c>
      <c r="N369" s="25">
        <v>60837.69</v>
      </c>
      <c r="O369" s="25">
        <f t="shared" si="44"/>
        <v>730052.28</v>
      </c>
      <c r="P369" s="25">
        <v>43377.58</v>
      </c>
      <c r="Q369" s="25">
        <f t="shared" si="45"/>
        <v>520530.96</v>
      </c>
      <c r="R369" s="25">
        <f t="shared" si="46"/>
        <v>209521.32</v>
      </c>
      <c r="S369" s="26">
        <f t="shared" si="47"/>
        <v>0.28699495329293401</v>
      </c>
    </row>
    <row r="370" spans="1:19" ht="15" x14ac:dyDescent="0.2">
      <c r="A370" s="23">
        <v>45751</v>
      </c>
      <c r="B370">
        <f t="shared" si="40"/>
        <v>2025</v>
      </c>
      <c r="C370">
        <f t="shared" si="41"/>
        <v>4</v>
      </c>
      <c r="D370" t="str">
        <f t="shared" si="42"/>
        <v>Abril</v>
      </c>
      <c r="E370" t="str">
        <f t="shared" si="43"/>
        <v>T2</v>
      </c>
      <c r="F370" t="s">
        <v>493</v>
      </c>
      <c r="G370" t="s">
        <v>54</v>
      </c>
      <c r="H370" t="s">
        <v>55</v>
      </c>
      <c r="I370" t="s">
        <v>56</v>
      </c>
      <c r="J370" t="s">
        <v>125</v>
      </c>
      <c r="K370" t="s">
        <v>126</v>
      </c>
      <c r="L370" t="s">
        <v>131</v>
      </c>
      <c r="M370" s="24">
        <v>7</v>
      </c>
      <c r="N370" s="25">
        <v>56779.360000000001</v>
      </c>
      <c r="O370" s="25">
        <f t="shared" si="44"/>
        <v>397455.52</v>
      </c>
      <c r="P370" s="25">
        <v>40547.980000000003</v>
      </c>
      <c r="Q370" s="25">
        <f t="shared" si="45"/>
        <v>283835.86000000004</v>
      </c>
      <c r="R370" s="25">
        <f t="shared" si="46"/>
        <v>113619.65999999997</v>
      </c>
      <c r="S370" s="26">
        <f t="shared" si="47"/>
        <v>0.28586761104739461</v>
      </c>
    </row>
    <row r="371" spans="1:19" ht="15" x14ac:dyDescent="0.2">
      <c r="A371" s="23">
        <v>45751</v>
      </c>
      <c r="B371">
        <f t="shared" si="40"/>
        <v>2025</v>
      </c>
      <c r="C371">
        <f t="shared" si="41"/>
        <v>4</v>
      </c>
      <c r="D371" t="str">
        <f t="shared" si="42"/>
        <v>Abril</v>
      </c>
      <c r="E371" t="str">
        <f t="shared" si="43"/>
        <v>T2</v>
      </c>
      <c r="F371" t="s">
        <v>494</v>
      </c>
      <c r="G371" t="s">
        <v>54</v>
      </c>
      <c r="H371" t="s">
        <v>55</v>
      </c>
      <c r="I371" t="s">
        <v>56</v>
      </c>
      <c r="J371" t="s">
        <v>70</v>
      </c>
      <c r="K371" t="s">
        <v>71</v>
      </c>
      <c r="L371" t="s">
        <v>90</v>
      </c>
      <c r="M371" s="24">
        <v>6</v>
      </c>
      <c r="N371" s="25">
        <v>58145.57</v>
      </c>
      <c r="O371" s="25">
        <f t="shared" si="44"/>
        <v>348873.42</v>
      </c>
      <c r="P371" s="25">
        <v>44264.86</v>
      </c>
      <c r="Q371" s="25">
        <f t="shared" si="45"/>
        <v>265589.16000000003</v>
      </c>
      <c r="R371" s="25">
        <f t="shared" si="46"/>
        <v>83284.259999999951</v>
      </c>
      <c r="S371" s="26">
        <f t="shared" si="47"/>
        <v>0.23872343155291095</v>
      </c>
    </row>
    <row r="372" spans="1:19" ht="15" x14ac:dyDescent="0.2">
      <c r="A372" s="23">
        <v>45751</v>
      </c>
      <c r="B372">
        <f t="shared" si="40"/>
        <v>2025</v>
      </c>
      <c r="C372">
        <f t="shared" si="41"/>
        <v>4</v>
      </c>
      <c r="D372" t="str">
        <f t="shared" si="42"/>
        <v>Abril</v>
      </c>
      <c r="E372" t="str">
        <f t="shared" si="43"/>
        <v>T2</v>
      </c>
      <c r="F372" t="s">
        <v>495</v>
      </c>
      <c r="G372" t="s">
        <v>92</v>
      </c>
      <c r="H372" t="s">
        <v>93</v>
      </c>
      <c r="I372" t="s">
        <v>94</v>
      </c>
      <c r="J372" t="s">
        <v>77</v>
      </c>
      <c r="K372" t="s">
        <v>107</v>
      </c>
      <c r="L372" t="s">
        <v>108</v>
      </c>
      <c r="M372" s="24">
        <v>1</v>
      </c>
      <c r="N372" s="25">
        <v>9378.9699999999993</v>
      </c>
      <c r="O372" s="25">
        <f t="shared" si="44"/>
        <v>9378.9699999999993</v>
      </c>
      <c r="P372" s="25">
        <v>5214.08</v>
      </c>
      <c r="Q372" s="25">
        <f t="shared" si="45"/>
        <v>5214.08</v>
      </c>
      <c r="R372" s="25">
        <f t="shared" si="46"/>
        <v>4164.8899999999994</v>
      </c>
      <c r="S372" s="26">
        <f t="shared" si="47"/>
        <v>0.44406688580942255</v>
      </c>
    </row>
    <row r="373" spans="1:19" ht="15" x14ac:dyDescent="0.2">
      <c r="A373" s="23">
        <v>45752</v>
      </c>
      <c r="B373">
        <f t="shared" si="40"/>
        <v>2025</v>
      </c>
      <c r="C373">
        <f t="shared" si="41"/>
        <v>4</v>
      </c>
      <c r="D373" t="str">
        <f t="shared" si="42"/>
        <v>Abril</v>
      </c>
      <c r="E373" t="str">
        <f t="shared" si="43"/>
        <v>T2</v>
      </c>
      <c r="F373" t="s">
        <v>496</v>
      </c>
      <c r="G373" t="s">
        <v>114</v>
      </c>
      <c r="H373" t="s">
        <v>75</v>
      </c>
      <c r="I373" t="s">
        <v>115</v>
      </c>
      <c r="J373" t="s">
        <v>70</v>
      </c>
      <c r="K373" t="s">
        <v>84</v>
      </c>
      <c r="L373" t="s">
        <v>147</v>
      </c>
      <c r="M373" s="24">
        <v>2</v>
      </c>
      <c r="N373" s="25">
        <v>92348.89</v>
      </c>
      <c r="O373" s="25">
        <f t="shared" si="44"/>
        <v>184697.78</v>
      </c>
      <c r="P373" s="25">
        <v>65908.210000000006</v>
      </c>
      <c r="Q373" s="25">
        <f t="shared" si="45"/>
        <v>131816.42000000001</v>
      </c>
      <c r="R373" s="25">
        <f t="shared" si="46"/>
        <v>52881.359999999986</v>
      </c>
      <c r="S373" s="26">
        <f t="shared" si="47"/>
        <v>0.28631291615957694</v>
      </c>
    </row>
    <row r="374" spans="1:19" ht="15" x14ac:dyDescent="0.2">
      <c r="A374" s="23">
        <v>45752</v>
      </c>
      <c r="B374">
        <f t="shared" si="40"/>
        <v>2025</v>
      </c>
      <c r="C374">
        <f t="shared" si="41"/>
        <v>4</v>
      </c>
      <c r="D374" t="str">
        <f t="shared" si="42"/>
        <v>Abril</v>
      </c>
      <c r="E374" t="str">
        <f t="shared" si="43"/>
        <v>T2</v>
      </c>
      <c r="F374" t="s">
        <v>497</v>
      </c>
      <c r="G374" t="s">
        <v>100</v>
      </c>
      <c r="H374" t="s">
        <v>88</v>
      </c>
      <c r="I374" t="s">
        <v>101</v>
      </c>
      <c r="J374" t="s">
        <v>57</v>
      </c>
      <c r="K374" t="s">
        <v>58</v>
      </c>
      <c r="L374" t="s">
        <v>59</v>
      </c>
      <c r="M374" s="24">
        <v>8</v>
      </c>
      <c r="N374" s="25">
        <v>37536.660000000003</v>
      </c>
      <c r="O374" s="25">
        <f t="shared" si="44"/>
        <v>300293.28000000003</v>
      </c>
      <c r="P374" s="25">
        <v>21374.04</v>
      </c>
      <c r="Q374" s="25">
        <f t="shared" si="45"/>
        <v>170992.32</v>
      </c>
      <c r="R374" s="25">
        <f t="shared" si="46"/>
        <v>129300.96000000002</v>
      </c>
      <c r="S374" s="26">
        <f t="shared" si="47"/>
        <v>0.43058226277990641</v>
      </c>
    </row>
    <row r="375" spans="1:19" ht="15" x14ac:dyDescent="0.2">
      <c r="A375" s="23">
        <v>45752</v>
      </c>
      <c r="B375">
        <f t="shared" si="40"/>
        <v>2025</v>
      </c>
      <c r="C375">
        <f t="shared" si="41"/>
        <v>4</v>
      </c>
      <c r="D375" t="str">
        <f t="shared" si="42"/>
        <v>Abril</v>
      </c>
      <c r="E375" t="str">
        <f t="shared" si="43"/>
        <v>T2</v>
      </c>
      <c r="F375" t="s">
        <v>498</v>
      </c>
      <c r="G375" t="s">
        <v>144</v>
      </c>
      <c r="H375" t="s">
        <v>88</v>
      </c>
      <c r="I375" t="s">
        <v>145</v>
      </c>
      <c r="J375" t="s">
        <v>125</v>
      </c>
      <c r="K375" t="s">
        <v>138</v>
      </c>
      <c r="L375" t="s">
        <v>142</v>
      </c>
      <c r="M375" s="24">
        <v>36</v>
      </c>
      <c r="N375" s="25">
        <v>13038.51</v>
      </c>
      <c r="O375" s="25">
        <f t="shared" si="44"/>
        <v>469386.36</v>
      </c>
      <c r="P375" s="25">
        <v>6938.3</v>
      </c>
      <c r="Q375" s="25">
        <f t="shared" si="45"/>
        <v>249778.80000000002</v>
      </c>
      <c r="R375" s="25">
        <f t="shared" si="46"/>
        <v>219607.55999999997</v>
      </c>
      <c r="S375" s="26">
        <f t="shared" si="47"/>
        <v>0.46786097491201062</v>
      </c>
    </row>
    <row r="376" spans="1:19" ht="15" x14ac:dyDescent="0.2">
      <c r="A376" s="23">
        <v>45753</v>
      </c>
      <c r="B376">
        <f t="shared" si="40"/>
        <v>2025</v>
      </c>
      <c r="C376">
        <f t="shared" si="41"/>
        <v>4</v>
      </c>
      <c r="D376" t="str">
        <f t="shared" si="42"/>
        <v>Abril</v>
      </c>
      <c r="E376" t="str">
        <f t="shared" si="43"/>
        <v>T2</v>
      </c>
      <c r="F376" t="s">
        <v>499</v>
      </c>
      <c r="G376" t="s">
        <v>54</v>
      </c>
      <c r="H376" t="s">
        <v>55</v>
      </c>
      <c r="I376" t="s">
        <v>56</v>
      </c>
      <c r="J376" t="s">
        <v>64</v>
      </c>
      <c r="K376" t="s">
        <v>65</v>
      </c>
      <c r="L376" t="s">
        <v>66</v>
      </c>
      <c r="M376" s="24">
        <v>1</v>
      </c>
      <c r="N376" s="25">
        <v>28710.27</v>
      </c>
      <c r="O376" s="25">
        <f t="shared" si="44"/>
        <v>28710.27</v>
      </c>
      <c r="P376" s="25">
        <v>20929.63</v>
      </c>
      <c r="Q376" s="25">
        <f t="shared" si="45"/>
        <v>20929.63</v>
      </c>
      <c r="R376" s="25">
        <f t="shared" si="46"/>
        <v>7780.6399999999994</v>
      </c>
      <c r="S376" s="26">
        <f t="shared" si="47"/>
        <v>0.27100546250522894</v>
      </c>
    </row>
    <row r="377" spans="1:19" ht="15" x14ac:dyDescent="0.2">
      <c r="A377" s="23">
        <v>45753</v>
      </c>
      <c r="B377">
        <f t="shared" si="40"/>
        <v>2025</v>
      </c>
      <c r="C377">
        <f t="shared" si="41"/>
        <v>4</v>
      </c>
      <c r="D377" t="str">
        <f t="shared" si="42"/>
        <v>Abril</v>
      </c>
      <c r="E377" t="str">
        <f t="shared" si="43"/>
        <v>T2</v>
      </c>
      <c r="F377" t="s">
        <v>500</v>
      </c>
      <c r="G377" t="s">
        <v>105</v>
      </c>
      <c r="H377" t="s">
        <v>62</v>
      </c>
      <c r="I377" t="s">
        <v>106</v>
      </c>
      <c r="J377" t="s">
        <v>77</v>
      </c>
      <c r="K377" t="s">
        <v>107</v>
      </c>
      <c r="L377" t="s">
        <v>108</v>
      </c>
      <c r="M377" s="24">
        <v>351</v>
      </c>
      <c r="N377" s="25">
        <v>1914.25</v>
      </c>
      <c r="O377" s="25">
        <f t="shared" si="44"/>
        <v>671901.75</v>
      </c>
      <c r="P377" s="25">
        <v>1500.92</v>
      </c>
      <c r="Q377" s="25">
        <f t="shared" si="45"/>
        <v>526822.92000000004</v>
      </c>
      <c r="R377" s="25">
        <f t="shared" si="46"/>
        <v>145078.82999999996</v>
      </c>
      <c r="S377" s="26">
        <f t="shared" si="47"/>
        <v>0.2159226851247224</v>
      </c>
    </row>
    <row r="378" spans="1:19" ht="15" x14ac:dyDescent="0.2">
      <c r="A378" s="23">
        <v>45753</v>
      </c>
      <c r="B378">
        <f t="shared" si="40"/>
        <v>2025</v>
      </c>
      <c r="C378">
        <f t="shared" si="41"/>
        <v>4</v>
      </c>
      <c r="D378" t="str">
        <f t="shared" si="42"/>
        <v>Abril</v>
      </c>
      <c r="E378" t="str">
        <f t="shared" si="43"/>
        <v>T2</v>
      </c>
      <c r="F378" t="s">
        <v>501</v>
      </c>
      <c r="G378" t="s">
        <v>105</v>
      </c>
      <c r="H378" t="s">
        <v>62</v>
      </c>
      <c r="I378" t="s">
        <v>106</v>
      </c>
      <c r="J378" t="s">
        <v>57</v>
      </c>
      <c r="K378" t="s">
        <v>58</v>
      </c>
      <c r="L378" t="s">
        <v>59</v>
      </c>
      <c r="M378" s="24">
        <v>193</v>
      </c>
      <c r="N378" s="25">
        <v>1822.32</v>
      </c>
      <c r="O378" s="25">
        <f t="shared" si="44"/>
        <v>351707.76</v>
      </c>
      <c r="P378" s="25">
        <v>1499.86</v>
      </c>
      <c r="Q378" s="25">
        <f t="shared" si="45"/>
        <v>289472.98</v>
      </c>
      <c r="R378" s="25">
        <f t="shared" si="46"/>
        <v>62234.780000000028</v>
      </c>
      <c r="S378" s="26">
        <f t="shared" si="47"/>
        <v>0.17695026120549637</v>
      </c>
    </row>
    <row r="379" spans="1:19" ht="15" x14ac:dyDescent="0.2">
      <c r="A379" s="23">
        <v>45753</v>
      </c>
      <c r="B379">
        <f t="shared" si="40"/>
        <v>2025</v>
      </c>
      <c r="C379">
        <f t="shared" si="41"/>
        <v>4</v>
      </c>
      <c r="D379" t="str">
        <f t="shared" si="42"/>
        <v>Abril</v>
      </c>
      <c r="E379" t="str">
        <f t="shared" si="43"/>
        <v>T2</v>
      </c>
      <c r="F379" t="s">
        <v>502</v>
      </c>
      <c r="G379" t="s">
        <v>188</v>
      </c>
      <c r="H379" t="s">
        <v>88</v>
      </c>
      <c r="I379" t="s">
        <v>189</v>
      </c>
      <c r="J379" t="s">
        <v>77</v>
      </c>
      <c r="K379" t="s">
        <v>78</v>
      </c>
      <c r="L379" t="s">
        <v>117</v>
      </c>
      <c r="M379" s="24">
        <v>3</v>
      </c>
      <c r="N379" s="25">
        <v>77712.62</v>
      </c>
      <c r="O379" s="25">
        <f t="shared" si="44"/>
        <v>233137.86</v>
      </c>
      <c r="P379" s="25">
        <v>42353.94</v>
      </c>
      <c r="Q379" s="25">
        <f t="shared" si="45"/>
        <v>127061.82</v>
      </c>
      <c r="R379" s="25">
        <f t="shared" si="46"/>
        <v>106076.03999999998</v>
      </c>
      <c r="S379" s="26">
        <f t="shared" si="47"/>
        <v>0.45499276694055607</v>
      </c>
    </row>
    <row r="380" spans="1:19" ht="15" x14ac:dyDescent="0.2">
      <c r="A380" s="23">
        <v>45753</v>
      </c>
      <c r="B380">
        <f t="shared" si="40"/>
        <v>2025</v>
      </c>
      <c r="C380">
        <f t="shared" si="41"/>
        <v>4</v>
      </c>
      <c r="D380" t="str">
        <f t="shared" si="42"/>
        <v>Abril</v>
      </c>
      <c r="E380" t="str">
        <f t="shared" si="43"/>
        <v>T2</v>
      </c>
      <c r="F380" t="s">
        <v>503</v>
      </c>
      <c r="G380" t="s">
        <v>206</v>
      </c>
      <c r="H380" t="s">
        <v>93</v>
      </c>
      <c r="I380" t="s">
        <v>207</v>
      </c>
      <c r="J380" t="s">
        <v>64</v>
      </c>
      <c r="K380" t="s">
        <v>96</v>
      </c>
      <c r="L380" t="s">
        <v>97</v>
      </c>
      <c r="M380" s="24">
        <v>3</v>
      </c>
      <c r="N380" s="25">
        <v>119174.52</v>
      </c>
      <c r="O380" s="25">
        <f t="shared" si="44"/>
        <v>357523.56</v>
      </c>
      <c r="P380" s="25">
        <v>73404.98</v>
      </c>
      <c r="Q380" s="25">
        <f t="shared" si="45"/>
        <v>220214.94</v>
      </c>
      <c r="R380" s="25">
        <f t="shared" si="46"/>
        <v>137308.62</v>
      </c>
      <c r="S380" s="26">
        <f t="shared" si="47"/>
        <v>0.38405474593058986</v>
      </c>
    </row>
    <row r="381" spans="1:19" ht="15" x14ac:dyDescent="0.2">
      <c r="A381" s="23">
        <v>45754</v>
      </c>
      <c r="B381">
        <f t="shared" si="40"/>
        <v>2025</v>
      </c>
      <c r="C381">
        <f t="shared" si="41"/>
        <v>4</v>
      </c>
      <c r="D381" t="str">
        <f t="shared" si="42"/>
        <v>Abril</v>
      </c>
      <c r="E381" t="str">
        <f t="shared" si="43"/>
        <v>T2</v>
      </c>
      <c r="F381" t="s">
        <v>504</v>
      </c>
      <c r="G381" t="s">
        <v>54</v>
      </c>
      <c r="H381" t="s">
        <v>55</v>
      </c>
      <c r="I381" t="s">
        <v>56</v>
      </c>
      <c r="J381" t="s">
        <v>125</v>
      </c>
      <c r="K381" t="s">
        <v>138</v>
      </c>
      <c r="L381" t="s">
        <v>139</v>
      </c>
      <c r="M381" s="24">
        <v>4</v>
      </c>
      <c r="N381" s="25">
        <v>64927.09</v>
      </c>
      <c r="O381" s="25">
        <f t="shared" si="44"/>
        <v>259708.36</v>
      </c>
      <c r="P381" s="25">
        <v>45048.46</v>
      </c>
      <c r="Q381" s="25">
        <f t="shared" si="45"/>
        <v>180193.84</v>
      </c>
      <c r="R381" s="25">
        <f t="shared" si="46"/>
        <v>79514.51999999999</v>
      </c>
      <c r="S381" s="26">
        <f t="shared" si="47"/>
        <v>0.30616850377862304</v>
      </c>
    </row>
    <row r="382" spans="1:19" ht="15" x14ac:dyDescent="0.2">
      <c r="A382" s="23">
        <v>45754</v>
      </c>
      <c r="B382">
        <f t="shared" si="40"/>
        <v>2025</v>
      </c>
      <c r="C382">
        <f t="shared" si="41"/>
        <v>4</v>
      </c>
      <c r="D382" t="str">
        <f t="shared" si="42"/>
        <v>Abril</v>
      </c>
      <c r="E382" t="str">
        <f t="shared" si="43"/>
        <v>T2</v>
      </c>
      <c r="F382" t="s">
        <v>505</v>
      </c>
      <c r="G382" t="s">
        <v>61</v>
      </c>
      <c r="H382" t="s">
        <v>62</v>
      </c>
      <c r="I382" t="s">
        <v>63</v>
      </c>
      <c r="J382" t="s">
        <v>77</v>
      </c>
      <c r="K382" t="s">
        <v>78</v>
      </c>
      <c r="L382" t="s">
        <v>79</v>
      </c>
      <c r="M382" s="24">
        <v>119</v>
      </c>
      <c r="N382" s="25">
        <v>5951.47</v>
      </c>
      <c r="O382" s="25">
        <f t="shared" si="44"/>
        <v>708224.93</v>
      </c>
      <c r="P382" s="25">
        <v>4791.8599999999997</v>
      </c>
      <c r="Q382" s="25">
        <f t="shared" si="45"/>
        <v>570231.34</v>
      </c>
      <c r="R382" s="25">
        <f t="shared" si="46"/>
        <v>137993.59000000008</v>
      </c>
      <c r="S382" s="26">
        <f t="shared" si="47"/>
        <v>0.1948442989715147</v>
      </c>
    </row>
    <row r="383" spans="1:19" ht="15" x14ac:dyDescent="0.2">
      <c r="A383" s="23">
        <v>45754</v>
      </c>
      <c r="B383">
        <f t="shared" si="40"/>
        <v>2025</v>
      </c>
      <c r="C383">
        <f t="shared" si="41"/>
        <v>4</v>
      </c>
      <c r="D383" t="str">
        <f t="shared" si="42"/>
        <v>Abril</v>
      </c>
      <c r="E383" t="str">
        <f t="shared" si="43"/>
        <v>T2</v>
      </c>
      <c r="F383" t="s">
        <v>506</v>
      </c>
      <c r="G383" t="s">
        <v>110</v>
      </c>
      <c r="H383" t="s">
        <v>62</v>
      </c>
      <c r="I383" t="s">
        <v>69</v>
      </c>
      <c r="J383" t="s">
        <v>57</v>
      </c>
      <c r="K383" t="s">
        <v>81</v>
      </c>
      <c r="L383" t="s">
        <v>82</v>
      </c>
      <c r="M383" s="24">
        <v>12</v>
      </c>
      <c r="N383" s="25">
        <v>6839.09</v>
      </c>
      <c r="O383" s="25">
        <f t="shared" si="44"/>
        <v>82069.08</v>
      </c>
      <c r="P383" s="25">
        <v>5591.1</v>
      </c>
      <c r="Q383" s="25">
        <f t="shared" si="45"/>
        <v>67093.200000000012</v>
      </c>
      <c r="R383" s="25">
        <f t="shared" si="46"/>
        <v>14975.87999999999</v>
      </c>
      <c r="S383" s="26">
        <f t="shared" si="47"/>
        <v>0.1824789555335577</v>
      </c>
    </row>
    <row r="384" spans="1:19" ht="15" x14ac:dyDescent="0.2">
      <c r="A384" s="23">
        <v>45754</v>
      </c>
      <c r="B384">
        <f t="shared" si="40"/>
        <v>2025</v>
      </c>
      <c r="C384">
        <f t="shared" si="41"/>
        <v>4</v>
      </c>
      <c r="D384" t="str">
        <f t="shared" si="42"/>
        <v>Abril</v>
      </c>
      <c r="E384" t="str">
        <f t="shared" si="43"/>
        <v>T2</v>
      </c>
      <c r="F384" t="s">
        <v>507</v>
      </c>
      <c r="G384" t="s">
        <v>105</v>
      </c>
      <c r="H384" t="s">
        <v>62</v>
      </c>
      <c r="I384" t="s">
        <v>106</v>
      </c>
      <c r="J384" t="s">
        <v>70</v>
      </c>
      <c r="K384" t="s">
        <v>84</v>
      </c>
      <c r="L384" t="s">
        <v>85</v>
      </c>
      <c r="M384" s="24">
        <v>152</v>
      </c>
      <c r="N384" s="25">
        <v>1765.1</v>
      </c>
      <c r="O384" s="25">
        <f t="shared" si="44"/>
        <v>268295.2</v>
      </c>
      <c r="P384" s="25">
        <v>1503.55</v>
      </c>
      <c r="Q384" s="25">
        <f t="shared" si="45"/>
        <v>228539.6</v>
      </c>
      <c r="R384" s="25">
        <f t="shared" si="46"/>
        <v>39755.600000000006</v>
      </c>
      <c r="S384" s="26">
        <f t="shared" si="47"/>
        <v>0.14817857345192909</v>
      </c>
    </row>
    <row r="385" spans="1:19" ht="15" x14ac:dyDescent="0.2">
      <c r="A385" s="23">
        <v>45754</v>
      </c>
      <c r="B385">
        <f t="shared" si="40"/>
        <v>2025</v>
      </c>
      <c r="C385">
        <f t="shared" si="41"/>
        <v>4</v>
      </c>
      <c r="D385" t="str">
        <f t="shared" si="42"/>
        <v>Abril</v>
      </c>
      <c r="E385" t="str">
        <f t="shared" si="43"/>
        <v>T2</v>
      </c>
      <c r="F385" t="s">
        <v>508</v>
      </c>
      <c r="G385" t="s">
        <v>114</v>
      </c>
      <c r="H385" t="s">
        <v>75</v>
      </c>
      <c r="I385" t="s">
        <v>115</v>
      </c>
      <c r="J385" t="s">
        <v>77</v>
      </c>
      <c r="K385" t="s">
        <v>78</v>
      </c>
      <c r="L385" t="s">
        <v>117</v>
      </c>
      <c r="M385" s="24">
        <v>6</v>
      </c>
      <c r="N385" s="25">
        <v>99596.75</v>
      </c>
      <c r="O385" s="25">
        <f t="shared" si="44"/>
        <v>597580.5</v>
      </c>
      <c r="P385" s="25">
        <v>64554.42</v>
      </c>
      <c r="Q385" s="25">
        <f t="shared" si="45"/>
        <v>387326.52</v>
      </c>
      <c r="R385" s="25">
        <f t="shared" si="46"/>
        <v>210253.97999999998</v>
      </c>
      <c r="S385" s="26">
        <f t="shared" si="47"/>
        <v>0.35184210328148252</v>
      </c>
    </row>
    <row r="386" spans="1:19" ht="15" x14ac:dyDescent="0.2">
      <c r="A386" s="23">
        <v>45754</v>
      </c>
      <c r="B386">
        <f t="shared" ref="B386:B449" si="48">YEAR($A386)</f>
        <v>2025</v>
      </c>
      <c r="C386">
        <f t="shared" ref="C386:C449" si="49">MONTH($A386)</f>
        <v>4</v>
      </c>
      <c r="D386" t="str">
        <f t="shared" ref="D386:D449" si="50">INDEX(lst_Meses,MONTH($A386))</f>
        <v>Abril</v>
      </c>
      <c r="E386" t="str">
        <f t="shared" ref="E386:E449" si="51">"T"&amp;ROUNDUP(MONTH($A386)/3,0)</f>
        <v>T2</v>
      </c>
      <c r="F386" t="s">
        <v>509</v>
      </c>
      <c r="G386" t="s">
        <v>144</v>
      </c>
      <c r="H386" t="s">
        <v>88</v>
      </c>
      <c r="I386" t="s">
        <v>145</v>
      </c>
      <c r="J386" t="s">
        <v>57</v>
      </c>
      <c r="K386" t="s">
        <v>58</v>
      </c>
      <c r="L386" t="s">
        <v>59</v>
      </c>
      <c r="M386" s="24">
        <v>13</v>
      </c>
      <c r="N386" s="25">
        <v>12295.16</v>
      </c>
      <c r="O386" s="25">
        <f t="shared" ref="O386:O449" si="52">$M386*$N386</f>
        <v>159837.07999999999</v>
      </c>
      <c r="P386" s="25">
        <v>7054.03</v>
      </c>
      <c r="Q386" s="25">
        <f t="shared" ref="Q386:Q449" si="53">$M386*$P386</f>
        <v>91702.39</v>
      </c>
      <c r="R386" s="25">
        <f t="shared" ref="R386:R449" si="54">$O386-$Q386</f>
        <v>68134.689999999988</v>
      </c>
      <c r="S386" s="26">
        <f t="shared" ref="S386:S449" si="55">IFERROR($R386/$O386,0)</f>
        <v>0.42627586790249167</v>
      </c>
    </row>
    <row r="387" spans="1:19" ht="15" x14ac:dyDescent="0.2">
      <c r="A387" s="23">
        <v>45755</v>
      </c>
      <c r="B387">
        <f t="shared" si="48"/>
        <v>2025</v>
      </c>
      <c r="C387">
        <f t="shared" si="49"/>
        <v>4</v>
      </c>
      <c r="D387" t="str">
        <f t="shared" si="50"/>
        <v>Abril</v>
      </c>
      <c r="E387" t="str">
        <f t="shared" si="51"/>
        <v>T2</v>
      </c>
      <c r="F387" t="s">
        <v>510</v>
      </c>
      <c r="G387" t="s">
        <v>105</v>
      </c>
      <c r="H387" t="s">
        <v>62</v>
      </c>
      <c r="I387" t="s">
        <v>106</v>
      </c>
      <c r="J387" t="s">
        <v>64</v>
      </c>
      <c r="K387" t="s">
        <v>65</v>
      </c>
      <c r="L387" t="s">
        <v>66</v>
      </c>
      <c r="M387" s="24">
        <v>463</v>
      </c>
      <c r="N387" s="25">
        <v>1806.33</v>
      </c>
      <c r="O387" s="25">
        <f t="shared" si="52"/>
        <v>836330.78999999992</v>
      </c>
      <c r="P387" s="25">
        <v>1500.78</v>
      </c>
      <c r="Q387" s="25">
        <f t="shared" si="53"/>
        <v>694861.14</v>
      </c>
      <c r="R387" s="25">
        <f t="shared" si="54"/>
        <v>141469.64999999991</v>
      </c>
      <c r="S387" s="26">
        <f t="shared" si="55"/>
        <v>0.16915513776552449</v>
      </c>
    </row>
    <row r="388" spans="1:19" ht="15" x14ac:dyDescent="0.2">
      <c r="A388" s="23">
        <v>45755</v>
      </c>
      <c r="B388">
        <f t="shared" si="48"/>
        <v>2025</v>
      </c>
      <c r="C388">
        <f t="shared" si="49"/>
        <v>4</v>
      </c>
      <c r="D388" t="str">
        <f t="shared" si="50"/>
        <v>Abril</v>
      </c>
      <c r="E388" t="str">
        <f t="shared" si="51"/>
        <v>T2</v>
      </c>
      <c r="F388" t="s">
        <v>511</v>
      </c>
      <c r="G388" t="s">
        <v>74</v>
      </c>
      <c r="H388" t="s">
        <v>75</v>
      </c>
      <c r="I388" t="s">
        <v>76</v>
      </c>
      <c r="J388" t="s">
        <v>77</v>
      </c>
      <c r="K388" t="s">
        <v>78</v>
      </c>
      <c r="L388" t="s">
        <v>79</v>
      </c>
      <c r="M388" s="24">
        <v>6</v>
      </c>
      <c r="N388" s="25">
        <v>41250.06</v>
      </c>
      <c r="O388" s="25">
        <f t="shared" si="52"/>
        <v>247500.36</v>
      </c>
      <c r="P388" s="25">
        <v>27754.29</v>
      </c>
      <c r="Q388" s="25">
        <f t="shared" si="53"/>
        <v>166525.74</v>
      </c>
      <c r="R388" s="25">
        <f t="shared" si="54"/>
        <v>80974.62</v>
      </c>
      <c r="S388" s="26">
        <f t="shared" si="55"/>
        <v>0.32716970593497319</v>
      </c>
    </row>
    <row r="389" spans="1:19" ht="15" x14ac:dyDescent="0.2">
      <c r="A389" s="23">
        <v>45755</v>
      </c>
      <c r="B389">
        <f t="shared" si="48"/>
        <v>2025</v>
      </c>
      <c r="C389">
        <f t="shared" si="49"/>
        <v>4</v>
      </c>
      <c r="D389" t="str">
        <f t="shared" si="50"/>
        <v>Abril</v>
      </c>
      <c r="E389" t="str">
        <f t="shared" si="51"/>
        <v>T2</v>
      </c>
      <c r="F389" t="s">
        <v>512</v>
      </c>
      <c r="G389" t="s">
        <v>74</v>
      </c>
      <c r="H389" t="s">
        <v>75</v>
      </c>
      <c r="I389" t="s">
        <v>76</v>
      </c>
      <c r="J389" t="s">
        <v>57</v>
      </c>
      <c r="K389" t="s">
        <v>81</v>
      </c>
      <c r="L389" t="s">
        <v>82</v>
      </c>
      <c r="M389" s="24">
        <v>8</v>
      </c>
      <c r="N389" s="25">
        <v>42915.12</v>
      </c>
      <c r="O389" s="25">
        <f t="shared" si="52"/>
        <v>343320.96</v>
      </c>
      <c r="P389" s="25">
        <v>28743.69</v>
      </c>
      <c r="Q389" s="25">
        <f t="shared" si="53"/>
        <v>229949.52</v>
      </c>
      <c r="R389" s="25">
        <f t="shared" si="54"/>
        <v>113371.44000000003</v>
      </c>
      <c r="S389" s="26">
        <f t="shared" si="55"/>
        <v>0.33021997841320266</v>
      </c>
    </row>
    <row r="390" spans="1:19" ht="15" x14ac:dyDescent="0.2">
      <c r="A390" s="23">
        <v>45755</v>
      </c>
      <c r="B390">
        <f t="shared" si="48"/>
        <v>2025</v>
      </c>
      <c r="C390">
        <f t="shared" si="49"/>
        <v>4</v>
      </c>
      <c r="D390" t="str">
        <f t="shared" si="50"/>
        <v>Abril</v>
      </c>
      <c r="E390" t="str">
        <f t="shared" si="51"/>
        <v>T2</v>
      </c>
      <c r="F390" t="s">
        <v>513</v>
      </c>
      <c r="G390" t="s">
        <v>87</v>
      </c>
      <c r="H390" t="s">
        <v>88</v>
      </c>
      <c r="I390" t="s">
        <v>89</v>
      </c>
      <c r="J390" t="s">
        <v>64</v>
      </c>
      <c r="K390" t="s">
        <v>96</v>
      </c>
      <c r="L390" t="s">
        <v>97</v>
      </c>
      <c r="M390" s="24">
        <v>11</v>
      </c>
      <c r="N390" s="25">
        <v>57542.879999999997</v>
      </c>
      <c r="O390" s="25">
        <f t="shared" si="52"/>
        <v>632971.67999999993</v>
      </c>
      <c r="P390" s="25">
        <v>33099.769999999997</v>
      </c>
      <c r="Q390" s="25">
        <f t="shared" si="53"/>
        <v>364097.47</v>
      </c>
      <c r="R390" s="25">
        <f t="shared" si="54"/>
        <v>268874.20999999996</v>
      </c>
      <c r="S390" s="26">
        <f t="shared" si="55"/>
        <v>0.42478078956075888</v>
      </c>
    </row>
    <row r="391" spans="1:19" ht="15" x14ac:dyDescent="0.2">
      <c r="A391" s="23">
        <v>45755</v>
      </c>
      <c r="B391">
        <f t="shared" si="48"/>
        <v>2025</v>
      </c>
      <c r="C391">
        <f t="shared" si="49"/>
        <v>4</v>
      </c>
      <c r="D391" t="str">
        <f t="shared" si="50"/>
        <v>Abril</v>
      </c>
      <c r="E391" t="str">
        <f t="shared" si="51"/>
        <v>T2</v>
      </c>
      <c r="F391" t="s">
        <v>514</v>
      </c>
      <c r="G391" t="s">
        <v>92</v>
      </c>
      <c r="H391" t="s">
        <v>93</v>
      </c>
      <c r="I391" t="s">
        <v>94</v>
      </c>
      <c r="J391" t="s">
        <v>125</v>
      </c>
      <c r="K391" t="s">
        <v>126</v>
      </c>
      <c r="L391" t="s">
        <v>131</v>
      </c>
      <c r="M391" s="24">
        <v>4</v>
      </c>
      <c r="N391" s="25">
        <v>20614.150000000001</v>
      </c>
      <c r="O391" s="25">
        <f t="shared" si="52"/>
        <v>82456.600000000006</v>
      </c>
      <c r="P391" s="25">
        <v>12448.71</v>
      </c>
      <c r="Q391" s="25">
        <f t="shared" si="53"/>
        <v>49794.84</v>
      </c>
      <c r="R391" s="25">
        <f t="shared" si="54"/>
        <v>32661.760000000009</v>
      </c>
      <c r="S391" s="26">
        <f t="shared" si="55"/>
        <v>0.39610849828879685</v>
      </c>
    </row>
    <row r="392" spans="1:19" ht="15" x14ac:dyDescent="0.2">
      <c r="A392" s="23">
        <v>45756</v>
      </c>
      <c r="B392">
        <f t="shared" si="48"/>
        <v>2025</v>
      </c>
      <c r="C392">
        <f t="shared" si="49"/>
        <v>4</v>
      </c>
      <c r="D392" t="str">
        <f t="shared" si="50"/>
        <v>Abril</v>
      </c>
      <c r="E392" t="str">
        <f t="shared" si="51"/>
        <v>T2</v>
      </c>
      <c r="F392" t="s">
        <v>515</v>
      </c>
      <c r="G392" t="s">
        <v>54</v>
      </c>
      <c r="H392" t="s">
        <v>55</v>
      </c>
      <c r="I392" t="s">
        <v>56</v>
      </c>
      <c r="J392" t="s">
        <v>70</v>
      </c>
      <c r="K392" t="s">
        <v>84</v>
      </c>
      <c r="L392" t="s">
        <v>147</v>
      </c>
      <c r="M392" s="24">
        <v>13</v>
      </c>
      <c r="N392" s="25">
        <v>54057.09</v>
      </c>
      <c r="O392" s="25">
        <f t="shared" si="52"/>
        <v>702742.16999999993</v>
      </c>
      <c r="P392" s="25">
        <v>40708.160000000003</v>
      </c>
      <c r="Q392" s="25">
        <f t="shared" si="53"/>
        <v>529206.08000000007</v>
      </c>
      <c r="R392" s="25">
        <f t="shared" si="54"/>
        <v>173536.08999999985</v>
      </c>
      <c r="S392" s="26">
        <f t="shared" si="55"/>
        <v>0.24694133553988923</v>
      </c>
    </row>
    <row r="393" spans="1:19" ht="15" x14ac:dyDescent="0.2">
      <c r="A393" s="23">
        <v>45756</v>
      </c>
      <c r="B393">
        <f t="shared" si="48"/>
        <v>2025</v>
      </c>
      <c r="C393">
        <f t="shared" si="49"/>
        <v>4</v>
      </c>
      <c r="D393" t="str">
        <f t="shared" si="50"/>
        <v>Abril</v>
      </c>
      <c r="E393" t="str">
        <f t="shared" si="51"/>
        <v>T2</v>
      </c>
      <c r="F393" t="s">
        <v>516</v>
      </c>
      <c r="G393" t="s">
        <v>105</v>
      </c>
      <c r="H393" t="s">
        <v>62</v>
      </c>
      <c r="I393" t="s">
        <v>106</v>
      </c>
      <c r="J393" t="s">
        <v>70</v>
      </c>
      <c r="K393" t="s">
        <v>71</v>
      </c>
      <c r="L393" t="s">
        <v>90</v>
      </c>
      <c r="M393" s="24">
        <v>104</v>
      </c>
      <c r="N393" s="25">
        <v>1738.97</v>
      </c>
      <c r="O393" s="25">
        <f t="shared" si="52"/>
        <v>180852.88</v>
      </c>
      <c r="P393" s="25">
        <v>1497</v>
      </c>
      <c r="Q393" s="25">
        <f t="shared" si="53"/>
        <v>155688</v>
      </c>
      <c r="R393" s="25">
        <f t="shared" si="54"/>
        <v>25164.880000000005</v>
      </c>
      <c r="S393" s="26">
        <f t="shared" si="55"/>
        <v>0.13914558618032516</v>
      </c>
    </row>
    <row r="394" spans="1:19" ht="15" x14ac:dyDescent="0.2">
      <c r="A394" s="23">
        <v>45757</v>
      </c>
      <c r="B394">
        <f t="shared" si="48"/>
        <v>2025</v>
      </c>
      <c r="C394">
        <f t="shared" si="49"/>
        <v>4</v>
      </c>
      <c r="D394" t="str">
        <f t="shared" si="50"/>
        <v>Abril</v>
      </c>
      <c r="E394" t="str">
        <f t="shared" si="51"/>
        <v>T2</v>
      </c>
      <c r="F394" t="s">
        <v>517</v>
      </c>
      <c r="G394" t="s">
        <v>68</v>
      </c>
      <c r="H394" t="s">
        <v>62</v>
      </c>
      <c r="I394" t="s">
        <v>69</v>
      </c>
      <c r="J394" t="s">
        <v>125</v>
      </c>
      <c r="K394" t="s">
        <v>126</v>
      </c>
      <c r="L394" t="s">
        <v>131</v>
      </c>
      <c r="M394" s="24">
        <v>35</v>
      </c>
      <c r="N394" s="25">
        <v>3216.71</v>
      </c>
      <c r="O394" s="25">
        <f t="shared" si="52"/>
        <v>112584.85</v>
      </c>
      <c r="P394" s="25">
        <v>2613.77</v>
      </c>
      <c r="Q394" s="25">
        <f t="shared" si="53"/>
        <v>91481.95</v>
      </c>
      <c r="R394" s="25">
        <f t="shared" si="54"/>
        <v>21102.900000000009</v>
      </c>
      <c r="S394" s="26">
        <f t="shared" si="55"/>
        <v>0.18743996194869919</v>
      </c>
    </row>
    <row r="395" spans="1:19" ht="15" x14ac:dyDescent="0.2">
      <c r="A395" s="23">
        <v>45757</v>
      </c>
      <c r="B395">
        <f t="shared" si="48"/>
        <v>2025</v>
      </c>
      <c r="C395">
        <f t="shared" si="49"/>
        <v>4</v>
      </c>
      <c r="D395" t="str">
        <f t="shared" si="50"/>
        <v>Abril</v>
      </c>
      <c r="E395" t="str">
        <f t="shared" si="51"/>
        <v>T2</v>
      </c>
      <c r="F395" t="s">
        <v>518</v>
      </c>
      <c r="G395" t="s">
        <v>144</v>
      </c>
      <c r="H395" t="s">
        <v>88</v>
      </c>
      <c r="I395" t="s">
        <v>145</v>
      </c>
      <c r="J395" t="s">
        <v>57</v>
      </c>
      <c r="K395" t="s">
        <v>58</v>
      </c>
      <c r="L395" t="s">
        <v>59</v>
      </c>
      <c r="M395" s="24">
        <v>2</v>
      </c>
      <c r="N395" s="25">
        <v>10498.34</v>
      </c>
      <c r="O395" s="25">
        <f t="shared" si="52"/>
        <v>20996.68</v>
      </c>
      <c r="P395" s="25">
        <v>5792.54</v>
      </c>
      <c r="Q395" s="25">
        <f t="shared" si="53"/>
        <v>11585.08</v>
      </c>
      <c r="R395" s="25">
        <f t="shared" si="54"/>
        <v>9411.6</v>
      </c>
      <c r="S395" s="26">
        <f t="shared" si="55"/>
        <v>0.44824229354355072</v>
      </c>
    </row>
    <row r="396" spans="1:19" ht="15" x14ac:dyDescent="0.2">
      <c r="A396" s="23">
        <v>45757</v>
      </c>
      <c r="B396">
        <f t="shared" si="48"/>
        <v>2025</v>
      </c>
      <c r="C396">
        <f t="shared" si="49"/>
        <v>4</v>
      </c>
      <c r="D396" t="str">
        <f t="shared" si="50"/>
        <v>Abril</v>
      </c>
      <c r="E396" t="str">
        <f t="shared" si="51"/>
        <v>T2</v>
      </c>
      <c r="F396" t="s">
        <v>519</v>
      </c>
      <c r="G396" t="s">
        <v>92</v>
      </c>
      <c r="H396" t="s">
        <v>93</v>
      </c>
      <c r="I396" t="s">
        <v>94</v>
      </c>
      <c r="J396" t="s">
        <v>125</v>
      </c>
      <c r="K396" t="s">
        <v>126</v>
      </c>
      <c r="L396" t="s">
        <v>127</v>
      </c>
      <c r="M396" s="24">
        <v>5</v>
      </c>
      <c r="N396" s="25">
        <v>20838</v>
      </c>
      <c r="O396" s="25">
        <f t="shared" si="52"/>
        <v>104190</v>
      </c>
      <c r="P396" s="25">
        <v>12624.63</v>
      </c>
      <c r="Q396" s="25">
        <f t="shared" si="53"/>
        <v>63123.149999999994</v>
      </c>
      <c r="R396" s="25">
        <f t="shared" si="54"/>
        <v>41066.850000000006</v>
      </c>
      <c r="S396" s="26">
        <f t="shared" si="55"/>
        <v>0.39415346962280456</v>
      </c>
    </row>
    <row r="397" spans="1:19" ht="15" x14ac:dyDescent="0.2">
      <c r="A397" s="23">
        <v>45758</v>
      </c>
      <c r="B397">
        <f t="shared" si="48"/>
        <v>2025</v>
      </c>
      <c r="C397">
        <f t="shared" si="49"/>
        <v>4</v>
      </c>
      <c r="D397" t="str">
        <f t="shared" si="50"/>
        <v>Abril</v>
      </c>
      <c r="E397" t="str">
        <f t="shared" si="51"/>
        <v>T2</v>
      </c>
      <c r="F397" t="s">
        <v>520</v>
      </c>
      <c r="G397" t="s">
        <v>54</v>
      </c>
      <c r="H397" t="s">
        <v>55</v>
      </c>
      <c r="I397" t="s">
        <v>56</v>
      </c>
      <c r="J397" t="s">
        <v>125</v>
      </c>
      <c r="K397" t="s">
        <v>138</v>
      </c>
      <c r="L397" t="s">
        <v>139</v>
      </c>
      <c r="M397" s="24">
        <v>6</v>
      </c>
      <c r="N397" s="25">
        <v>55772.91</v>
      </c>
      <c r="O397" s="25">
        <f t="shared" si="52"/>
        <v>334637.46000000002</v>
      </c>
      <c r="P397" s="25">
        <v>39019.74</v>
      </c>
      <c r="Q397" s="25">
        <f t="shared" si="53"/>
        <v>234118.44</v>
      </c>
      <c r="R397" s="25">
        <f t="shared" si="54"/>
        <v>100519.02000000002</v>
      </c>
      <c r="S397" s="26">
        <f t="shared" si="55"/>
        <v>0.30038185204967793</v>
      </c>
    </row>
    <row r="398" spans="1:19" ht="15" x14ac:dyDescent="0.2">
      <c r="A398" s="23">
        <v>45758</v>
      </c>
      <c r="B398">
        <f t="shared" si="48"/>
        <v>2025</v>
      </c>
      <c r="C398">
        <f t="shared" si="49"/>
        <v>4</v>
      </c>
      <c r="D398" t="str">
        <f t="shared" si="50"/>
        <v>Abril</v>
      </c>
      <c r="E398" t="str">
        <f t="shared" si="51"/>
        <v>T2</v>
      </c>
      <c r="F398" t="s">
        <v>521</v>
      </c>
      <c r="G398" t="s">
        <v>68</v>
      </c>
      <c r="H398" t="s">
        <v>62</v>
      </c>
      <c r="I398" t="s">
        <v>69</v>
      </c>
      <c r="J398" t="s">
        <v>125</v>
      </c>
      <c r="K398" t="s">
        <v>138</v>
      </c>
      <c r="L398" t="s">
        <v>142</v>
      </c>
      <c r="M398" s="24">
        <v>97</v>
      </c>
      <c r="N398" s="25">
        <v>3191.86</v>
      </c>
      <c r="O398" s="25">
        <f t="shared" si="52"/>
        <v>309610.42</v>
      </c>
      <c r="P398" s="25">
        <v>2602.85</v>
      </c>
      <c r="Q398" s="25">
        <f t="shared" si="53"/>
        <v>252476.44999999998</v>
      </c>
      <c r="R398" s="25">
        <f t="shared" si="54"/>
        <v>57133.97</v>
      </c>
      <c r="S398" s="26">
        <f t="shared" si="55"/>
        <v>0.18453503599781948</v>
      </c>
    </row>
    <row r="399" spans="1:19" ht="15" x14ac:dyDescent="0.2">
      <c r="A399" s="23">
        <v>45758</v>
      </c>
      <c r="B399">
        <f t="shared" si="48"/>
        <v>2025</v>
      </c>
      <c r="C399">
        <f t="shared" si="49"/>
        <v>4</v>
      </c>
      <c r="D399" t="str">
        <f t="shared" si="50"/>
        <v>Abril</v>
      </c>
      <c r="E399" t="str">
        <f t="shared" si="51"/>
        <v>T2</v>
      </c>
      <c r="F399" t="s">
        <v>522</v>
      </c>
      <c r="G399" t="s">
        <v>74</v>
      </c>
      <c r="H399" t="s">
        <v>75</v>
      </c>
      <c r="I399" t="s">
        <v>76</v>
      </c>
      <c r="J399" t="s">
        <v>125</v>
      </c>
      <c r="K399" t="s">
        <v>138</v>
      </c>
      <c r="L399" t="s">
        <v>142</v>
      </c>
      <c r="M399" s="24">
        <v>10</v>
      </c>
      <c r="N399" s="25">
        <v>40272.17</v>
      </c>
      <c r="O399" s="25">
        <f t="shared" si="52"/>
        <v>402721.69999999995</v>
      </c>
      <c r="P399" s="25">
        <v>26777.3</v>
      </c>
      <c r="Q399" s="25">
        <f t="shared" si="53"/>
        <v>267773</v>
      </c>
      <c r="R399" s="25">
        <f t="shared" si="54"/>
        <v>134948.69999999995</v>
      </c>
      <c r="S399" s="26">
        <f t="shared" si="55"/>
        <v>0.33509170228472906</v>
      </c>
    </row>
    <row r="400" spans="1:19" ht="15" x14ac:dyDescent="0.2">
      <c r="A400" s="23">
        <v>45758</v>
      </c>
      <c r="B400">
        <f t="shared" si="48"/>
        <v>2025</v>
      </c>
      <c r="C400">
        <f t="shared" si="49"/>
        <v>4</v>
      </c>
      <c r="D400" t="str">
        <f t="shared" si="50"/>
        <v>Abril</v>
      </c>
      <c r="E400" t="str">
        <f t="shared" si="51"/>
        <v>T2</v>
      </c>
      <c r="F400" t="s">
        <v>523</v>
      </c>
      <c r="G400" t="s">
        <v>87</v>
      </c>
      <c r="H400" t="s">
        <v>88</v>
      </c>
      <c r="I400" t="s">
        <v>89</v>
      </c>
      <c r="J400" t="s">
        <v>77</v>
      </c>
      <c r="K400" t="s">
        <v>107</v>
      </c>
      <c r="L400" t="s">
        <v>108</v>
      </c>
      <c r="M400" s="24">
        <v>10</v>
      </c>
      <c r="N400" s="25">
        <v>62150.33</v>
      </c>
      <c r="O400" s="25">
        <f t="shared" si="52"/>
        <v>621503.30000000005</v>
      </c>
      <c r="P400" s="25">
        <v>32328.47</v>
      </c>
      <c r="Q400" s="25">
        <f t="shared" si="53"/>
        <v>323284.7</v>
      </c>
      <c r="R400" s="25">
        <f t="shared" si="54"/>
        <v>298218.60000000003</v>
      </c>
      <c r="S400" s="26">
        <f t="shared" si="55"/>
        <v>0.47983429854676557</v>
      </c>
    </row>
    <row r="401" spans="1:19" ht="15" x14ac:dyDescent="0.2">
      <c r="A401" s="23">
        <v>45758</v>
      </c>
      <c r="B401">
        <f t="shared" si="48"/>
        <v>2025</v>
      </c>
      <c r="C401">
        <f t="shared" si="49"/>
        <v>4</v>
      </c>
      <c r="D401" t="str">
        <f t="shared" si="50"/>
        <v>Abril</v>
      </c>
      <c r="E401" t="str">
        <f t="shared" si="51"/>
        <v>T2</v>
      </c>
      <c r="F401" t="s">
        <v>524</v>
      </c>
      <c r="G401" t="s">
        <v>92</v>
      </c>
      <c r="H401" t="s">
        <v>93</v>
      </c>
      <c r="I401" t="s">
        <v>94</v>
      </c>
      <c r="J401" t="s">
        <v>57</v>
      </c>
      <c r="K401" t="s">
        <v>58</v>
      </c>
      <c r="L401" t="s">
        <v>59</v>
      </c>
      <c r="M401" s="24">
        <v>4</v>
      </c>
      <c r="N401" s="25">
        <v>18665.8</v>
      </c>
      <c r="O401" s="25">
        <f t="shared" si="52"/>
        <v>74663.199999999997</v>
      </c>
      <c r="P401" s="25">
        <v>11116.82</v>
      </c>
      <c r="Q401" s="25">
        <f t="shared" si="53"/>
        <v>44467.28</v>
      </c>
      <c r="R401" s="25">
        <f t="shared" si="54"/>
        <v>30195.919999999998</v>
      </c>
      <c r="S401" s="26">
        <f t="shared" si="55"/>
        <v>0.40442841989092349</v>
      </c>
    </row>
    <row r="402" spans="1:19" ht="15" x14ac:dyDescent="0.2">
      <c r="A402" s="23">
        <v>45758</v>
      </c>
      <c r="B402">
        <f t="shared" si="48"/>
        <v>2025</v>
      </c>
      <c r="C402">
        <f t="shared" si="49"/>
        <v>4</v>
      </c>
      <c r="D402" t="str">
        <f t="shared" si="50"/>
        <v>Abril</v>
      </c>
      <c r="E402" t="str">
        <f t="shared" si="51"/>
        <v>T2</v>
      </c>
      <c r="F402" t="s">
        <v>525</v>
      </c>
      <c r="G402" t="s">
        <v>92</v>
      </c>
      <c r="H402" t="s">
        <v>93</v>
      </c>
      <c r="I402" t="s">
        <v>94</v>
      </c>
      <c r="J402" t="s">
        <v>70</v>
      </c>
      <c r="K402" t="s">
        <v>71</v>
      </c>
      <c r="L402" t="s">
        <v>90</v>
      </c>
      <c r="M402" s="24">
        <v>3</v>
      </c>
      <c r="N402" s="25">
        <v>17763.61</v>
      </c>
      <c r="O402" s="25">
        <f t="shared" si="52"/>
        <v>53290.83</v>
      </c>
      <c r="P402" s="25">
        <v>11224.58</v>
      </c>
      <c r="Q402" s="25">
        <f t="shared" si="53"/>
        <v>33673.74</v>
      </c>
      <c r="R402" s="25">
        <f t="shared" si="54"/>
        <v>19617.090000000004</v>
      </c>
      <c r="S402" s="26">
        <f t="shared" si="55"/>
        <v>0.36811380119243786</v>
      </c>
    </row>
    <row r="403" spans="1:19" ht="15" x14ac:dyDescent="0.2">
      <c r="A403" s="23">
        <v>45759</v>
      </c>
      <c r="B403">
        <f t="shared" si="48"/>
        <v>2025</v>
      </c>
      <c r="C403">
        <f t="shared" si="49"/>
        <v>4</v>
      </c>
      <c r="D403" t="str">
        <f t="shared" si="50"/>
        <v>Abril</v>
      </c>
      <c r="E403" t="str">
        <f t="shared" si="51"/>
        <v>T2</v>
      </c>
      <c r="F403" t="s">
        <v>526</v>
      </c>
      <c r="G403" t="s">
        <v>183</v>
      </c>
      <c r="H403" t="s">
        <v>55</v>
      </c>
      <c r="I403" t="s">
        <v>184</v>
      </c>
      <c r="J403" t="s">
        <v>64</v>
      </c>
      <c r="K403" t="s">
        <v>65</v>
      </c>
      <c r="L403" t="s">
        <v>123</v>
      </c>
      <c r="M403" s="24">
        <v>3</v>
      </c>
      <c r="N403" s="25">
        <v>433874.48</v>
      </c>
      <c r="O403" s="25">
        <f t="shared" si="52"/>
        <v>1301623.44</v>
      </c>
      <c r="P403" s="25">
        <v>319083.02</v>
      </c>
      <c r="Q403" s="25">
        <f t="shared" si="53"/>
        <v>957249.06</v>
      </c>
      <c r="R403" s="25">
        <f t="shared" si="54"/>
        <v>344374.37999999989</v>
      </c>
      <c r="S403" s="26">
        <f t="shared" si="55"/>
        <v>0.26457297050520229</v>
      </c>
    </row>
    <row r="404" spans="1:19" ht="15" x14ac:dyDescent="0.2">
      <c r="A404" s="23">
        <v>45759</v>
      </c>
      <c r="B404">
        <f t="shared" si="48"/>
        <v>2025</v>
      </c>
      <c r="C404">
        <f t="shared" si="49"/>
        <v>4</v>
      </c>
      <c r="D404" t="str">
        <f t="shared" si="50"/>
        <v>Abril</v>
      </c>
      <c r="E404" t="str">
        <f t="shared" si="51"/>
        <v>T2</v>
      </c>
      <c r="F404" t="s">
        <v>527</v>
      </c>
      <c r="G404" t="s">
        <v>61</v>
      </c>
      <c r="H404" t="s">
        <v>62</v>
      </c>
      <c r="I404" t="s">
        <v>63</v>
      </c>
      <c r="J404" t="s">
        <v>70</v>
      </c>
      <c r="K404" t="s">
        <v>84</v>
      </c>
      <c r="L404" t="s">
        <v>85</v>
      </c>
      <c r="M404" s="24">
        <v>9</v>
      </c>
      <c r="N404" s="25">
        <v>5562.39</v>
      </c>
      <c r="O404" s="25">
        <f t="shared" si="52"/>
        <v>50061.51</v>
      </c>
      <c r="P404" s="25">
        <v>4743.71</v>
      </c>
      <c r="Q404" s="25">
        <f t="shared" si="53"/>
        <v>42693.39</v>
      </c>
      <c r="R404" s="25">
        <f t="shared" si="54"/>
        <v>7368.1200000000026</v>
      </c>
      <c r="S404" s="26">
        <f t="shared" si="55"/>
        <v>0.14718133751858467</v>
      </c>
    </row>
    <row r="405" spans="1:19" ht="15" x14ac:dyDescent="0.2">
      <c r="A405" s="23">
        <v>45759</v>
      </c>
      <c r="B405">
        <f t="shared" si="48"/>
        <v>2025</v>
      </c>
      <c r="C405">
        <f t="shared" si="49"/>
        <v>4</v>
      </c>
      <c r="D405" t="str">
        <f t="shared" si="50"/>
        <v>Abril</v>
      </c>
      <c r="E405" t="str">
        <f t="shared" si="51"/>
        <v>T2</v>
      </c>
      <c r="F405" t="s">
        <v>528</v>
      </c>
      <c r="G405" t="s">
        <v>92</v>
      </c>
      <c r="H405" t="s">
        <v>93</v>
      </c>
      <c r="I405" t="s">
        <v>94</v>
      </c>
      <c r="J405" t="s">
        <v>70</v>
      </c>
      <c r="K405" t="s">
        <v>84</v>
      </c>
      <c r="L405" t="s">
        <v>85</v>
      </c>
      <c r="M405" s="24">
        <v>6</v>
      </c>
      <c r="N405" s="25">
        <v>19461.740000000002</v>
      </c>
      <c r="O405" s="25">
        <f t="shared" si="52"/>
        <v>116770.44</v>
      </c>
      <c r="P405" s="25">
        <v>11927.99</v>
      </c>
      <c r="Q405" s="25">
        <f t="shared" si="53"/>
        <v>71567.94</v>
      </c>
      <c r="R405" s="25">
        <f t="shared" si="54"/>
        <v>45202.5</v>
      </c>
      <c r="S405" s="26">
        <f t="shared" si="55"/>
        <v>0.38710567503214</v>
      </c>
    </row>
    <row r="406" spans="1:19" ht="15" x14ac:dyDescent="0.2">
      <c r="A406" s="23">
        <v>45760</v>
      </c>
      <c r="B406">
        <f t="shared" si="48"/>
        <v>2025</v>
      </c>
      <c r="C406">
        <f t="shared" si="49"/>
        <v>4</v>
      </c>
      <c r="D406" t="str">
        <f t="shared" si="50"/>
        <v>Abril</v>
      </c>
      <c r="E406" t="str">
        <f t="shared" si="51"/>
        <v>T2</v>
      </c>
      <c r="F406" t="s">
        <v>529</v>
      </c>
      <c r="G406" t="s">
        <v>54</v>
      </c>
      <c r="H406" t="s">
        <v>55</v>
      </c>
      <c r="I406" t="s">
        <v>56</v>
      </c>
      <c r="J406" t="s">
        <v>77</v>
      </c>
      <c r="K406" t="s">
        <v>78</v>
      </c>
      <c r="L406" t="s">
        <v>79</v>
      </c>
      <c r="M406" s="24">
        <v>10</v>
      </c>
      <c r="N406" s="25">
        <v>59761.94</v>
      </c>
      <c r="O406" s="25">
        <f t="shared" si="52"/>
        <v>597619.4</v>
      </c>
      <c r="P406" s="25">
        <v>41803.64</v>
      </c>
      <c r="Q406" s="25">
        <f t="shared" si="53"/>
        <v>418036.4</v>
      </c>
      <c r="R406" s="25">
        <f t="shared" si="54"/>
        <v>179583</v>
      </c>
      <c r="S406" s="26">
        <f t="shared" si="55"/>
        <v>0.30049727301356011</v>
      </c>
    </row>
    <row r="407" spans="1:19" ht="15" x14ac:dyDescent="0.2">
      <c r="A407" s="23">
        <v>45760</v>
      </c>
      <c r="B407">
        <f t="shared" si="48"/>
        <v>2025</v>
      </c>
      <c r="C407">
        <f t="shared" si="49"/>
        <v>4</v>
      </c>
      <c r="D407" t="str">
        <f t="shared" si="50"/>
        <v>Abril</v>
      </c>
      <c r="E407" t="str">
        <f t="shared" si="51"/>
        <v>T2</v>
      </c>
      <c r="F407" t="s">
        <v>530</v>
      </c>
      <c r="G407" t="s">
        <v>54</v>
      </c>
      <c r="H407" t="s">
        <v>55</v>
      </c>
      <c r="I407" t="s">
        <v>56</v>
      </c>
      <c r="J407" t="s">
        <v>57</v>
      </c>
      <c r="K407" t="s">
        <v>81</v>
      </c>
      <c r="L407" t="s">
        <v>129</v>
      </c>
      <c r="M407" s="24">
        <v>13</v>
      </c>
      <c r="N407" s="25">
        <v>59225.21</v>
      </c>
      <c r="O407" s="25">
        <f t="shared" si="52"/>
        <v>769927.73</v>
      </c>
      <c r="P407" s="25">
        <v>42029.62</v>
      </c>
      <c r="Q407" s="25">
        <f t="shared" si="53"/>
        <v>546385.06000000006</v>
      </c>
      <c r="R407" s="25">
        <f t="shared" si="54"/>
        <v>223542.66999999993</v>
      </c>
      <c r="S407" s="26">
        <f t="shared" si="55"/>
        <v>0.29034240655288507</v>
      </c>
    </row>
    <row r="408" spans="1:19" ht="15" x14ac:dyDescent="0.2">
      <c r="A408" s="23">
        <v>45760</v>
      </c>
      <c r="B408">
        <f t="shared" si="48"/>
        <v>2025</v>
      </c>
      <c r="C408">
        <f t="shared" si="49"/>
        <v>4</v>
      </c>
      <c r="D408" t="str">
        <f t="shared" si="50"/>
        <v>Abril</v>
      </c>
      <c r="E408" t="str">
        <f t="shared" si="51"/>
        <v>T2</v>
      </c>
      <c r="F408" t="s">
        <v>531</v>
      </c>
      <c r="G408" t="s">
        <v>54</v>
      </c>
      <c r="H408" t="s">
        <v>55</v>
      </c>
      <c r="I408" t="s">
        <v>56</v>
      </c>
      <c r="J408" t="s">
        <v>70</v>
      </c>
      <c r="K408" t="s">
        <v>84</v>
      </c>
      <c r="L408" t="s">
        <v>85</v>
      </c>
      <c r="M408" s="24">
        <v>5</v>
      </c>
      <c r="N408" s="25">
        <v>58901.440000000002</v>
      </c>
      <c r="O408" s="25">
        <f t="shared" si="52"/>
        <v>294507.2</v>
      </c>
      <c r="P408" s="25">
        <v>44516</v>
      </c>
      <c r="Q408" s="25">
        <f t="shared" si="53"/>
        <v>222580</v>
      </c>
      <c r="R408" s="25">
        <f t="shared" si="54"/>
        <v>71927.200000000012</v>
      </c>
      <c r="S408" s="26">
        <f t="shared" si="55"/>
        <v>0.24422900356935248</v>
      </c>
    </row>
    <row r="409" spans="1:19" ht="15" x14ac:dyDescent="0.2">
      <c r="A409" s="23">
        <v>45760</v>
      </c>
      <c r="B409">
        <f t="shared" si="48"/>
        <v>2025</v>
      </c>
      <c r="C409">
        <f t="shared" si="49"/>
        <v>4</v>
      </c>
      <c r="D409" t="str">
        <f t="shared" si="50"/>
        <v>Abril</v>
      </c>
      <c r="E409" t="str">
        <f t="shared" si="51"/>
        <v>T2</v>
      </c>
      <c r="F409" t="s">
        <v>532</v>
      </c>
      <c r="G409" t="s">
        <v>61</v>
      </c>
      <c r="H409" t="s">
        <v>62</v>
      </c>
      <c r="I409" t="s">
        <v>63</v>
      </c>
      <c r="J409" t="s">
        <v>125</v>
      </c>
      <c r="K409" t="s">
        <v>138</v>
      </c>
      <c r="L409" t="s">
        <v>142</v>
      </c>
      <c r="M409" s="24">
        <v>17</v>
      </c>
      <c r="N409" s="25">
        <v>5998.14</v>
      </c>
      <c r="O409" s="25">
        <f t="shared" si="52"/>
        <v>101968.38</v>
      </c>
      <c r="P409" s="25">
        <v>4863.46</v>
      </c>
      <c r="Q409" s="25">
        <f t="shared" si="53"/>
        <v>82678.820000000007</v>
      </c>
      <c r="R409" s="25">
        <f t="shared" si="54"/>
        <v>19289.559999999998</v>
      </c>
      <c r="S409" s="26">
        <f t="shared" si="55"/>
        <v>0.18917197664609359</v>
      </c>
    </row>
    <row r="410" spans="1:19" ht="15" x14ac:dyDescent="0.2">
      <c r="A410" s="23">
        <v>45760</v>
      </c>
      <c r="B410">
        <f t="shared" si="48"/>
        <v>2025</v>
      </c>
      <c r="C410">
        <f t="shared" si="49"/>
        <v>4</v>
      </c>
      <c r="D410" t="str">
        <f t="shared" si="50"/>
        <v>Abril</v>
      </c>
      <c r="E410" t="str">
        <f t="shared" si="51"/>
        <v>T2</v>
      </c>
      <c r="F410" t="s">
        <v>533</v>
      </c>
      <c r="G410" t="s">
        <v>100</v>
      </c>
      <c r="H410" t="s">
        <v>88</v>
      </c>
      <c r="I410" t="s">
        <v>101</v>
      </c>
      <c r="J410" t="s">
        <v>64</v>
      </c>
      <c r="K410" t="s">
        <v>65</v>
      </c>
      <c r="L410" t="s">
        <v>123</v>
      </c>
      <c r="M410" s="24">
        <v>14</v>
      </c>
      <c r="N410" s="25">
        <v>36662.519999999997</v>
      </c>
      <c r="O410" s="25">
        <f t="shared" si="52"/>
        <v>513275.27999999997</v>
      </c>
      <c r="P410" s="25">
        <v>21305.05</v>
      </c>
      <c r="Q410" s="25">
        <f t="shared" si="53"/>
        <v>298270.7</v>
      </c>
      <c r="R410" s="25">
        <f t="shared" si="54"/>
        <v>215004.57999999996</v>
      </c>
      <c r="S410" s="26">
        <f t="shared" si="55"/>
        <v>0.41888746327311921</v>
      </c>
    </row>
    <row r="411" spans="1:19" ht="15" x14ac:dyDescent="0.2">
      <c r="A411" s="23">
        <v>45760</v>
      </c>
      <c r="B411">
        <f t="shared" si="48"/>
        <v>2025</v>
      </c>
      <c r="C411">
        <f t="shared" si="49"/>
        <v>4</v>
      </c>
      <c r="D411" t="str">
        <f t="shared" si="50"/>
        <v>Abril</v>
      </c>
      <c r="E411" t="str">
        <f t="shared" si="51"/>
        <v>T2</v>
      </c>
      <c r="F411" t="s">
        <v>534</v>
      </c>
      <c r="G411" t="s">
        <v>188</v>
      </c>
      <c r="H411" t="s">
        <v>88</v>
      </c>
      <c r="I411" t="s">
        <v>189</v>
      </c>
      <c r="J411" t="s">
        <v>70</v>
      </c>
      <c r="K411" t="s">
        <v>84</v>
      </c>
      <c r="L411" t="s">
        <v>147</v>
      </c>
      <c r="M411" s="24">
        <v>4</v>
      </c>
      <c r="N411" s="25">
        <v>65920.22</v>
      </c>
      <c r="O411" s="25">
        <f t="shared" si="52"/>
        <v>263680.88</v>
      </c>
      <c r="P411" s="25">
        <v>39826.910000000003</v>
      </c>
      <c r="Q411" s="25">
        <f t="shared" si="53"/>
        <v>159307.64000000001</v>
      </c>
      <c r="R411" s="25">
        <f t="shared" si="54"/>
        <v>104373.23999999999</v>
      </c>
      <c r="S411" s="26">
        <f t="shared" si="55"/>
        <v>0.39583165832881012</v>
      </c>
    </row>
    <row r="412" spans="1:19" ht="15" x14ac:dyDescent="0.2">
      <c r="A412" s="23">
        <v>45761</v>
      </c>
      <c r="B412">
        <f t="shared" si="48"/>
        <v>2025</v>
      </c>
      <c r="C412">
        <f t="shared" si="49"/>
        <v>4</v>
      </c>
      <c r="D412" t="str">
        <f t="shared" si="50"/>
        <v>Abril</v>
      </c>
      <c r="E412" t="str">
        <f t="shared" si="51"/>
        <v>T2</v>
      </c>
      <c r="F412" t="s">
        <v>535</v>
      </c>
      <c r="G412" t="s">
        <v>61</v>
      </c>
      <c r="H412" t="s">
        <v>62</v>
      </c>
      <c r="I412" t="s">
        <v>63</v>
      </c>
      <c r="J412" t="s">
        <v>70</v>
      </c>
      <c r="K412" t="s">
        <v>71</v>
      </c>
      <c r="L412" t="s">
        <v>90</v>
      </c>
      <c r="M412" s="24">
        <v>61</v>
      </c>
      <c r="N412" s="25">
        <v>5568.52</v>
      </c>
      <c r="O412" s="25">
        <f t="shared" si="52"/>
        <v>339679.72000000003</v>
      </c>
      <c r="P412" s="25">
        <v>4772.18</v>
      </c>
      <c r="Q412" s="25">
        <f t="shared" si="53"/>
        <v>291102.98000000004</v>
      </c>
      <c r="R412" s="25">
        <f t="shared" si="54"/>
        <v>48576.739999999991</v>
      </c>
      <c r="S412" s="26">
        <f t="shared" si="55"/>
        <v>0.14300747774992273</v>
      </c>
    </row>
    <row r="413" spans="1:19" ht="15" x14ac:dyDescent="0.2">
      <c r="A413" s="23">
        <v>45761</v>
      </c>
      <c r="B413">
        <f t="shared" si="48"/>
        <v>2025</v>
      </c>
      <c r="C413">
        <f t="shared" si="49"/>
        <v>4</v>
      </c>
      <c r="D413" t="str">
        <f t="shared" si="50"/>
        <v>Abril</v>
      </c>
      <c r="E413" t="str">
        <f t="shared" si="51"/>
        <v>T2</v>
      </c>
      <c r="F413" t="s">
        <v>536</v>
      </c>
      <c r="G413" t="s">
        <v>74</v>
      </c>
      <c r="H413" t="s">
        <v>75</v>
      </c>
      <c r="I413" t="s">
        <v>76</v>
      </c>
      <c r="J413" t="s">
        <v>70</v>
      </c>
      <c r="K413" t="s">
        <v>84</v>
      </c>
      <c r="L413" t="s">
        <v>85</v>
      </c>
      <c r="M413" s="24">
        <v>4</v>
      </c>
      <c r="N413" s="25">
        <v>36391.9</v>
      </c>
      <c r="O413" s="25">
        <f t="shared" si="52"/>
        <v>145567.6</v>
      </c>
      <c r="P413" s="25">
        <v>25597.81</v>
      </c>
      <c r="Q413" s="25">
        <f t="shared" si="53"/>
        <v>102391.24</v>
      </c>
      <c r="R413" s="25">
        <f t="shared" si="54"/>
        <v>43176.36</v>
      </c>
      <c r="S413" s="26">
        <f t="shared" si="55"/>
        <v>0.29660693725801618</v>
      </c>
    </row>
    <row r="414" spans="1:19" ht="15" x14ac:dyDescent="0.2">
      <c r="A414" s="23">
        <v>45761</v>
      </c>
      <c r="B414">
        <f t="shared" si="48"/>
        <v>2025</v>
      </c>
      <c r="C414">
        <f t="shared" si="49"/>
        <v>4</v>
      </c>
      <c r="D414" t="str">
        <f t="shared" si="50"/>
        <v>Abril</v>
      </c>
      <c r="E414" t="str">
        <f t="shared" si="51"/>
        <v>T2</v>
      </c>
      <c r="F414" t="s">
        <v>537</v>
      </c>
      <c r="G414" t="s">
        <v>92</v>
      </c>
      <c r="H414" t="s">
        <v>93</v>
      </c>
      <c r="I414" t="s">
        <v>94</v>
      </c>
      <c r="J414" t="s">
        <v>70</v>
      </c>
      <c r="K414" t="s">
        <v>71</v>
      </c>
      <c r="L414" t="s">
        <v>72</v>
      </c>
      <c r="M414" s="24">
        <v>6</v>
      </c>
      <c r="N414" s="25">
        <v>18434.46</v>
      </c>
      <c r="O414" s="25">
        <f t="shared" si="52"/>
        <v>110606.76</v>
      </c>
      <c r="P414" s="25">
        <v>11836.09</v>
      </c>
      <c r="Q414" s="25">
        <f t="shared" si="53"/>
        <v>71016.540000000008</v>
      </c>
      <c r="R414" s="25">
        <f t="shared" si="54"/>
        <v>39590.219999999987</v>
      </c>
      <c r="S414" s="26">
        <f t="shared" si="55"/>
        <v>0.35793671200566757</v>
      </c>
    </row>
    <row r="415" spans="1:19" ht="15" x14ac:dyDescent="0.2">
      <c r="A415" s="23">
        <v>45762</v>
      </c>
      <c r="B415">
        <f t="shared" si="48"/>
        <v>2025</v>
      </c>
      <c r="C415">
        <f t="shared" si="49"/>
        <v>4</v>
      </c>
      <c r="D415" t="str">
        <f t="shared" si="50"/>
        <v>Abril</v>
      </c>
      <c r="E415" t="str">
        <f t="shared" si="51"/>
        <v>T2</v>
      </c>
      <c r="F415" t="s">
        <v>538</v>
      </c>
      <c r="G415" t="s">
        <v>54</v>
      </c>
      <c r="H415" t="s">
        <v>55</v>
      </c>
      <c r="I415" t="s">
        <v>56</v>
      </c>
      <c r="J415" t="s">
        <v>77</v>
      </c>
      <c r="K415" t="s">
        <v>78</v>
      </c>
      <c r="L415" t="s">
        <v>117</v>
      </c>
      <c r="M415" s="24">
        <v>5</v>
      </c>
      <c r="N415" s="25">
        <v>65353.68</v>
      </c>
      <c r="O415" s="25">
        <f t="shared" si="52"/>
        <v>326768.40000000002</v>
      </c>
      <c r="P415" s="25">
        <v>44932.81</v>
      </c>
      <c r="Q415" s="25">
        <f t="shared" si="53"/>
        <v>224664.05</v>
      </c>
      <c r="R415" s="25">
        <f t="shared" si="54"/>
        <v>102104.35000000003</v>
      </c>
      <c r="S415" s="26">
        <f t="shared" si="55"/>
        <v>0.31246702557530054</v>
      </c>
    </row>
    <row r="416" spans="1:19" ht="15" x14ac:dyDescent="0.2">
      <c r="A416" s="23">
        <v>45762</v>
      </c>
      <c r="B416">
        <f t="shared" si="48"/>
        <v>2025</v>
      </c>
      <c r="C416">
        <f t="shared" si="49"/>
        <v>4</v>
      </c>
      <c r="D416" t="str">
        <f t="shared" si="50"/>
        <v>Abril</v>
      </c>
      <c r="E416" t="str">
        <f t="shared" si="51"/>
        <v>T2</v>
      </c>
      <c r="F416" t="s">
        <v>539</v>
      </c>
      <c r="G416" t="s">
        <v>110</v>
      </c>
      <c r="H416" t="s">
        <v>62</v>
      </c>
      <c r="I416" t="s">
        <v>69</v>
      </c>
      <c r="J416" t="s">
        <v>77</v>
      </c>
      <c r="K416" t="s">
        <v>107</v>
      </c>
      <c r="L416" t="s">
        <v>108</v>
      </c>
      <c r="M416" s="24">
        <v>101</v>
      </c>
      <c r="N416" s="25">
        <v>6882.26</v>
      </c>
      <c r="O416" s="25">
        <f t="shared" si="52"/>
        <v>695108.26</v>
      </c>
      <c r="P416" s="25">
        <v>5413.03</v>
      </c>
      <c r="Q416" s="25">
        <f t="shared" si="53"/>
        <v>546716.03</v>
      </c>
      <c r="R416" s="25">
        <f t="shared" si="54"/>
        <v>148392.22999999998</v>
      </c>
      <c r="S416" s="26">
        <f t="shared" si="55"/>
        <v>0.21348074615024712</v>
      </c>
    </row>
    <row r="417" spans="1:19" ht="15" x14ac:dyDescent="0.2">
      <c r="A417" s="23">
        <v>45762</v>
      </c>
      <c r="B417">
        <f t="shared" si="48"/>
        <v>2025</v>
      </c>
      <c r="C417">
        <f t="shared" si="49"/>
        <v>4</v>
      </c>
      <c r="D417" t="str">
        <f t="shared" si="50"/>
        <v>Abril</v>
      </c>
      <c r="E417" t="str">
        <f t="shared" si="51"/>
        <v>T2</v>
      </c>
      <c r="F417" t="s">
        <v>540</v>
      </c>
      <c r="G417" t="s">
        <v>206</v>
      </c>
      <c r="H417" t="s">
        <v>93</v>
      </c>
      <c r="I417" t="s">
        <v>207</v>
      </c>
      <c r="J417" t="s">
        <v>57</v>
      </c>
      <c r="K417" t="s">
        <v>81</v>
      </c>
      <c r="L417" t="s">
        <v>129</v>
      </c>
      <c r="M417" s="24">
        <v>3</v>
      </c>
      <c r="N417" s="25">
        <v>104660.54</v>
      </c>
      <c r="O417" s="25">
        <f t="shared" si="52"/>
        <v>313981.62</v>
      </c>
      <c r="P417" s="25">
        <v>60841.56</v>
      </c>
      <c r="Q417" s="25">
        <f t="shared" si="53"/>
        <v>182524.68</v>
      </c>
      <c r="R417" s="25">
        <f t="shared" si="54"/>
        <v>131456.94</v>
      </c>
      <c r="S417" s="26">
        <f t="shared" si="55"/>
        <v>0.41867718244144358</v>
      </c>
    </row>
    <row r="418" spans="1:19" ht="15" x14ac:dyDescent="0.2">
      <c r="A418" s="23">
        <v>45763</v>
      </c>
      <c r="B418">
        <f t="shared" si="48"/>
        <v>2025</v>
      </c>
      <c r="C418">
        <f t="shared" si="49"/>
        <v>4</v>
      </c>
      <c r="D418" t="str">
        <f t="shared" si="50"/>
        <v>Abril</v>
      </c>
      <c r="E418" t="str">
        <f t="shared" si="51"/>
        <v>T2</v>
      </c>
      <c r="F418" t="s">
        <v>541</v>
      </c>
      <c r="G418" t="s">
        <v>105</v>
      </c>
      <c r="H418" t="s">
        <v>62</v>
      </c>
      <c r="I418" t="s">
        <v>106</v>
      </c>
      <c r="J418" t="s">
        <v>57</v>
      </c>
      <c r="K418" t="s">
        <v>81</v>
      </c>
      <c r="L418" t="s">
        <v>82</v>
      </c>
      <c r="M418" s="24">
        <v>384</v>
      </c>
      <c r="N418" s="25">
        <v>1843.31</v>
      </c>
      <c r="O418" s="25">
        <f t="shared" si="52"/>
        <v>707831.04</v>
      </c>
      <c r="P418" s="25">
        <v>1498.42</v>
      </c>
      <c r="Q418" s="25">
        <f t="shared" si="53"/>
        <v>575393.28000000003</v>
      </c>
      <c r="R418" s="25">
        <f t="shared" si="54"/>
        <v>132437.76000000001</v>
      </c>
      <c r="S418" s="26">
        <f t="shared" si="55"/>
        <v>0.18710363422321802</v>
      </c>
    </row>
    <row r="419" spans="1:19" ht="15" x14ac:dyDescent="0.2">
      <c r="A419" s="23">
        <v>45763</v>
      </c>
      <c r="B419">
        <f t="shared" si="48"/>
        <v>2025</v>
      </c>
      <c r="C419">
        <f t="shared" si="49"/>
        <v>4</v>
      </c>
      <c r="D419" t="str">
        <f t="shared" si="50"/>
        <v>Abril</v>
      </c>
      <c r="E419" t="str">
        <f t="shared" si="51"/>
        <v>T2</v>
      </c>
      <c r="F419" t="s">
        <v>542</v>
      </c>
      <c r="G419" t="s">
        <v>105</v>
      </c>
      <c r="H419" t="s">
        <v>62</v>
      </c>
      <c r="I419" t="s">
        <v>106</v>
      </c>
      <c r="J419" t="s">
        <v>125</v>
      </c>
      <c r="K419" t="s">
        <v>126</v>
      </c>
      <c r="L419" t="s">
        <v>127</v>
      </c>
      <c r="M419" s="24">
        <v>184</v>
      </c>
      <c r="N419" s="25">
        <v>1818.3</v>
      </c>
      <c r="O419" s="25">
        <f t="shared" si="52"/>
        <v>334567.2</v>
      </c>
      <c r="P419" s="25">
        <v>1497.65</v>
      </c>
      <c r="Q419" s="25">
        <f t="shared" si="53"/>
        <v>275567.60000000003</v>
      </c>
      <c r="R419" s="25">
        <f t="shared" si="54"/>
        <v>58999.599999999977</v>
      </c>
      <c r="S419" s="26">
        <f t="shared" si="55"/>
        <v>0.17634603750756192</v>
      </c>
    </row>
    <row r="420" spans="1:19" ht="15" x14ac:dyDescent="0.2">
      <c r="A420" s="23">
        <v>45763</v>
      </c>
      <c r="B420">
        <f t="shared" si="48"/>
        <v>2025</v>
      </c>
      <c r="C420">
        <f t="shared" si="49"/>
        <v>4</v>
      </c>
      <c r="D420" t="str">
        <f t="shared" si="50"/>
        <v>Abril</v>
      </c>
      <c r="E420" t="str">
        <f t="shared" si="51"/>
        <v>T2</v>
      </c>
      <c r="F420" t="s">
        <v>543</v>
      </c>
      <c r="G420" t="s">
        <v>100</v>
      </c>
      <c r="H420" t="s">
        <v>88</v>
      </c>
      <c r="I420" t="s">
        <v>101</v>
      </c>
      <c r="J420" t="s">
        <v>64</v>
      </c>
      <c r="K420" t="s">
        <v>65</v>
      </c>
      <c r="L420" t="s">
        <v>66</v>
      </c>
      <c r="M420" s="24">
        <v>28</v>
      </c>
      <c r="N420" s="25">
        <v>37918.04</v>
      </c>
      <c r="O420" s="25">
        <f t="shared" si="52"/>
        <v>1061705.1200000001</v>
      </c>
      <c r="P420" s="25">
        <v>21289.17</v>
      </c>
      <c r="Q420" s="25">
        <f t="shared" si="53"/>
        <v>596096.76</v>
      </c>
      <c r="R420" s="25">
        <f t="shared" si="54"/>
        <v>465608.3600000001</v>
      </c>
      <c r="S420" s="26">
        <f t="shared" si="55"/>
        <v>0.43854772029355954</v>
      </c>
    </row>
    <row r="421" spans="1:19" ht="15" x14ac:dyDescent="0.2">
      <c r="A421" s="23">
        <v>45763</v>
      </c>
      <c r="B421">
        <f t="shared" si="48"/>
        <v>2025</v>
      </c>
      <c r="C421">
        <f t="shared" si="49"/>
        <v>4</v>
      </c>
      <c r="D421" t="str">
        <f t="shared" si="50"/>
        <v>Abril</v>
      </c>
      <c r="E421" t="str">
        <f t="shared" si="51"/>
        <v>T2</v>
      </c>
      <c r="F421" t="s">
        <v>544</v>
      </c>
      <c r="G421" t="s">
        <v>144</v>
      </c>
      <c r="H421" t="s">
        <v>88</v>
      </c>
      <c r="I421" t="s">
        <v>145</v>
      </c>
      <c r="J421" t="s">
        <v>125</v>
      </c>
      <c r="K421" t="s">
        <v>138</v>
      </c>
      <c r="L421" t="s">
        <v>142</v>
      </c>
      <c r="M421" s="24">
        <v>1</v>
      </c>
      <c r="N421" s="25">
        <v>2035.53</v>
      </c>
      <c r="O421" s="25">
        <f t="shared" si="52"/>
        <v>2035.53</v>
      </c>
      <c r="P421" s="25">
        <v>1107.6199999999999</v>
      </c>
      <c r="Q421" s="25">
        <f t="shared" si="53"/>
        <v>1107.6199999999999</v>
      </c>
      <c r="R421" s="25">
        <f t="shared" si="54"/>
        <v>927.91000000000008</v>
      </c>
      <c r="S421" s="26">
        <f t="shared" si="55"/>
        <v>0.45585670562457942</v>
      </c>
    </row>
    <row r="422" spans="1:19" ht="15" x14ac:dyDescent="0.2">
      <c r="A422" s="23">
        <v>45763</v>
      </c>
      <c r="B422">
        <f t="shared" si="48"/>
        <v>2025</v>
      </c>
      <c r="C422">
        <f t="shared" si="49"/>
        <v>4</v>
      </c>
      <c r="D422" t="str">
        <f t="shared" si="50"/>
        <v>Abril</v>
      </c>
      <c r="E422" t="str">
        <f t="shared" si="51"/>
        <v>T2</v>
      </c>
      <c r="F422" t="s">
        <v>545</v>
      </c>
      <c r="G422" t="s">
        <v>92</v>
      </c>
      <c r="H422" t="s">
        <v>93</v>
      </c>
      <c r="I422" t="s">
        <v>94</v>
      </c>
      <c r="J422" t="s">
        <v>77</v>
      </c>
      <c r="K422" t="s">
        <v>78</v>
      </c>
      <c r="L422" t="s">
        <v>79</v>
      </c>
      <c r="M422" s="24">
        <v>9</v>
      </c>
      <c r="N422" s="25">
        <v>19731.72</v>
      </c>
      <c r="O422" s="25">
        <f t="shared" si="52"/>
        <v>177585.48</v>
      </c>
      <c r="P422" s="25">
        <v>11518.1</v>
      </c>
      <c r="Q422" s="25">
        <f t="shared" si="53"/>
        <v>103662.90000000001</v>
      </c>
      <c r="R422" s="25">
        <f t="shared" si="54"/>
        <v>73922.58</v>
      </c>
      <c r="S422" s="26">
        <f t="shared" si="55"/>
        <v>0.41626477570125664</v>
      </c>
    </row>
    <row r="423" spans="1:19" ht="15" x14ac:dyDescent="0.2">
      <c r="A423" s="23">
        <v>45764</v>
      </c>
      <c r="B423">
        <f t="shared" si="48"/>
        <v>2025</v>
      </c>
      <c r="C423">
        <f t="shared" si="49"/>
        <v>4</v>
      </c>
      <c r="D423" t="str">
        <f t="shared" si="50"/>
        <v>Abril</v>
      </c>
      <c r="E423" t="str">
        <f t="shared" si="51"/>
        <v>T2</v>
      </c>
      <c r="F423" t="s">
        <v>546</v>
      </c>
      <c r="G423" t="s">
        <v>54</v>
      </c>
      <c r="H423" t="s">
        <v>55</v>
      </c>
      <c r="I423" t="s">
        <v>56</v>
      </c>
      <c r="J423" t="s">
        <v>77</v>
      </c>
      <c r="K423" t="s">
        <v>78</v>
      </c>
      <c r="L423" t="s">
        <v>117</v>
      </c>
      <c r="M423" s="24">
        <v>6</v>
      </c>
      <c r="N423" s="25">
        <v>57237.32</v>
      </c>
      <c r="O423" s="25">
        <f t="shared" si="52"/>
        <v>343423.92</v>
      </c>
      <c r="P423" s="25">
        <v>39960.76</v>
      </c>
      <c r="Q423" s="25">
        <f t="shared" si="53"/>
        <v>239764.56</v>
      </c>
      <c r="R423" s="25">
        <f t="shared" si="54"/>
        <v>103659.35999999999</v>
      </c>
      <c r="S423" s="26">
        <f t="shared" si="55"/>
        <v>0.30184082692900366</v>
      </c>
    </row>
    <row r="424" spans="1:19" ht="15" x14ac:dyDescent="0.2">
      <c r="A424" s="23">
        <v>45764</v>
      </c>
      <c r="B424">
        <f t="shared" si="48"/>
        <v>2025</v>
      </c>
      <c r="C424">
        <f t="shared" si="49"/>
        <v>4</v>
      </c>
      <c r="D424" t="str">
        <f t="shared" si="50"/>
        <v>Abril</v>
      </c>
      <c r="E424" t="str">
        <f t="shared" si="51"/>
        <v>T2</v>
      </c>
      <c r="F424" t="s">
        <v>547</v>
      </c>
      <c r="G424" t="s">
        <v>114</v>
      </c>
      <c r="H424" t="s">
        <v>75</v>
      </c>
      <c r="I424" t="s">
        <v>115</v>
      </c>
      <c r="J424" t="s">
        <v>64</v>
      </c>
      <c r="K424" t="s">
        <v>96</v>
      </c>
      <c r="L424" t="s">
        <v>97</v>
      </c>
      <c r="M424" s="24">
        <v>5</v>
      </c>
      <c r="N424" s="25">
        <v>88564.59</v>
      </c>
      <c r="O424" s="25">
        <f t="shared" si="52"/>
        <v>442822.94999999995</v>
      </c>
      <c r="P424" s="25">
        <v>62025.41</v>
      </c>
      <c r="Q424" s="25">
        <f t="shared" si="53"/>
        <v>310127.05000000005</v>
      </c>
      <c r="R424" s="25">
        <f t="shared" si="54"/>
        <v>132695.89999999991</v>
      </c>
      <c r="S424" s="26">
        <f t="shared" si="55"/>
        <v>0.29965903980360531</v>
      </c>
    </row>
    <row r="425" spans="1:19" ht="15" x14ac:dyDescent="0.2">
      <c r="A425" s="23">
        <v>45764</v>
      </c>
      <c r="B425">
        <f t="shared" si="48"/>
        <v>2025</v>
      </c>
      <c r="C425">
        <f t="shared" si="49"/>
        <v>4</v>
      </c>
      <c r="D425" t="str">
        <f t="shared" si="50"/>
        <v>Abril</v>
      </c>
      <c r="E425" t="str">
        <f t="shared" si="51"/>
        <v>T2</v>
      </c>
      <c r="F425" t="s">
        <v>548</v>
      </c>
      <c r="G425" t="s">
        <v>74</v>
      </c>
      <c r="H425" t="s">
        <v>75</v>
      </c>
      <c r="I425" t="s">
        <v>76</v>
      </c>
      <c r="J425" t="s">
        <v>57</v>
      </c>
      <c r="K425" t="s">
        <v>58</v>
      </c>
      <c r="L425" t="s">
        <v>162</v>
      </c>
      <c r="M425" s="24">
        <v>9</v>
      </c>
      <c r="N425" s="25">
        <v>43062.17</v>
      </c>
      <c r="O425" s="25">
        <f t="shared" si="52"/>
        <v>387559.52999999997</v>
      </c>
      <c r="P425" s="25">
        <v>29363.67</v>
      </c>
      <c r="Q425" s="25">
        <f t="shared" si="53"/>
        <v>264273.02999999997</v>
      </c>
      <c r="R425" s="25">
        <f t="shared" si="54"/>
        <v>123286.5</v>
      </c>
      <c r="S425" s="26">
        <f t="shared" si="55"/>
        <v>0.3181098397967404</v>
      </c>
    </row>
    <row r="426" spans="1:19" ht="15" x14ac:dyDescent="0.2">
      <c r="A426" s="23">
        <v>45764</v>
      </c>
      <c r="B426">
        <f t="shared" si="48"/>
        <v>2025</v>
      </c>
      <c r="C426">
        <f t="shared" si="49"/>
        <v>4</v>
      </c>
      <c r="D426" t="str">
        <f t="shared" si="50"/>
        <v>Abril</v>
      </c>
      <c r="E426" t="str">
        <f t="shared" si="51"/>
        <v>T2</v>
      </c>
      <c r="F426" t="s">
        <v>549</v>
      </c>
      <c r="G426" t="s">
        <v>114</v>
      </c>
      <c r="H426" t="s">
        <v>75</v>
      </c>
      <c r="I426" t="s">
        <v>115</v>
      </c>
      <c r="J426" t="s">
        <v>70</v>
      </c>
      <c r="K426" t="s">
        <v>71</v>
      </c>
      <c r="L426" t="s">
        <v>90</v>
      </c>
      <c r="M426" s="24">
        <v>3</v>
      </c>
      <c r="N426" s="25">
        <v>88690.77</v>
      </c>
      <c r="O426" s="25">
        <f t="shared" si="52"/>
        <v>266072.31</v>
      </c>
      <c r="P426" s="25">
        <v>63136.09</v>
      </c>
      <c r="Q426" s="25">
        <f t="shared" si="53"/>
        <v>189408.27</v>
      </c>
      <c r="R426" s="25">
        <f t="shared" si="54"/>
        <v>76664.040000000008</v>
      </c>
      <c r="S426" s="26">
        <f t="shared" si="55"/>
        <v>0.28813235018706007</v>
      </c>
    </row>
    <row r="427" spans="1:19" ht="15" x14ac:dyDescent="0.2">
      <c r="A427" s="23">
        <v>45764</v>
      </c>
      <c r="B427">
        <f t="shared" si="48"/>
        <v>2025</v>
      </c>
      <c r="C427">
        <f t="shared" si="49"/>
        <v>4</v>
      </c>
      <c r="D427" t="str">
        <f t="shared" si="50"/>
        <v>Abril</v>
      </c>
      <c r="E427" t="str">
        <f t="shared" si="51"/>
        <v>T2</v>
      </c>
      <c r="F427" t="s">
        <v>550</v>
      </c>
      <c r="G427" t="s">
        <v>144</v>
      </c>
      <c r="H427" t="s">
        <v>88</v>
      </c>
      <c r="I427" t="s">
        <v>145</v>
      </c>
      <c r="J427" t="s">
        <v>77</v>
      </c>
      <c r="K427" t="s">
        <v>107</v>
      </c>
      <c r="L427" t="s">
        <v>112</v>
      </c>
      <c r="M427" s="24">
        <v>22</v>
      </c>
      <c r="N427" s="25">
        <v>14016.8</v>
      </c>
      <c r="O427" s="25">
        <f t="shared" si="52"/>
        <v>308369.59999999998</v>
      </c>
      <c r="P427" s="25">
        <v>7026.73</v>
      </c>
      <c r="Q427" s="25">
        <f t="shared" si="53"/>
        <v>154588.06</v>
      </c>
      <c r="R427" s="25">
        <f t="shared" si="54"/>
        <v>153781.53999999998</v>
      </c>
      <c r="S427" s="26">
        <f t="shared" si="55"/>
        <v>0.49869228354545969</v>
      </c>
    </row>
    <row r="428" spans="1:19" ht="15" x14ac:dyDescent="0.2">
      <c r="A428" s="23">
        <v>45764</v>
      </c>
      <c r="B428">
        <f t="shared" si="48"/>
        <v>2025</v>
      </c>
      <c r="C428">
        <f t="shared" si="49"/>
        <v>4</v>
      </c>
      <c r="D428" t="str">
        <f t="shared" si="50"/>
        <v>Abril</v>
      </c>
      <c r="E428" t="str">
        <f t="shared" si="51"/>
        <v>T2</v>
      </c>
      <c r="F428" t="s">
        <v>551</v>
      </c>
      <c r="G428" t="s">
        <v>149</v>
      </c>
      <c r="H428" t="s">
        <v>93</v>
      </c>
      <c r="I428" t="s">
        <v>150</v>
      </c>
      <c r="J428" t="s">
        <v>70</v>
      </c>
      <c r="K428" t="s">
        <v>84</v>
      </c>
      <c r="L428" t="s">
        <v>147</v>
      </c>
      <c r="M428" s="24">
        <v>2</v>
      </c>
      <c r="N428" s="25">
        <v>51023.07</v>
      </c>
      <c r="O428" s="25">
        <f t="shared" si="52"/>
        <v>102046.14</v>
      </c>
      <c r="P428" s="25">
        <v>32226.400000000001</v>
      </c>
      <c r="Q428" s="25">
        <f t="shared" si="53"/>
        <v>64452.800000000003</v>
      </c>
      <c r="R428" s="25">
        <f t="shared" si="54"/>
        <v>37593.339999999997</v>
      </c>
      <c r="S428" s="26">
        <f t="shared" si="55"/>
        <v>0.36839551206934429</v>
      </c>
    </row>
    <row r="429" spans="1:19" ht="15" x14ac:dyDescent="0.2">
      <c r="A429" s="23">
        <v>45765</v>
      </c>
      <c r="B429">
        <f t="shared" si="48"/>
        <v>2025</v>
      </c>
      <c r="C429">
        <f t="shared" si="49"/>
        <v>4</v>
      </c>
      <c r="D429" t="str">
        <f t="shared" si="50"/>
        <v>Abril</v>
      </c>
      <c r="E429" t="str">
        <f t="shared" si="51"/>
        <v>T2</v>
      </c>
      <c r="F429" t="s">
        <v>552</v>
      </c>
      <c r="G429" t="s">
        <v>54</v>
      </c>
      <c r="H429" t="s">
        <v>55</v>
      </c>
      <c r="I429" t="s">
        <v>56</v>
      </c>
      <c r="J429" t="s">
        <v>125</v>
      </c>
      <c r="K429" t="s">
        <v>138</v>
      </c>
      <c r="L429" t="s">
        <v>142</v>
      </c>
      <c r="M429" s="24">
        <v>11</v>
      </c>
      <c r="N429" s="25">
        <v>57647.82</v>
      </c>
      <c r="O429" s="25">
        <f t="shared" si="52"/>
        <v>634126.02</v>
      </c>
      <c r="P429" s="25">
        <v>40103.480000000003</v>
      </c>
      <c r="Q429" s="25">
        <f t="shared" si="53"/>
        <v>441138.28</v>
      </c>
      <c r="R429" s="25">
        <f t="shared" si="54"/>
        <v>192987.74</v>
      </c>
      <c r="S429" s="26">
        <f t="shared" si="55"/>
        <v>0.30433657335177633</v>
      </c>
    </row>
    <row r="430" spans="1:19" ht="15" x14ac:dyDescent="0.2">
      <c r="A430" s="23">
        <v>45765</v>
      </c>
      <c r="B430">
        <f t="shared" si="48"/>
        <v>2025</v>
      </c>
      <c r="C430">
        <f t="shared" si="49"/>
        <v>4</v>
      </c>
      <c r="D430" t="str">
        <f t="shared" si="50"/>
        <v>Abril</v>
      </c>
      <c r="E430" t="str">
        <f t="shared" si="51"/>
        <v>T2</v>
      </c>
      <c r="F430" t="s">
        <v>553</v>
      </c>
      <c r="G430" t="s">
        <v>105</v>
      </c>
      <c r="H430" t="s">
        <v>62</v>
      </c>
      <c r="I430" t="s">
        <v>106</v>
      </c>
      <c r="J430" t="s">
        <v>125</v>
      </c>
      <c r="K430" t="s">
        <v>138</v>
      </c>
      <c r="L430" t="s">
        <v>139</v>
      </c>
      <c r="M430" s="24">
        <v>230</v>
      </c>
      <c r="N430" s="25">
        <v>1850.34</v>
      </c>
      <c r="O430" s="25">
        <f t="shared" si="52"/>
        <v>425578.19999999995</v>
      </c>
      <c r="P430" s="25">
        <v>1499.82</v>
      </c>
      <c r="Q430" s="25">
        <f t="shared" si="53"/>
        <v>344958.6</v>
      </c>
      <c r="R430" s="25">
        <f t="shared" si="54"/>
        <v>80619.599999999977</v>
      </c>
      <c r="S430" s="26">
        <f t="shared" si="55"/>
        <v>0.18943545510554813</v>
      </c>
    </row>
    <row r="431" spans="1:19" ht="15" x14ac:dyDescent="0.2">
      <c r="A431" s="23">
        <v>45765</v>
      </c>
      <c r="B431">
        <f t="shared" si="48"/>
        <v>2025</v>
      </c>
      <c r="C431">
        <f t="shared" si="49"/>
        <v>4</v>
      </c>
      <c r="D431" t="str">
        <f t="shared" si="50"/>
        <v>Abril</v>
      </c>
      <c r="E431" t="str">
        <f t="shared" si="51"/>
        <v>T2</v>
      </c>
      <c r="F431" t="s">
        <v>554</v>
      </c>
      <c r="G431" t="s">
        <v>114</v>
      </c>
      <c r="H431" t="s">
        <v>75</v>
      </c>
      <c r="I431" t="s">
        <v>115</v>
      </c>
      <c r="J431" t="s">
        <v>57</v>
      </c>
      <c r="K431" t="s">
        <v>81</v>
      </c>
      <c r="L431" t="s">
        <v>82</v>
      </c>
      <c r="M431" s="24">
        <v>6</v>
      </c>
      <c r="N431" s="25">
        <v>102350.3</v>
      </c>
      <c r="O431" s="25">
        <f t="shared" si="52"/>
        <v>614101.80000000005</v>
      </c>
      <c r="P431" s="25">
        <v>69944.81</v>
      </c>
      <c r="Q431" s="25">
        <f t="shared" si="53"/>
        <v>419668.86</v>
      </c>
      <c r="R431" s="25">
        <f t="shared" si="54"/>
        <v>194432.94000000006</v>
      </c>
      <c r="S431" s="26">
        <f t="shared" si="55"/>
        <v>0.31661353215378957</v>
      </c>
    </row>
    <row r="432" spans="1:19" ht="15" x14ac:dyDescent="0.2">
      <c r="A432" s="23">
        <v>45766</v>
      </c>
      <c r="B432">
        <f t="shared" si="48"/>
        <v>2025</v>
      </c>
      <c r="C432">
        <f t="shared" si="49"/>
        <v>4</v>
      </c>
      <c r="D432" t="str">
        <f t="shared" si="50"/>
        <v>Abril</v>
      </c>
      <c r="E432" t="str">
        <f t="shared" si="51"/>
        <v>T2</v>
      </c>
      <c r="F432" t="s">
        <v>555</v>
      </c>
      <c r="G432" t="s">
        <v>61</v>
      </c>
      <c r="H432" t="s">
        <v>62</v>
      </c>
      <c r="I432" t="s">
        <v>63</v>
      </c>
      <c r="J432" t="s">
        <v>57</v>
      </c>
      <c r="K432" t="s">
        <v>81</v>
      </c>
      <c r="L432" t="s">
        <v>82</v>
      </c>
      <c r="M432" s="24">
        <v>63</v>
      </c>
      <c r="N432" s="25">
        <v>5806.34</v>
      </c>
      <c r="O432" s="25">
        <f t="shared" si="52"/>
        <v>365799.42</v>
      </c>
      <c r="P432" s="25">
        <v>4787.4799999999996</v>
      </c>
      <c r="Q432" s="25">
        <f t="shared" si="53"/>
        <v>301611.24</v>
      </c>
      <c r="R432" s="25">
        <f t="shared" si="54"/>
        <v>64188.179999999993</v>
      </c>
      <c r="S432" s="26">
        <f t="shared" si="55"/>
        <v>0.17547370632791051</v>
      </c>
    </row>
    <row r="433" spans="1:19" ht="15" x14ac:dyDescent="0.2">
      <c r="A433" s="23">
        <v>45766</v>
      </c>
      <c r="B433">
        <f t="shared" si="48"/>
        <v>2025</v>
      </c>
      <c r="C433">
        <f t="shared" si="49"/>
        <v>4</v>
      </c>
      <c r="D433" t="str">
        <f t="shared" si="50"/>
        <v>Abril</v>
      </c>
      <c r="E433" t="str">
        <f t="shared" si="51"/>
        <v>T2</v>
      </c>
      <c r="F433" t="s">
        <v>556</v>
      </c>
      <c r="G433" t="s">
        <v>144</v>
      </c>
      <c r="H433" t="s">
        <v>88</v>
      </c>
      <c r="I433" t="s">
        <v>145</v>
      </c>
      <c r="J433" t="s">
        <v>77</v>
      </c>
      <c r="K433" t="s">
        <v>78</v>
      </c>
      <c r="L433" t="s">
        <v>79</v>
      </c>
      <c r="M433" s="24">
        <v>28</v>
      </c>
      <c r="N433" s="25">
        <v>12661.3</v>
      </c>
      <c r="O433" s="25">
        <f t="shared" si="52"/>
        <v>354516.39999999997</v>
      </c>
      <c r="P433" s="25">
        <v>6922.7</v>
      </c>
      <c r="Q433" s="25">
        <f t="shared" si="53"/>
        <v>193835.6</v>
      </c>
      <c r="R433" s="25">
        <f t="shared" si="54"/>
        <v>160680.79999999996</v>
      </c>
      <c r="S433" s="26">
        <f t="shared" si="55"/>
        <v>0.4532393987979117</v>
      </c>
    </row>
    <row r="434" spans="1:19" ht="15" x14ac:dyDescent="0.2">
      <c r="A434" s="23">
        <v>45766</v>
      </c>
      <c r="B434">
        <f t="shared" si="48"/>
        <v>2025</v>
      </c>
      <c r="C434">
        <f t="shared" si="49"/>
        <v>4</v>
      </c>
      <c r="D434" t="str">
        <f t="shared" si="50"/>
        <v>Abril</v>
      </c>
      <c r="E434" t="str">
        <f t="shared" si="51"/>
        <v>T2</v>
      </c>
      <c r="F434" t="s">
        <v>557</v>
      </c>
      <c r="G434" t="s">
        <v>92</v>
      </c>
      <c r="H434" t="s">
        <v>93</v>
      </c>
      <c r="I434" t="s">
        <v>94</v>
      </c>
      <c r="J434" t="s">
        <v>57</v>
      </c>
      <c r="K434" t="s">
        <v>81</v>
      </c>
      <c r="L434" t="s">
        <v>129</v>
      </c>
      <c r="M434" s="24">
        <v>7</v>
      </c>
      <c r="N434" s="25">
        <v>20625.91</v>
      </c>
      <c r="O434" s="25">
        <f t="shared" si="52"/>
        <v>144381.37</v>
      </c>
      <c r="P434" s="25">
        <v>12084.84</v>
      </c>
      <c r="Q434" s="25">
        <f t="shared" si="53"/>
        <v>84593.88</v>
      </c>
      <c r="R434" s="25">
        <f t="shared" si="54"/>
        <v>59787.489999999991</v>
      </c>
      <c r="S434" s="26">
        <f t="shared" si="55"/>
        <v>0.41409421450980827</v>
      </c>
    </row>
    <row r="435" spans="1:19" ht="15" x14ac:dyDescent="0.2">
      <c r="A435" s="23">
        <v>45767</v>
      </c>
      <c r="B435">
        <f t="shared" si="48"/>
        <v>2025</v>
      </c>
      <c r="C435">
        <f t="shared" si="49"/>
        <v>4</v>
      </c>
      <c r="D435" t="str">
        <f t="shared" si="50"/>
        <v>Abril</v>
      </c>
      <c r="E435" t="str">
        <f t="shared" si="51"/>
        <v>T2</v>
      </c>
      <c r="F435" t="s">
        <v>558</v>
      </c>
      <c r="G435" t="s">
        <v>54</v>
      </c>
      <c r="H435" t="s">
        <v>55</v>
      </c>
      <c r="I435" t="s">
        <v>56</v>
      </c>
      <c r="J435" t="s">
        <v>125</v>
      </c>
      <c r="K435" t="s">
        <v>126</v>
      </c>
      <c r="L435" t="s">
        <v>127</v>
      </c>
      <c r="M435" s="24">
        <v>5</v>
      </c>
      <c r="N435" s="25">
        <v>59190.35</v>
      </c>
      <c r="O435" s="25">
        <f t="shared" si="52"/>
        <v>295951.75</v>
      </c>
      <c r="P435" s="25">
        <v>42807.58</v>
      </c>
      <c r="Q435" s="25">
        <f t="shared" si="53"/>
        <v>214037.90000000002</v>
      </c>
      <c r="R435" s="25">
        <f t="shared" si="54"/>
        <v>81913.849999999977</v>
      </c>
      <c r="S435" s="26">
        <f t="shared" si="55"/>
        <v>0.27678109691866992</v>
      </c>
    </row>
    <row r="436" spans="1:19" ht="15" x14ac:dyDescent="0.2">
      <c r="A436" s="23">
        <v>45767</v>
      </c>
      <c r="B436">
        <f t="shared" si="48"/>
        <v>2025</v>
      </c>
      <c r="C436">
        <f t="shared" si="49"/>
        <v>4</v>
      </c>
      <c r="D436" t="str">
        <f t="shared" si="50"/>
        <v>Abril</v>
      </c>
      <c r="E436" t="str">
        <f t="shared" si="51"/>
        <v>T2</v>
      </c>
      <c r="F436" t="s">
        <v>559</v>
      </c>
      <c r="G436" t="s">
        <v>61</v>
      </c>
      <c r="H436" t="s">
        <v>62</v>
      </c>
      <c r="I436" t="s">
        <v>63</v>
      </c>
      <c r="J436" t="s">
        <v>57</v>
      </c>
      <c r="K436" t="s">
        <v>58</v>
      </c>
      <c r="L436" t="s">
        <v>162</v>
      </c>
      <c r="M436" s="24">
        <v>42</v>
      </c>
      <c r="N436" s="25">
        <v>5842.26</v>
      </c>
      <c r="O436" s="25">
        <f t="shared" si="52"/>
        <v>245374.92</v>
      </c>
      <c r="P436" s="25">
        <v>4831.22</v>
      </c>
      <c r="Q436" s="25">
        <f t="shared" si="53"/>
        <v>202911.24000000002</v>
      </c>
      <c r="R436" s="25">
        <f t="shared" si="54"/>
        <v>42463.679999999993</v>
      </c>
      <c r="S436" s="26">
        <f t="shared" si="55"/>
        <v>0.17305631724709269</v>
      </c>
    </row>
    <row r="437" spans="1:19" ht="15" x14ac:dyDescent="0.2">
      <c r="A437" s="23">
        <v>45767</v>
      </c>
      <c r="B437">
        <f t="shared" si="48"/>
        <v>2025</v>
      </c>
      <c r="C437">
        <f t="shared" si="49"/>
        <v>4</v>
      </c>
      <c r="D437" t="str">
        <f t="shared" si="50"/>
        <v>Abril</v>
      </c>
      <c r="E437" t="str">
        <f t="shared" si="51"/>
        <v>T2</v>
      </c>
      <c r="F437" t="s">
        <v>560</v>
      </c>
      <c r="G437" t="s">
        <v>74</v>
      </c>
      <c r="H437" t="s">
        <v>75</v>
      </c>
      <c r="I437" t="s">
        <v>76</v>
      </c>
      <c r="J437" t="s">
        <v>77</v>
      </c>
      <c r="K437" t="s">
        <v>107</v>
      </c>
      <c r="L437" t="s">
        <v>112</v>
      </c>
      <c r="M437" s="24">
        <v>1</v>
      </c>
      <c r="N437" s="25">
        <v>61415.66</v>
      </c>
      <c r="O437" s="25">
        <f t="shared" si="52"/>
        <v>61415.66</v>
      </c>
      <c r="P437" s="25">
        <v>39502.28</v>
      </c>
      <c r="Q437" s="25">
        <f t="shared" si="53"/>
        <v>39502.28</v>
      </c>
      <c r="R437" s="25">
        <f t="shared" si="54"/>
        <v>21913.380000000005</v>
      </c>
      <c r="S437" s="26">
        <f t="shared" si="55"/>
        <v>0.35680443717449267</v>
      </c>
    </row>
    <row r="438" spans="1:19" ht="15" x14ac:dyDescent="0.2">
      <c r="A438" s="23">
        <v>45767</v>
      </c>
      <c r="B438">
        <f t="shared" si="48"/>
        <v>2025</v>
      </c>
      <c r="C438">
        <f t="shared" si="49"/>
        <v>4</v>
      </c>
      <c r="D438" t="str">
        <f t="shared" si="50"/>
        <v>Abril</v>
      </c>
      <c r="E438" t="str">
        <f t="shared" si="51"/>
        <v>T2</v>
      </c>
      <c r="F438" t="s">
        <v>561</v>
      </c>
      <c r="G438" t="s">
        <v>144</v>
      </c>
      <c r="H438" t="s">
        <v>88</v>
      </c>
      <c r="I438" t="s">
        <v>145</v>
      </c>
      <c r="J438" t="s">
        <v>125</v>
      </c>
      <c r="K438" t="s">
        <v>126</v>
      </c>
      <c r="L438" t="s">
        <v>131</v>
      </c>
      <c r="M438" s="24">
        <v>14</v>
      </c>
      <c r="N438" s="25">
        <v>12468.17</v>
      </c>
      <c r="O438" s="25">
        <f t="shared" si="52"/>
        <v>174554.38</v>
      </c>
      <c r="P438" s="25">
        <v>6772.23</v>
      </c>
      <c r="Q438" s="25">
        <f t="shared" si="53"/>
        <v>94811.22</v>
      </c>
      <c r="R438" s="25">
        <f t="shared" si="54"/>
        <v>79743.16</v>
      </c>
      <c r="S438" s="26">
        <f t="shared" si="55"/>
        <v>0.45683849353995015</v>
      </c>
    </row>
    <row r="439" spans="1:19" ht="15" x14ac:dyDescent="0.2">
      <c r="A439" s="23">
        <v>45767</v>
      </c>
      <c r="B439">
        <f t="shared" si="48"/>
        <v>2025</v>
      </c>
      <c r="C439">
        <f t="shared" si="49"/>
        <v>4</v>
      </c>
      <c r="D439" t="str">
        <f t="shared" si="50"/>
        <v>Abril</v>
      </c>
      <c r="E439" t="str">
        <f t="shared" si="51"/>
        <v>T2</v>
      </c>
      <c r="F439" t="s">
        <v>562</v>
      </c>
      <c r="G439" t="s">
        <v>87</v>
      </c>
      <c r="H439" t="s">
        <v>88</v>
      </c>
      <c r="I439" t="s">
        <v>89</v>
      </c>
      <c r="J439" t="s">
        <v>70</v>
      </c>
      <c r="K439" t="s">
        <v>71</v>
      </c>
      <c r="L439" t="s">
        <v>90</v>
      </c>
      <c r="M439" s="24">
        <v>2</v>
      </c>
      <c r="N439" s="25">
        <v>70145.399999999994</v>
      </c>
      <c r="O439" s="25">
        <f t="shared" si="52"/>
        <v>140290.79999999999</v>
      </c>
      <c r="P439" s="25">
        <v>40884.82</v>
      </c>
      <c r="Q439" s="25">
        <f t="shared" si="53"/>
        <v>81769.64</v>
      </c>
      <c r="R439" s="25">
        <f t="shared" si="54"/>
        <v>58521.159999999989</v>
      </c>
      <c r="S439" s="26">
        <f t="shared" si="55"/>
        <v>0.41714182255714555</v>
      </c>
    </row>
    <row r="440" spans="1:19" ht="15" x14ac:dyDescent="0.2">
      <c r="A440" s="23">
        <v>45767</v>
      </c>
      <c r="B440">
        <f t="shared" si="48"/>
        <v>2025</v>
      </c>
      <c r="C440">
        <f t="shared" si="49"/>
        <v>4</v>
      </c>
      <c r="D440" t="str">
        <f t="shared" si="50"/>
        <v>Abril</v>
      </c>
      <c r="E440" t="str">
        <f t="shared" si="51"/>
        <v>T2</v>
      </c>
      <c r="F440" t="s">
        <v>563</v>
      </c>
      <c r="G440" t="s">
        <v>92</v>
      </c>
      <c r="H440" t="s">
        <v>93</v>
      </c>
      <c r="I440" t="s">
        <v>94</v>
      </c>
      <c r="J440" t="s">
        <v>57</v>
      </c>
      <c r="K440" t="s">
        <v>58</v>
      </c>
      <c r="L440" t="s">
        <v>162</v>
      </c>
      <c r="M440" s="24">
        <v>4</v>
      </c>
      <c r="N440" s="25">
        <v>19708.490000000002</v>
      </c>
      <c r="O440" s="25">
        <f t="shared" si="52"/>
        <v>78833.960000000006</v>
      </c>
      <c r="P440" s="25">
        <v>12026.38</v>
      </c>
      <c r="Q440" s="25">
        <f t="shared" si="53"/>
        <v>48105.52</v>
      </c>
      <c r="R440" s="25">
        <f t="shared" si="54"/>
        <v>30728.44000000001</v>
      </c>
      <c r="S440" s="26">
        <f t="shared" si="55"/>
        <v>0.38978683805811615</v>
      </c>
    </row>
    <row r="441" spans="1:19" ht="15" x14ac:dyDescent="0.2">
      <c r="A441" s="23">
        <v>45768</v>
      </c>
      <c r="B441">
        <f t="shared" si="48"/>
        <v>2025</v>
      </c>
      <c r="C441">
        <f t="shared" si="49"/>
        <v>4</v>
      </c>
      <c r="D441" t="str">
        <f t="shared" si="50"/>
        <v>Abril</v>
      </c>
      <c r="E441" t="str">
        <f t="shared" si="51"/>
        <v>T2</v>
      </c>
      <c r="F441" t="s">
        <v>564</v>
      </c>
      <c r="G441" t="s">
        <v>54</v>
      </c>
      <c r="H441" t="s">
        <v>55</v>
      </c>
      <c r="I441" t="s">
        <v>56</v>
      </c>
      <c r="J441" t="s">
        <v>64</v>
      </c>
      <c r="K441" t="s">
        <v>96</v>
      </c>
      <c r="L441" t="s">
        <v>97</v>
      </c>
      <c r="M441" s="24">
        <v>12</v>
      </c>
      <c r="N441" s="25">
        <v>56902.8</v>
      </c>
      <c r="O441" s="25">
        <f t="shared" si="52"/>
        <v>682833.60000000009</v>
      </c>
      <c r="P441" s="25">
        <v>41702.080000000002</v>
      </c>
      <c r="Q441" s="25">
        <f t="shared" si="53"/>
        <v>500424.96000000002</v>
      </c>
      <c r="R441" s="25">
        <f t="shared" si="54"/>
        <v>182408.64000000007</v>
      </c>
      <c r="S441" s="26">
        <f t="shared" si="55"/>
        <v>0.26713483343526162</v>
      </c>
    </row>
    <row r="442" spans="1:19" ht="15" x14ac:dyDescent="0.2">
      <c r="A442" s="23">
        <v>45768</v>
      </c>
      <c r="B442">
        <f t="shared" si="48"/>
        <v>2025</v>
      </c>
      <c r="C442">
        <f t="shared" si="49"/>
        <v>4</v>
      </c>
      <c r="D442" t="str">
        <f t="shared" si="50"/>
        <v>Abril</v>
      </c>
      <c r="E442" t="str">
        <f t="shared" si="51"/>
        <v>T2</v>
      </c>
      <c r="F442" t="s">
        <v>565</v>
      </c>
      <c r="G442" t="s">
        <v>54</v>
      </c>
      <c r="H442" t="s">
        <v>55</v>
      </c>
      <c r="I442" t="s">
        <v>56</v>
      </c>
      <c r="J442" t="s">
        <v>77</v>
      </c>
      <c r="K442" t="s">
        <v>107</v>
      </c>
      <c r="L442" t="s">
        <v>112</v>
      </c>
      <c r="M442" s="24">
        <v>8</v>
      </c>
      <c r="N442" s="25">
        <v>61868.01</v>
      </c>
      <c r="O442" s="25">
        <f t="shared" si="52"/>
        <v>494944.08</v>
      </c>
      <c r="P442" s="25">
        <v>41581.61</v>
      </c>
      <c r="Q442" s="25">
        <f t="shared" si="53"/>
        <v>332652.88</v>
      </c>
      <c r="R442" s="25">
        <f t="shared" si="54"/>
        <v>162291.20000000001</v>
      </c>
      <c r="S442" s="26">
        <f t="shared" si="55"/>
        <v>0.32789805264465433</v>
      </c>
    </row>
    <row r="443" spans="1:19" ht="15" x14ac:dyDescent="0.2">
      <c r="A443" s="23">
        <v>45768</v>
      </c>
      <c r="B443">
        <f t="shared" si="48"/>
        <v>2025</v>
      </c>
      <c r="C443">
        <f t="shared" si="49"/>
        <v>4</v>
      </c>
      <c r="D443" t="str">
        <f t="shared" si="50"/>
        <v>Abril</v>
      </c>
      <c r="E443" t="str">
        <f t="shared" si="51"/>
        <v>T2</v>
      </c>
      <c r="F443" t="s">
        <v>566</v>
      </c>
      <c r="G443" t="s">
        <v>144</v>
      </c>
      <c r="H443" t="s">
        <v>88</v>
      </c>
      <c r="I443" t="s">
        <v>145</v>
      </c>
      <c r="J443" t="s">
        <v>64</v>
      </c>
      <c r="K443" t="s">
        <v>96</v>
      </c>
      <c r="L443" t="s">
        <v>103</v>
      </c>
      <c r="M443" s="24">
        <v>52</v>
      </c>
      <c r="N443" s="25">
        <v>12072.57</v>
      </c>
      <c r="O443" s="25">
        <f t="shared" si="52"/>
        <v>627773.64</v>
      </c>
      <c r="P443" s="25">
        <v>6963.4</v>
      </c>
      <c r="Q443" s="25">
        <f t="shared" si="53"/>
        <v>362096.8</v>
      </c>
      <c r="R443" s="25">
        <f t="shared" si="54"/>
        <v>265676.84000000003</v>
      </c>
      <c r="S443" s="26">
        <f t="shared" si="55"/>
        <v>0.42320483542443743</v>
      </c>
    </row>
    <row r="444" spans="1:19" ht="15" x14ac:dyDescent="0.2">
      <c r="A444" s="23">
        <v>45768</v>
      </c>
      <c r="B444">
        <f t="shared" si="48"/>
        <v>2025</v>
      </c>
      <c r="C444">
        <f t="shared" si="49"/>
        <v>4</v>
      </c>
      <c r="D444" t="str">
        <f t="shared" si="50"/>
        <v>Abril</v>
      </c>
      <c r="E444" t="str">
        <f t="shared" si="51"/>
        <v>T2</v>
      </c>
      <c r="F444" t="s">
        <v>567</v>
      </c>
      <c r="G444" t="s">
        <v>92</v>
      </c>
      <c r="H444" t="s">
        <v>93</v>
      </c>
      <c r="I444" t="s">
        <v>94</v>
      </c>
      <c r="J444" t="s">
        <v>64</v>
      </c>
      <c r="K444" t="s">
        <v>65</v>
      </c>
      <c r="L444" t="s">
        <v>123</v>
      </c>
      <c r="M444" s="24">
        <v>21</v>
      </c>
      <c r="N444" s="25">
        <v>20241.7</v>
      </c>
      <c r="O444" s="25">
        <f t="shared" si="52"/>
        <v>425075.7</v>
      </c>
      <c r="P444" s="25">
        <v>12262.16</v>
      </c>
      <c r="Q444" s="25">
        <f t="shared" si="53"/>
        <v>257505.36</v>
      </c>
      <c r="R444" s="25">
        <f t="shared" si="54"/>
        <v>167570.34000000003</v>
      </c>
      <c r="S444" s="26">
        <f t="shared" si="55"/>
        <v>0.39421293666045842</v>
      </c>
    </row>
    <row r="445" spans="1:19" ht="15" x14ac:dyDescent="0.2">
      <c r="A445" s="23">
        <v>45768</v>
      </c>
      <c r="B445">
        <f t="shared" si="48"/>
        <v>2025</v>
      </c>
      <c r="C445">
        <f t="shared" si="49"/>
        <v>4</v>
      </c>
      <c r="D445" t="str">
        <f t="shared" si="50"/>
        <v>Abril</v>
      </c>
      <c r="E445" t="str">
        <f t="shared" si="51"/>
        <v>T2</v>
      </c>
      <c r="F445" t="s">
        <v>568</v>
      </c>
      <c r="G445" t="s">
        <v>149</v>
      </c>
      <c r="H445" t="s">
        <v>93</v>
      </c>
      <c r="I445" t="s">
        <v>150</v>
      </c>
      <c r="J445" t="s">
        <v>57</v>
      </c>
      <c r="K445" t="s">
        <v>58</v>
      </c>
      <c r="L445" t="s">
        <v>59</v>
      </c>
      <c r="M445" s="24">
        <v>3</v>
      </c>
      <c r="N445" s="25">
        <v>42470.86</v>
      </c>
      <c r="O445" s="25">
        <f t="shared" si="52"/>
        <v>127412.58</v>
      </c>
      <c r="P445" s="25">
        <v>25769.96</v>
      </c>
      <c r="Q445" s="25">
        <f t="shared" si="53"/>
        <v>77309.88</v>
      </c>
      <c r="R445" s="25">
        <f t="shared" si="54"/>
        <v>50102.7</v>
      </c>
      <c r="S445" s="26">
        <f t="shared" si="55"/>
        <v>0.3932319712857239</v>
      </c>
    </row>
    <row r="446" spans="1:19" ht="15" x14ac:dyDescent="0.2">
      <c r="A446" s="23">
        <v>45768</v>
      </c>
      <c r="B446">
        <f t="shared" si="48"/>
        <v>2025</v>
      </c>
      <c r="C446">
        <f t="shared" si="49"/>
        <v>4</v>
      </c>
      <c r="D446" t="str">
        <f t="shared" si="50"/>
        <v>Abril</v>
      </c>
      <c r="E446" t="str">
        <f t="shared" si="51"/>
        <v>T2</v>
      </c>
      <c r="F446" t="s">
        <v>569</v>
      </c>
      <c r="G446" t="s">
        <v>149</v>
      </c>
      <c r="H446" t="s">
        <v>93</v>
      </c>
      <c r="I446" t="s">
        <v>150</v>
      </c>
      <c r="J446" t="s">
        <v>125</v>
      </c>
      <c r="K446" t="s">
        <v>138</v>
      </c>
      <c r="L446" t="s">
        <v>142</v>
      </c>
      <c r="M446" s="24">
        <v>4</v>
      </c>
      <c r="N446" s="25">
        <v>46109.95</v>
      </c>
      <c r="O446" s="25">
        <f t="shared" si="52"/>
        <v>184439.8</v>
      </c>
      <c r="P446" s="25">
        <v>26487.17</v>
      </c>
      <c r="Q446" s="25">
        <f t="shared" si="53"/>
        <v>105948.68</v>
      </c>
      <c r="R446" s="25">
        <f t="shared" si="54"/>
        <v>78491.12</v>
      </c>
      <c r="S446" s="26">
        <f t="shared" si="55"/>
        <v>0.42556498109410223</v>
      </c>
    </row>
    <row r="447" spans="1:19" ht="15" x14ac:dyDescent="0.2">
      <c r="A447" s="23">
        <v>45769</v>
      </c>
      <c r="B447">
        <f t="shared" si="48"/>
        <v>2025</v>
      </c>
      <c r="C447">
        <f t="shared" si="49"/>
        <v>4</v>
      </c>
      <c r="D447" t="str">
        <f t="shared" si="50"/>
        <v>Abril</v>
      </c>
      <c r="E447" t="str">
        <f t="shared" si="51"/>
        <v>T2</v>
      </c>
      <c r="F447" t="s">
        <v>570</v>
      </c>
      <c r="G447" t="s">
        <v>54</v>
      </c>
      <c r="H447" t="s">
        <v>55</v>
      </c>
      <c r="I447" t="s">
        <v>56</v>
      </c>
      <c r="J447" t="s">
        <v>57</v>
      </c>
      <c r="K447" t="s">
        <v>58</v>
      </c>
      <c r="L447" t="s">
        <v>59</v>
      </c>
      <c r="M447" s="24">
        <v>4</v>
      </c>
      <c r="N447" s="25">
        <v>63009.440000000002</v>
      </c>
      <c r="O447" s="25">
        <f t="shared" si="52"/>
        <v>252037.76000000001</v>
      </c>
      <c r="P447" s="25">
        <v>45526.78</v>
      </c>
      <c r="Q447" s="25">
        <f t="shared" si="53"/>
        <v>182107.12</v>
      </c>
      <c r="R447" s="25">
        <f t="shared" si="54"/>
        <v>69930.640000000014</v>
      </c>
      <c r="S447" s="26">
        <f t="shared" si="55"/>
        <v>0.27746096457927577</v>
      </c>
    </row>
    <row r="448" spans="1:19" ht="15" x14ac:dyDescent="0.2">
      <c r="A448" s="23">
        <v>45769</v>
      </c>
      <c r="B448">
        <f t="shared" si="48"/>
        <v>2025</v>
      </c>
      <c r="C448">
        <f t="shared" si="49"/>
        <v>4</v>
      </c>
      <c r="D448" t="str">
        <f t="shared" si="50"/>
        <v>Abril</v>
      </c>
      <c r="E448" t="str">
        <f t="shared" si="51"/>
        <v>T2</v>
      </c>
      <c r="F448" t="s">
        <v>571</v>
      </c>
      <c r="G448" t="s">
        <v>74</v>
      </c>
      <c r="H448" t="s">
        <v>75</v>
      </c>
      <c r="I448" t="s">
        <v>76</v>
      </c>
      <c r="J448" t="s">
        <v>64</v>
      </c>
      <c r="K448" t="s">
        <v>65</v>
      </c>
      <c r="L448" t="s">
        <v>123</v>
      </c>
      <c r="M448" s="24">
        <v>27</v>
      </c>
      <c r="N448" s="25">
        <v>39343.15</v>
      </c>
      <c r="O448" s="25">
        <f t="shared" si="52"/>
        <v>1062265.05</v>
      </c>
      <c r="P448" s="25">
        <v>27496.400000000001</v>
      </c>
      <c r="Q448" s="25">
        <f t="shared" si="53"/>
        <v>742402.8</v>
      </c>
      <c r="R448" s="25">
        <f t="shared" si="54"/>
        <v>319862.25</v>
      </c>
      <c r="S448" s="26">
        <f t="shared" si="55"/>
        <v>0.30111340856032115</v>
      </c>
    </row>
    <row r="449" spans="1:19" ht="15" x14ac:dyDescent="0.2">
      <c r="A449" s="23">
        <v>45770</v>
      </c>
      <c r="B449">
        <f t="shared" si="48"/>
        <v>2025</v>
      </c>
      <c r="C449">
        <f t="shared" si="49"/>
        <v>4</v>
      </c>
      <c r="D449" t="str">
        <f t="shared" si="50"/>
        <v>Abril</v>
      </c>
      <c r="E449" t="str">
        <f t="shared" si="51"/>
        <v>T2</v>
      </c>
      <c r="F449" t="s">
        <v>572</v>
      </c>
      <c r="G449" t="s">
        <v>68</v>
      </c>
      <c r="H449" t="s">
        <v>62</v>
      </c>
      <c r="I449" t="s">
        <v>69</v>
      </c>
      <c r="J449" t="s">
        <v>77</v>
      </c>
      <c r="K449" t="s">
        <v>78</v>
      </c>
      <c r="L449" t="s">
        <v>117</v>
      </c>
      <c r="M449" s="24">
        <v>75</v>
      </c>
      <c r="N449" s="25">
        <v>3239.94</v>
      </c>
      <c r="O449" s="25">
        <f t="shared" si="52"/>
        <v>242995.5</v>
      </c>
      <c r="P449" s="25">
        <v>2598.15</v>
      </c>
      <c r="Q449" s="25">
        <f t="shared" si="53"/>
        <v>194861.25</v>
      </c>
      <c r="R449" s="25">
        <f t="shared" si="54"/>
        <v>48134.25</v>
      </c>
      <c r="S449" s="26">
        <f t="shared" si="55"/>
        <v>0.19808700161114096</v>
      </c>
    </row>
    <row r="450" spans="1:19" ht="15" x14ac:dyDescent="0.2">
      <c r="A450" s="23">
        <v>45771</v>
      </c>
      <c r="B450">
        <f t="shared" ref="B450:B513" si="56">YEAR($A450)</f>
        <v>2025</v>
      </c>
      <c r="C450">
        <f t="shared" ref="C450:C513" si="57">MONTH($A450)</f>
        <v>4</v>
      </c>
      <c r="D450" t="str">
        <f t="shared" ref="D450:D513" si="58">INDEX(lst_Meses,MONTH($A450))</f>
        <v>Abril</v>
      </c>
      <c r="E450" t="str">
        <f t="shared" ref="E450:E513" si="59">"T"&amp;ROUNDUP(MONTH($A450)/3,0)</f>
        <v>T2</v>
      </c>
      <c r="F450" t="s">
        <v>573</v>
      </c>
      <c r="G450" t="s">
        <v>114</v>
      </c>
      <c r="H450" t="s">
        <v>75</v>
      </c>
      <c r="I450" t="s">
        <v>115</v>
      </c>
      <c r="J450" t="s">
        <v>125</v>
      </c>
      <c r="K450" t="s">
        <v>138</v>
      </c>
      <c r="L450" t="s">
        <v>142</v>
      </c>
      <c r="M450" s="24">
        <v>4</v>
      </c>
      <c r="N450" s="25">
        <v>107009.42</v>
      </c>
      <c r="O450" s="25">
        <f t="shared" ref="O450:O513" si="60">$M450*$N450</f>
        <v>428037.68</v>
      </c>
      <c r="P450" s="25">
        <v>70738.55</v>
      </c>
      <c r="Q450" s="25">
        <f t="shared" ref="Q450:Q513" si="61">$M450*$P450</f>
        <v>282954.2</v>
      </c>
      <c r="R450" s="25">
        <f t="shared" ref="R450:R513" si="62">$O450-$Q450</f>
        <v>145083.47999999998</v>
      </c>
      <c r="S450" s="26">
        <f t="shared" ref="S450:S513" si="63">IFERROR($R450/$O450,0)</f>
        <v>0.3389502531646279</v>
      </c>
    </row>
    <row r="451" spans="1:19" ht="15" x14ac:dyDescent="0.2">
      <c r="A451" s="23">
        <v>45771</v>
      </c>
      <c r="B451">
        <f t="shared" si="56"/>
        <v>2025</v>
      </c>
      <c r="C451">
        <f t="shared" si="57"/>
        <v>4</v>
      </c>
      <c r="D451" t="str">
        <f t="shared" si="58"/>
        <v>Abril</v>
      </c>
      <c r="E451" t="str">
        <f t="shared" si="59"/>
        <v>T2</v>
      </c>
      <c r="F451" t="s">
        <v>574</v>
      </c>
      <c r="G451" t="s">
        <v>144</v>
      </c>
      <c r="H451" t="s">
        <v>88</v>
      </c>
      <c r="I451" t="s">
        <v>145</v>
      </c>
      <c r="J451" t="s">
        <v>125</v>
      </c>
      <c r="K451" t="s">
        <v>126</v>
      </c>
      <c r="L451" t="s">
        <v>131</v>
      </c>
      <c r="M451" s="24">
        <v>12</v>
      </c>
      <c r="N451" s="25">
        <v>13413.33</v>
      </c>
      <c r="O451" s="25">
        <f t="shared" si="60"/>
        <v>160959.96</v>
      </c>
      <c r="P451" s="25">
        <v>7201.13</v>
      </c>
      <c r="Q451" s="25">
        <f t="shared" si="61"/>
        <v>86413.56</v>
      </c>
      <c r="R451" s="25">
        <f t="shared" si="62"/>
        <v>74546.399999999994</v>
      </c>
      <c r="S451" s="26">
        <f t="shared" si="63"/>
        <v>0.4631362979960979</v>
      </c>
    </row>
    <row r="452" spans="1:19" ht="15" x14ac:dyDescent="0.2">
      <c r="A452" s="23">
        <v>45771</v>
      </c>
      <c r="B452">
        <f t="shared" si="56"/>
        <v>2025</v>
      </c>
      <c r="C452">
        <f t="shared" si="57"/>
        <v>4</v>
      </c>
      <c r="D452" t="str">
        <f t="shared" si="58"/>
        <v>Abril</v>
      </c>
      <c r="E452" t="str">
        <f t="shared" si="59"/>
        <v>T2</v>
      </c>
      <c r="F452" t="s">
        <v>575</v>
      </c>
      <c r="G452" t="s">
        <v>92</v>
      </c>
      <c r="H452" t="s">
        <v>93</v>
      </c>
      <c r="I452" t="s">
        <v>94</v>
      </c>
      <c r="J452" t="s">
        <v>77</v>
      </c>
      <c r="K452" t="s">
        <v>78</v>
      </c>
      <c r="L452" t="s">
        <v>117</v>
      </c>
      <c r="M452" s="24">
        <v>7</v>
      </c>
      <c r="N452" s="25">
        <v>20412.150000000001</v>
      </c>
      <c r="O452" s="25">
        <f t="shared" si="60"/>
        <v>142885.05000000002</v>
      </c>
      <c r="P452" s="25">
        <v>11448.12</v>
      </c>
      <c r="Q452" s="25">
        <f t="shared" si="61"/>
        <v>80136.840000000011</v>
      </c>
      <c r="R452" s="25">
        <f t="shared" si="62"/>
        <v>62748.210000000006</v>
      </c>
      <c r="S452" s="26">
        <f t="shared" si="63"/>
        <v>0.43915168171897617</v>
      </c>
    </row>
    <row r="453" spans="1:19" ht="15" x14ac:dyDescent="0.2">
      <c r="A453" s="23">
        <v>45772</v>
      </c>
      <c r="B453">
        <f t="shared" si="56"/>
        <v>2025</v>
      </c>
      <c r="C453">
        <f t="shared" si="57"/>
        <v>4</v>
      </c>
      <c r="D453" t="str">
        <f t="shared" si="58"/>
        <v>Abril</v>
      </c>
      <c r="E453" t="str">
        <f t="shared" si="59"/>
        <v>T2</v>
      </c>
      <c r="F453" t="s">
        <v>576</v>
      </c>
      <c r="G453" t="s">
        <v>54</v>
      </c>
      <c r="H453" t="s">
        <v>55</v>
      </c>
      <c r="I453" t="s">
        <v>56</v>
      </c>
      <c r="J453" t="s">
        <v>57</v>
      </c>
      <c r="K453" t="s">
        <v>58</v>
      </c>
      <c r="L453" t="s">
        <v>59</v>
      </c>
      <c r="M453" s="24">
        <v>10</v>
      </c>
      <c r="N453" s="25">
        <v>57655.48</v>
      </c>
      <c r="O453" s="25">
        <f t="shared" si="60"/>
        <v>576554.80000000005</v>
      </c>
      <c r="P453" s="25">
        <v>41417.050000000003</v>
      </c>
      <c r="Q453" s="25">
        <f t="shared" si="61"/>
        <v>414170.5</v>
      </c>
      <c r="R453" s="25">
        <f t="shared" si="62"/>
        <v>162384.30000000005</v>
      </c>
      <c r="S453" s="26">
        <f t="shared" si="63"/>
        <v>0.28164590772637749</v>
      </c>
    </row>
    <row r="454" spans="1:19" ht="15" x14ac:dyDescent="0.2">
      <c r="A454" s="23">
        <v>45772</v>
      </c>
      <c r="B454">
        <f t="shared" si="56"/>
        <v>2025</v>
      </c>
      <c r="C454">
        <f t="shared" si="57"/>
        <v>4</v>
      </c>
      <c r="D454" t="str">
        <f t="shared" si="58"/>
        <v>Abril</v>
      </c>
      <c r="E454" t="str">
        <f t="shared" si="59"/>
        <v>T2</v>
      </c>
      <c r="F454" t="s">
        <v>577</v>
      </c>
      <c r="G454" t="s">
        <v>74</v>
      </c>
      <c r="H454" t="s">
        <v>75</v>
      </c>
      <c r="I454" t="s">
        <v>76</v>
      </c>
      <c r="J454" t="s">
        <v>77</v>
      </c>
      <c r="K454" t="s">
        <v>107</v>
      </c>
      <c r="L454" t="s">
        <v>112</v>
      </c>
      <c r="M454" s="24">
        <v>17</v>
      </c>
      <c r="N454" s="25">
        <v>43434.63</v>
      </c>
      <c r="O454" s="25">
        <f t="shared" si="60"/>
        <v>738388.71</v>
      </c>
      <c r="P454" s="25">
        <v>27422.21</v>
      </c>
      <c r="Q454" s="25">
        <f t="shared" si="61"/>
        <v>466177.57</v>
      </c>
      <c r="R454" s="25">
        <f t="shared" si="62"/>
        <v>272211.13999999996</v>
      </c>
      <c r="S454" s="26">
        <f t="shared" si="63"/>
        <v>0.36865560959078042</v>
      </c>
    </row>
    <row r="455" spans="1:19" ht="15" x14ac:dyDescent="0.2">
      <c r="A455" s="23">
        <v>45772</v>
      </c>
      <c r="B455">
        <f t="shared" si="56"/>
        <v>2025</v>
      </c>
      <c r="C455">
        <f t="shared" si="57"/>
        <v>4</v>
      </c>
      <c r="D455" t="str">
        <f t="shared" si="58"/>
        <v>Abril</v>
      </c>
      <c r="E455" t="str">
        <f t="shared" si="59"/>
        <v>T2</v>
      </c>
      <c r="F455" t="s">
        <v>578</v>
      </c>
      <c r="G455" t="s">
        <v>144</v>
      </c>
      <c r="H455" t="s">
        <v>88</v>
      </c>
      <c r="I455" t="s">
        <v>145</v>
      </c>
      <c r="J455" t="s">
        <v>125</v>
      </c>
      <c r="K455" t="s">
        <v>138</v>
      </c>
      <c r="L455" t="s">
        <v>142</v>
      </c>
      <c r="M455" s="24">
        <v>13</v>
      </c>
      <c r="N455" s="25">
        <v>12853.05</v>
      </c>
      <c r="O455" s="25">
        <f t="shared" si="60"/>
        <v>167089.65</v>
      </c>
      <c r="P455" s="25">
        <v>6927.3</v>
      </c>
      <c r="Q455" s="25">
        <f t="shared" si="61"/>
        <v>90054.900000000009</v>
      </c>
      <c r="R455" s="25">
        <f t="shared" si="62"/>
        <v>77034.749999999985</v>
      </c>
      <c r="S455" s="26">
        <f t="shared" si="63"/>
        <v>0.46103843056706378</v>
      </c>
    </row>
    <row r="456" spans="1:19" ht="15" x14ac:dyDescent="0.2">
      <c r="A456" s="23">
        <v>45773</v>
      </c>
      <c r="B456">
        <f t="shared" si="56"/>
        <v>2025</v>
      </c>
      <c r="C456">
        <f t="shared" si="57"/>
        <v>4</v>
      </c>
      <c r="D456" t="str">
        <f t="shared" si="58"/>
        <v>Abril</v>
      </c>
      <c r="E456" t="str">
        <f t="shared" si="59"/>
        <v>T2</v>
      </c>
      <c r="F456" t="s">
        <v>579</v>
      </c>
      <c r="G456" t="s">
        <v>61</v>
      </c>
      <c r="H456" t="s">
        <v>62</v>
      </c>
      <c r="I456" t="s">
        <v>63</v>
      </c>
      <c r="J456" t="s">
        <v>64</v>
      </c>
      <c r="K456" t="s">
        <v>96</v>
      </c>
      <c r="L456" t="s">
        <v>103</v>
      </c>
      <c r="M456" s="24">
        <v>109</v>
      </c>
      <c r="N456" s="25">
        <v>5765.17</v>
      </c>
      <c r="O456" s="25">
        <f t="shared" si="60"/>
        <v>628403.53</v>
      </c>
      <c r="P456" s="25">
        <v>4814.8</v>
      </c>
      <c r="Q456" s="25">
        <f t="shared" si="61"/>
        <v>524813.20000000007</v>
      </c>
      <c r="R456" s="25">
        <f t="shared" si="62"/>
        <v>103590.32999999996</v>
      </c>
      <c r="S456" s="26">
        <f t="shared" si="63"/>
        <v>0.16484683018887553</v>
      </c>
    </row>
    <row r="457" spans="1:19" ht="15" x14ac:dyDescent="0.2">
      <c r="A457" s="23">
        <v>45773</v>
      </c>
      <c r="B457">
        <f t="shared" si="56"/>
        <v>2025</v>
      </c>
      <c r="C457">
        <f t="shared" si="57"/>
        <v>4</v>
      </c>
      <c r="D457" t="str">
        <f t="shared" si="58"/>
        <v>Abril</v>
      </c>
      <c r="E457" t="str">
        <f t="shared" si="59"/>
        <v>T2</v>
      </c>
      <c r="F457" t="s">
        <v>580</v>
      </c>
      <c r="G457" t="s">
        <v>74</v>
      </c>
      <c r="H457" t="s">
        <v>75</v>
      </c>
      <c r="I457" t="s">
        <v>76</v>
      </c>
      <c r="J457" t="s">
        <v>57</v>
      </c>
      <c r="K457" t="s">
        <v>58</v>
      </c>
      <c r="L457" t="s">
        <v>59</v>
      </c>
      <c r="M457" s="24">
        <v>4</v>
      </c>
      <c r="N457" s="25">
        <v>41488.94</v>
      </c>
      <c r="O457" s="25">
        <f t="shared" si="60"/>
        <v>165955.76</v>
      </c>
      <c r="P457" s="25">
        <v>27949.02</v>
      </c>
      <c r="Q457" s="25">
        <f t="shared" si="61"/>
        <v>111796.08</v>
      </c>
      <c r="R457" s="25">
        <f t="shared" si="62"/>
        <v>54159.680000000008</v>
      </c>
      <c r="S457" s="26">
        <f t="shared" si="63"/>
        <v>0.32635010679954707</v>
      </c>
    </row>
    <row r="458" spans="1:19" ht="15" x14ac:dyDescent="0.2">
      <c r="A458" s="23">
        <v>45774</v>
      </c>
      <c r="B458">
        <f t="shared" si="56"/>
        <v>2025</v>
      </c>
      <c r="C458">
        <f t="shared" si="57"/>
        <v>4</v>
      </c>
      <c r="D458" t="str">
        <f t="shared" si="58"/>
        <v>Abril</v>
      </c>
      <c r="E458" t="str">
        <f t="shared" si="59"/>
        <v>T2</v>
      </c>
      <c r="F458" t="s">
        <v>581</v>
      </c>
      <c r="G458" t="s">
        <v>114</v>
      </c>
      <c r="H458" t="s">
        <v>75</v>
      </c>
      <c r="I458" t="s">
        <v>115</v>
      </c>
      <c r="J458" t="s">
        <v>77</v>
      </c>
      <c r="K458" t="s">
        <v>107</v>
      </c>
      <c r="L458" t="s">
        <v>108</v>
      </c>
      <c r="M458" s="24">
        <v>3</v>
      </c>
      <c r="N458" s="25">
        <v>112022.12</v>
      </c>
      <c r="O458" s="25">
        <f t="shared" si="60"/>
        <v>336066.36</v>
      </c>
      <c r="P458" s="25">
        <v>70038.94</v>
      </c>
      <c r="Q458" s="25">
        <f t="shared" si="61"/>
        <v>210116.82</v>
      </c>
      <c r="R458" s="25">
        <f t="shared" si="62"/>
        <v>125949.53999999998</v>
      </c>
      <c r="S458" s="26">
        <f t="shared" si="63"/>
        <v>0.37477580320743792</v>
      </c>
    </row>
    <row r="459" spans="1:19" ht="15" x14ac:dyDescent="0.2">
      <c r="A459" s="23">
        <v>45774</v>
      </c>
      <c r="B459">
        <f t="shared" si="56"/>
        <v>2025</v>
      </c>
      <c r="C459">
        <f t="shared" si="57"/>
        <v>4</v>
      </c>
      <c r="D459" t="str">
        <f t="shared" si="58"/>
        <v>Abril</v>
      </c>
      <c r="E459" t="str">
        <f t="shared" si="59"/>
        <v>T2</v>
      </c>
      <c r="F459" t="s">
        <v>582</v>
      </c>
      <c r="G459" t="s">
        <v>74</v>
      </c>
      <c r="H459" t="s">
        <v>75</v>
      </c>
      <c r="I459" t="s">
        <v>76</v>
      </c>
      <c r="J459" t="s">
        <v>70</v>
      </c>
      <c r="K459" t="s">
        <v>84</v>
      </c>
      <c r="L459" t="s">
        <v>147</v>
      </c>
      <c r="M459" s="24">
        <v>6</v>
      </c>
      <c r="N459" s="25">
        <v>40467.17</v>
      </c>
      <c r="O459" s="25">
        <f t="shared" si="60"/>
        <v>242803.02</v>
      </c>
      <c r="P459" s="25">
        <v>28351.99</v>
      </c>
      <c r="Q459" s="25">
        <f t="shared" si="61"/>
        <v>170111.94</v>
      </c>
      <c r="R459" s="25">
        <f t="shared" si="62"/>
        <v>72691.079999999987</v>
      </c>
      <c r="S459" s="26">
        <f t="shared" si="63"/>
        <v>0.29938293189269222</v>
      </c>
    </row>
    <row r="460" spans="1:19" ht="15" x14ac:dyDescent="0.2">
      <c r="A460" s="23">
        <v>45774</v>
      </c>
      <c r="B460">
        <f t="shared" si="56"/>
        <v>2025</v>
      </c>
      <c r="C460">
        <f t="shared" si="57"/>
        <v>4</v>
      </c>
      <c r="D460" t="str">
        <f t="shared" si="58"/>
        <v>Abril</v>
      </c>
      <c r="E460" t="str">
        <f t="shared" si="59"/>
        <v>T2</v>
      </c>
      <c r="F460" t="s">
        <v>583</v>
      </c>
      <c r="G460" t="s">
        <v>74</v>
      </c>
      <c r="H460" t="s">
        <v>75</v>
      </c>
      <c r="I460" t="s">
        <v>76</v>
      </c>
      <c r="J460" t="s">
        <v>70</v>
      </c>
      <c r="K460" t="s">
        <v>71</v>
      </c>
      <c r="L460" t="s">
        <v>72</v>
      </c>
      <c r="M460" s="24">
        <v>4</v>
      </c>
      <c r="N460" s="25">
        <v>39538.660000000003</v>
      </c>
      <c r="O460" s="25">
        <f t="shared" si="60"/>
        <v>158154.64000000001</v>
      </c>
      <c r="P460" s="25">
        <v>28740.59</v>
      </c>
      <c r="Q460" s="25">
        <f t="shared" si="61"/>
        <v>114962.36</v>
      </c>
      <c r="R460" s="25">
        <f t="shared" si="62"/>
        <v>43192.280000000013</v>
      </c>
      <c r="S460" s="26">
        <f t="shared" si="63"/>
        <v>0.27310156692209603</v>
      </c>
    </row>
    <row r="461" spans="1:19" ht="15" x14ac:dyDescent="0.2">
      <c r="A461" s="23">
        <v>45774</v>
      </c>
      <c r="B461">
        <f t="shared" si="56"/>
        <v>2025</v>
      </c>
      <c r="C461">
        <f t="shared" si="57"/>
        <v>4</v>
      </c>
      <c r="D461" t="str">
        <f t="shared" si="58"/>
        <v>Abril</v>
      </c>
      <c r="E461" t="str">
        <f t="shared" si="59"/>
        <v>T2</v>
      </c>
      <c r="F461" t="s">
        <v>584</v>
      </c>
      <c r="G461" t="s">
        <v>92</v>
      </c>
      <c r="H461" t="s">
        <v>93</v>
      </c>
      <c r="I461" t="s">
        <v>94</v>
      </c>
      <c r="J461" t="s">
        <v>64</v>
      </c>
      <c r="K461" t="s">
        <v>65</v>
      </c>
      <c r="L461" t="s">
        <v>123</v>
      </c>
      <c r="M461" s="24">
        <v>21</v>
      </c>
      <c r="N461" s="25">
        <v>20597.509999999998</v>
      </c>
      <c r="O461" s="25">
        <f t="shared" si="60"/>
        <v>432547.70999999996</v>
      </c>
      <c r="P461" s="25">
        <v>12284.94</v>
      </c>
      <c r="Q461" s="25">
        <f t="shared" si="61"/>
        <v>257983.74000000002</v>
      </c>
      <c r="R461" s="25">
        <f t="shared" si="62"/>
        <v>174563.96999999994</v>
      </c>
      <c r="S461" s="26">
        <f t="shared" si="63"/>
        <v>0.4035715967609676</v>
      </c>
    </row>
    <row r="462" spans="1:19" ht="15" x14ac:dyDescent="0.2">
      <c r="A462" s="23">
        <v>45775</v>
      </c>
      <c r="B462">
        <f t="shared" si="56"/>
        <v>2025</v>
      </c>
      <c r="C462">
        <f t="shared" si="57"/>
        <v>4</v>
      </c>
      <c r="D462" t="str">
        <f t="shared" si="58"/>
        <v>Abril</v>
      </c>
      <c r="E462" t="str">
        <f t="shared" si="59"/>
        <v>T2</v>
      </c>
      <c r="F462" t="s">
        <v>585</v>
      </c>
      <c r="G462" t="s">
        <v>282</v>
      </c>
      <c r="H462" t="s">
        <v>55</v>
      </c>
      <c r="I462" t="s">
        <v>56</v>
      </c>
      <c r="J462" t="s">
        <v>64</v>
      </c>
      <c r="K462" t="s">
        <v>96</v>
      </c>
      <c r="L462" t="s">
        <v>97</v>
      </c>
      <c r="M462" s="24">
        <v>3</v>
      </c>
      <c r="N462" s="25">
        <v>561794.78</v>
      </c>
      <c r="O462" s="25">
        <f t="shared" si="60"/>
        <v>1685384.34</v>
      </c>
      <c r="P462" s="25">
        <v>415501.25</v>
      </c>
      <c r="Q462" s="25">
        <f t="shared" si="61"/>
        <v>1246503.75</v>
      </c>
      <c r="R462" s="25">
        <f t="shared" si="62"/>
        <v>438880.59000000008</v>
      </c>
      <c r="S462" s="26">
        <f t="shared" si="63"/>
        <v>0.26040386135307275</v>
      </c>
    </row>
    <row r="463" spans="1:19" ht="15" x14ac:dyDescent="0.2">
      <c r="A463" s="23">
        <v>45775</v>
      </c>
      <c r="B463">
        <f t="shared" si="56"/>
        <v>2025</v>
      </c>
      <c r="C463">
        <f t="shared" si="57"/>
        <v>4</v>
      </c>
      <c r="D463" t="str">
        <f t="shared" si="58"/>
        <v>Abril</v>
      </c>
      <c r="E463" t="str">
        <f t="shared" si="59"/>
        <v>T2</v>
      </c>
      <c r="F463" t="s">
        <v>586</v>
      </c>
      <c r="G463" t="s">
        <v>68</v>
      </c>
      <c r="H463" t="s">
        <v>62</v>
      </c>
      <c r="I463" t="s">
        <v>69</v>
      </c>
      <c r="J463" t="s">
        <v>64</v>
      </c>
      <c r="K463" t="s">
        <v>96</v>
      </c>
      <c r="L463" t="s">
        <v>97</v>
      </c>
      <c r="M463" s="24">
        <v>428</v>
      </c>
      <c r="N463" s="25">
        <v>3082.99</v>
      </c>
      <c r="O463" s="25">
        <f t="shared" si="60"/>
        <v>1319519.72</v>
      </c>
      <c r="P463" s="25">
        <v>2597.0700000000002</v>
      </c>
      <c r="Q463" s="25">
        <f t="shared" si="61"/>
        <v>1111545.96</v>
      </c>
      <c r="R463" s="25">
        <f t="shared" si="62"/>
        <v>207973.76000000001</v>
      </c>
      <c r="S463" s="26">
        <f t="shared" si="63"/>
        <v>0.15761322612139514</v>
      </c>
    </row>
    <row r="464" spans="1:19" ht="15" x14ac:dyDescent="0.2">
      <c r="A464" s="23">
        <v>45775</v>
      </c>
      <c r="B464">
        <f t="shared" si="56"/>
        <v>2025</v>
      </c>
      <c r="C464">
        <f t="shared" si="57"/>
        <v>4</v>
      </c>
      <c r="D464" t="str">
        <f t="shared" si="58"/>
        <v>Abril</v>
      </c>
      <c r="E464" t="str">
        <f t="shared" si="59"/>
        <v>T2</v>
      </c>
      <c r="F464" t="s">
        <v>587</v>
      </c>
      <c r="G464" t="s">
        <v>105</v>
      </c>
      <c r="H464" t="s">
        <v>62</v>
      </c>
      <c r="I464" t="s">
        <v>106</v>
      </c>
      <c r="J464" t="s">
        <v>57</v>
      </c>
      <c r="K464" t="s">
        <v>58</v>
      </c>
      <c r="L464" t="s">
        <v>59</v>
      </c>
      <c r="M464" s="24">
        <v>74</v>
      </c>
      <c r="N464" s="25">
        <v>1827.95</v>
      </c>
      <c r="O464" s="25">
        <f t="shared" si="60"/>
        <v>135268.30000000002</v>
      </c>
      <c r="P464" s="25">
        <v>1499.32</v>
      </c>
      <c r="Q464" s="25">
        <f t="shared" si="61"/>
        <v>110949.68</v>
      </c>
      <c r="R464" s="25">
        <f t="shared" si="62"/>
        <v>24318.620000000024</v>
      </c>
      <c r="S464" s="26">
        <f t="shared" si="63"/>
        <v>0.17978062857299176</v>
      </c>
    </row>
    <row r="465" spans="1:19" ht="15" x14ac:dyDescent="0.2">
      <c r="A465" s="23">
        <v>45775</v>
      </c>
      <c r="B465">
        <f t="shared" si="56"/>
        <v>2025</v>
      </c>
      <c r="C465">
        <f t="shared" si="57"/>
        <v>4</v>
      </c>
      <c r="D465" t="str">
        <f t="shared" si="58"/>
        <v>Abril</v>
      </c>
      <c r="E465" t="str">
        <f t="shared" si="59"/>
        <v>T2</v>
      </c>
      <c r="F465" t="s">
        <v>588</v>
      </c>
      <c r="G465" t="s">
        <v>68</v>
      </c>
      <c r="H465" t="s">
        <v>62</v>
      </c>
      <c r="I465" t="s">
        <v>69</v>
      </c>
      <c r="J465" t="s">
        <v>70</v>
      </c>
      <c r="K465" t="s">
        <v>84</v>
      </c>
      <c r="L465" t="s">
        <v>147</v>
      </c>
      <c r="M465" s="24">
        <v>112</v>
      </c>
      <c r="N465" s="25">
        <v>3034.27</v>
      </c>
      <c r="O465" s="25">
        <f t="shared" si="60"/>
        <v>339838.24</v>
      </c>
      <c r="P465" s="25">
        <v>2592.44</v>
      </c>
      <c r="Q465" s="25">
        <f t="shared" si="61"/>
        <v>290353.28000000003</v>
      </c>
      <c r="R465" s="25">
        <f t="shared" si="62"/>
        <v>49484.959999999963</v>
      </c>
      <c r="S465" s="26">
        <f t="shared" si="63"/>
        <v>0.14561327765821752</v>
      </c>
    </row>
    <row r="466" spans="1:19" ht="15" x14ac:dyDescent="0.2">
      <c r="A466" s="23">
        <v>45775</v>
      </c>
      <c r="B466">
        <f t="shared" si="56"/>
        <v>2025</v>
      </c>
      <c r="C466">
        <f t="shared" si="57"/>
        <v>4</v>
      </c>
      <c r="D466" t="str">
        <f t="shared" si="58"/>
        <v>Abril</v>
      </c>
      <c r="E466" t="str">
        <f t="shared" si="59"/>
        <v>T2</v>
      </c>
      <c r="F466" t="s">
        <v>589</v>
      </c>
      <c r="G466" t="s">
        <v>114</v>
      </c>
      <c r="H466" t="s">
        <v>75</v>
      </c>
      <c r="I466" t="s">
        <v>115</v>
      </c>
      <c r="J466" t="s">
        <v>64</v>
      </c>
      <c r="K466" t="s">
        <v>65</v>
      </c>
      <c r="L466" t="s">
        <v>123</v>
      </c>
      <c r="M466" s="24">
        <v>7</v>
      </c>
      <c r="N466" s="25">
        <v>100543.7</v>
      </c>
      <c r="O466" s="25">
        <f t="shared" si="60"/>
        <v>703805.9</v>
      </c>
      <c r="P466" s="25">
        <v>68689.75</v>
      </c>
      <c r="Q466" s="25">
        <f t="shared" si="61"/>
        <v>480828.25</v>
      </c>
      <c r="R466" s="25">
        <f t="shared" si="62"/>
        <v>222977.65000000002</v>
      </c>
      <c r="S466" s="26">
        <f t="shared" si="63"/>
        <v>0.3168169661550152</v>
      </c>
    </row>
    <row r="467" spans="1:19" ht="15" x14ac:dyDescent="0.2">
      <c r="A467" s="23">
        <v>45775</v>
      </c>
      <c r="B467">
        <f t="shared" si="56"/>
        <v>2025</v>
      </c>
      <c r="C467">
        <f t="shared" si="57"/>
        <v>4</v>
      </c>
      <c r="D467" t="str">
        <f t="shared" si="58"/>
        <v>Abril</v>
      </c>
      <c r="E467" t="str">
        <f t="shared" si="59"/>
        <v>T2</v>
      </c>
      <c r="F467" t="s">
        <v>590</v>
      </c>
      <c r="G467" t="s">
        <v>121</v>
      </c>
      <c r="H467" t="s">
        <v>75</v>
      </c>
      <c r="I467" t="s">
        <v>122</v>
      </c>
      <c r="J467" t="s">
        <v>64</v>
      </c>
      <c r="K467" t="s">
        <v>96</v>
      </c>
      <c r="L467" t="s">
        <v>97</v>
      </c>
      <c r="M467" s="24">
        <v>2</v>
      </c>
      <c r="N467" s="25">
        <v>479885.51</v>
      </c>
      <c r="O467" s="25">
        <f t="shared" si="60"/>
        <v>959771.02</v>
      </c>
      <c r="P467" s="25">
        <v>338194.88</v>
      </c>
      <c r="Q467" s="25">
        <f t="shared" si="61"/>
        <v>676389.76</v>
      </c>
      <c r="R467" s="25">
        <f t="shared" si="62"/>
        <v>283381.26</v>
      </c>
      <c r="S467" s="26">
        <f t="shared" si="63"/>
        <v>0.29525923797949222</v>
      </c>
    </row>
    <row r="468" spans="1:19" ht="15" x14ac:dyDescent="0.2">
      <c r="A468" s="23">
        <v>45775</v>
      </c>
      <c r="B468">
        <f t="shared" si="56"/>
        <v>2025</v>
      </c>
      <c r="C468">
        <f t="shared" si="57"/>
        <v>4</v>
      </c>
      <c r="D468" t="str">
        <f t="shared" si="58"/>
        <v>Abril</v>
      </c>
      <c r="E468" t="str">
        <f t="shared" si="59"/>
        <v>T2</v>
      </c>
      <c r="F468" t="s">
        <v>591</v>
      </c>
      <c r="G468" t="s">
        <v>114</v>
      </c>
      <c r="H468" t="s">
        <v>75</v>
      </c>
      <c r="I468" t="s">
        <v>115</v>
      </c>
      <c r="J468" t="s">
        <v>125</v>
      </c>
      <c r="K468" t="s">
        <v>126</v>
      </c>
      <c r="L468" t="s">
        <v>131</v>
      </c>
      <c r="M468" s="24">
        <v>2</v>
      </c>
      <c r="N468" s="25">
        <v>110347.02</v>
      </c>
      <c r="O468" s="25">
        <f t="shared" si="60"/>
        <v>220694.04</v>
      </c>
      <c r="P468" s="25">
        <v>75437.509999999995</v>
      </c>
      <c r="Q468" s="25">
        <f t="shared" si="61"/>
        <v>150875.01999999999</v>
      </c>
      <c r="R468" s="25">
        <f t="shared" si="62"/>
        <v>69819.020000000019</v>
      </c>
      <c r="S468" s="26">
        <f t="shared" si="63"/>
        <v>0.31636114867442733</v>
      </c>
    </row>
    <row r="469" spans="1:19" ht="15" x14ac:dyDescent="0.2">
      <c r="A469" s="23">
        <v>45775</v>
      </c>
      <c r="B469">
        <f t="shared" si="56"/>
        <v>2025</v>
      </c>
      <c r="C469">
        <f t="shared" si="57"/>
        <v>4</v>
      </c>
      <c r="D469" t="str">
        <f t="shared" si="58"/>
        <v>Abril</v>
      </c>
      <c r="E469" t="str">
        <f t="shared" si="59"/>
        <v>T2</v>
      </c>
      <c r="F469" t="s">
        <v>592</v>
      </c>
      <c r="G469" t="s">
        <v>206</v>
      </c>
      <c r="H469" t="s">
        <v>93</v>
      </c>
      <c r="I469" t="s">
        <v>207</v>
      </c>
      <c r="J469" t="s">
        <v>64</v>
      </c>
      <c r="K469" t="s">
        <v>96</v>
      </c>
      <c r="L469" t="s">
        <v>97</v>
      </c>
      <c r="M469" s="24">
        <v>3</v>
      </c>
      <c r="N469" s="25">
        <v>100545.60000000001</v>
      </c>
      <c r="O469" s="25">
        <f t="shared" si="60"/>
        <v>301636.80000000005</v>
      </c>
      <c r="P469" s="25">
        <v>62257.38</v>
      </c>
      <c r="Q469" s="25">
        <f t="shared" si="61"/>
        <v>186772.13999999998</v>
      </c>
      <c r="R469" s="25">
        <f t="shared" si="62"/>
        <v>114864.66000000006</v>
      </c>
      <c r="S469" s="26">
        <f t="shared" si="63"/>
        <v>0.38080453048169205</v>
      </c>
    </row>
    <row r="470" spans="1:19" ht="15" x14ac:dyDescent="0.2">
      <c r="A470" s="23">
        <v>45775</v>
      </c>
      <c r="B470">
        <f t="shared" si="56"/>
        <v>2025</v>
      </c>
      <c r="C470">
        <f t="shared" si="57"/>
        <v>4</v>
      </c>
      <c r="D470" t="str">
        <f t="shared" si="58"/>
        <v>Abril</v>
      </c>
      <c r="E470" t="str">
        <f t="shared" si="59"/>
        <v>T2</v>
      </c>
      <c r="F470" t="s">
        <v>593</v>
      </c>
      <c r="G470" t="s">
        <v>92</v>
      </c>
      <c r="H470" t="s">
        <v>93</v>
      </c>
      <c r="I470" t="s">
        <v>94</v>
      </c>
      <c r="J470" t="s">
        <v>77</v>
      </c>
      <c r="K470" t="s">
        <v>107</v>
      </c>
      <c r="L470" t="s">
        <v>112</v>
      </c>
      <c r="M470" s="24">
        <v>9</v>
      </c>
      <c r="N470" s="25">
        <v>23232.68</v>
      </c>
      <c r="O470" s="25">
        <f t="shared" si="60"/>
        <v>209094.12</v>
      </c>
      <c r="P470" s="25">
        <v>12601.65</v>
      </c>
      <c r="Q470" s="25">
        <f t="shared" si="61"/>
        <v>113414.84999999999</v>
      </c>
      <c r="R470" s="25">
        <f t="shared" si="62"/>
        <v>95679.27</v>
      </c>
      <c r="S470" s="26">
        <f t="shared" si="63"/>
        <v>0.45758948171282871</v>
      </c>
    </row>
    <row r="471" spans="1:19" ht="15" x14ac:dyDescent="0.2">
      <c r="A471" s="23">
        <v>45775</v>
      </c>
      <c r="B471">
        <f t="shared" si="56"/>
        <v>2025</v>
      </c>
      <c r="C471">
        <f t="shared" si="57"/>
        <v>4</v>
      </c>
      <c r="D471" t="str">
        <f t="shared" si="58"/>
        <v>Abril</v>
      </c>
      <c r="E471" t="str">
        <f t="shared" si="59"/>
        <v>T2</v>
      </c>
      <c r="F471" t="s">
        <v>594</v>
      </c>
      <c r="G471" t="s">
        <v>92</v>
      </c>
      <c r="H471" t="s">
        <v>93</v>
      </c>
      <c r="I471" t="s">
        <v>94</v>
      </c>
      <c r="J471" t="s">
        <v>70</v>
      </c>
      <c r="K471" t="s">
        <v>84</v>
      </c>
      <c r="L471" t="s">
        <v>85</v>
      </c>
      <c r="M471" s="24">
        <v>1</v>
      </c>
      <c r="N471" s="25">
        <v>15190.74</v>
      </c>
      <c r="O471" s="25">
        <f t="shared" si="60"/>
        <v>15190.74</v>
      </c>
      <c r="P471" s="25">
        <v>9468.7099999999991</v>
      </c>
      <c r="Q471" s="25">
        <f t="shared" si="61"/>
        <v>9468.7099999999991</v>
      </c>
      <c r="R471" s="25">
        <f t="shared" si="62"/>
        <v>5722.0300000000007</v>
      </c>
      <c r="S471" s="26">
        <f t="shared" si="63"/>
        <v>0.37667881880672044</v>
      </c>
    </row>
    <row r="472" spans="1:19" ht="15" x14ac:dyDescent="0.2">
      <c r="A472" s="23">
        <v>45778</v>
      </c>
      <c r="B472">
        <f t="shared" si="56"/>
        <v>2025</v>
      </c>
      <c r="C472">
        <f t="shared" si="57"/>
        <v>5</v>
      </c>
      <c r="D472" t="str">
        <f t="shared" si="58"/>
        <v>Mayo</v>
      </c>
      <c r="E472" t="str">
        <f t="shared" si="59"/>
        <v>T2</v>
      </c>
      <c r="F472" t="s">
        <v>595</v>
      </c>
      <c r="G472" t="s">
        <v>68</v>
      </c>
      <c r="H472" t="s">
        <v>62</v>
      </c>
      <c r="I472" t="s">
        <v>69</v>
      </c>
      <c r="J472" t="s">
        <v>70</v>
      </c>
      <c r="K472" t="s">
        <v>84</v>
      </c>
      <c r="L472" t="s">
        <v>85</v>
      </c>
      <c r="M472" s="24">
        <v>124</v>
      </c>
      <c r="N472" s="25">
        <v>3035</v>
      </c>
      <c r="O472" s="25">
        <f t="shared" si="60"/>
        <v>376340</v>
      </c>
      <c r="P472" s="25">
        <v>2595.7199999999998</v>
      </c>
      <c r="Q472" s="25">
        <f t="shared" si="61"/>
        <v>321869.27999999997</v>
      </c>
      <c r="R472" s="25">
        <f t="shared" si="62"/>
        <v>54470.72000000003</v>
      </c>
      <c r="S472" s="26">
        <f t="shared" si="63"/>
        <v>0.14473805601317966</v>
      </c>
    </row>
    <row r="473" spans="1:19" ht="15" x14ac:dyDescent="0.2">
      <c r="A473" s="23">
        <v>45779</v>
      </c>
      <c r="B473">
        <f t="shared" si="56"/>
        <v>2025</v>
      </c>
      <c r="C473">
        <f t="shared" si="57"/>
        <v>5</v>
      </c>
      <c r="D473" t="str">
        <f t="shared" si="58"/>
        <v>Mayo</v>
      </c>
      <c r="E473" t="str">
        <f t="shared" si="59"/>
        <v>T2</v>
      </c>
      <c r="F473" t="s">
        <v>596</v>
      </c>
      <c r="G473" t="s">
        <v>282</v>
      </c>
      <c r="H473" t="s">
        <v>55</v>
      </c>
      <c r="I473" t="s">
        <v>56</v>
      </c>
      <c r="J473" t="s">
        <v>64</v>
      </c>
      <c r="K473" t="s">
        <v>65</v>
      </c>
      <c r="L473" t="s">
        <v>123</v>
      </c>
      <c r="M473" s="24">
        <v>4</v>
      </c>
      <c r="N473" s="25">
        <v>493814.2</v>
      </c>
      <c r="O473" s="25">
        <f t="shared" si="60"/>
        <v>1975256.8</v>
      </c>
      <c r="P473" s="25">
        <v>365903.38</v>
      </c>
      <c r="Q473" s="25">
        <f t="shared" si="61"/>
        <v>1463613.52</v>
      </c>
      <c r="R473" s="25">
        <f t="shared" si="62"/>
        <v>511643.28</v>
      </c>
      <c r="S473" s="26">
        <f t="shared" si="63"/>
        <v>0.25902620864284581</v>
      </c>
    </row>
    <row r="474" spans="1:19" ht="15" x14ac:dyDescent="0.2">
      <c r="A474" s="23">
        <v>45779</v>
      </c>
      <c r="B474">
        <f t="shared" si="56"/>
        <v>2025</v>
      </c>
      <c r="C474">
        <f t="shared" si="57"/>
        <v>5</v>
      </c>
      <c r="D474" t="str">
        <f t="shared" si="58"/>
        <v>Mayo</v>
      </c>
      <c r="E474" t="str">
        <f t="shared" si="59"/>
        <v>T2</v>
      </c>
      <c r="F474" t="s">
        <v>597</v>
      </c>
      <c r="G474" t="s">
        <v>74</v>
      </c>
      <c r="H474" t="s">
        <v>75</v>
      </c>
      <c r="I474" t="s">
        <v>76</v>
      </c>
      <c r="J474" t="s">
        <v>64</v>
      </c>
      <c r="K474" t="s">
        <v>65</v>
      </c>
      <c r="L474" t="s">
        <v>66</v>
      </c>
      <c r="M474" s="24">
        <v>20</v>
      </c>
      <c r="N474" s="25">
        <v>40947.26</v>
      </c>
      <c r="O474" s="25">
        <f t="shared" si="60"/>
        <v>818945.20000000007</v>
      </c>
      <c r="P474" s="25">
        <v>28477.05</v>
      </c>
      <c r="Q474" s="25">
        <f t="shared" si="61"/>
        <v>569541</v>
      </c>
      <c r="R474" s="25">
        <f t="shared" si="62"/>
        <v>249404.20000000007</v>
      </c>
      <c r="S474" s="26">
        <f t="shared" si="63"/>
        <v>0.30454320997302392</v>
      </c>
    </row>
    <row r="475" spans="1:19" ht="15" x14ac:dyDescent="0.2">
      <c r="A475" s="23">
        <v>45779</v>
      </c>
      <c r="B475">
        <f t="shared" si="56"/>
        <v>2025</v>
      </c>
      <c r="C475">
        <f t="shared" si="57"/>
        <v>5</v>
      </c>
      <c r="D475" t="str">
        <f t="shared" si="58"/>
        <v>Mayo</v>
      </c>
      <c r="E475" t="str">
        <f t="shared" si="59"/>
        <v>T2</v>
      </c>
      <c r="F475" t="s">
        <v>598</v>
      </c>
      <c r="G475" t="s">
        <v>149</v>
      </c>
      <c r="H475" t="s">
        <v>93</v>
      </c>
      <c r="I475" t="s">
        <v>150</v>
      </c>
      <c r="J475" t="s">
        <v>64</v>
      </c>
      <c r="K475" t="s">
        <v>65</v>
      </c>
      <c r="L475" t="s">
        <v>66</v>
      </c>
      <c r="M475" s="24">
        <v>6</v>
      </c>
      <c r="N475" s="25">
        <v>42904.52</v>
      </c>
      <c r="O475" s="25">
        <f t="shared" si="60"/>
        <v>257427.12</v>
      </c>
      <c r="P475" s="25">
        <v>25304.38</v>
      </c>
      <c r="Q475" s="25">
        <f t="shared" si="61"/>
        <v>151826.28</v>
      </c>
      <c r="R475" s="25">
        <f t="shared" si="62"/>
        <v>105600.84</v>
      </c>
      <c r="S475" s="26">
        <f t="shared" si="63"/>
        <v>0.41021645271873453</v>
      </c>
    </row>
    <row r="476" spans="1:19" ht="15" x14ac:dyDescent="0.2">
      <c r="A476" s="23">
        <v>45779</v>
      </c>
      <c r="B476">
        <f t="shared" si="56"/>
        <v>2025</v>
      </c>
      <c r="C476">
        <f t="shared" si="57"/>
        <v>5</v>
      </c>
      <c r="D476" t="str">
        <f t="shared" si="58"/>
        <v>Mayo</v>
      </c>
      <c r="E476" t="str">
        <f t="shared" si="59"/>
        <v>T2</v>
      </c>
      <c r="F476" t="s">
        <v>599</v>
      </c>
      <c r="G476" t="s">
        <v>92</v>
      </c>
      <c r="H476" t="s">
        <v>93</v>
      </c>
      <c r="I476" t="s">
        <v>94</v>
      </c>
      <c r="J476" t="s">
        <v>77</v>
      </c>
      <c r="K476" t="s">
        <v>78</v>
      </c>
      <c r="L476" t="s">
        <v>79</v>
      </c>
      <c r="M476" s="24">
        <v>1</v>
      </c>
      <c r="N476" s="25">
        <v>16018.52</v>
      </c>
      <c r="O476" s="25">
        <f t="shared" si="60"/>
        <v>16018.52</v>
      </c>
      <c r="P476" s="25">
        <v>9149.2000000000007</v>
      </c>
      <c r="Q476" s="25">
        <f t="shared" si="61"/>
        <v>9149.2000000000007</v>
      </c>
      <c r="R476" s="25">
        <f t="shared" si="62"/>
        <v>6869.32</v>
      </c>
      <c r="S476" s="26">
        <f t="shared" si="63"/>
        <v>0.4288361221885667</v>
      </c>
    </row>
    <row r="477" spans="1:19" ht="15" x14ac:dyDescent="0.2">
      <c r="A477" s="23">
        <v>45779</v>
      </c>
      <c r="B477">
        <f t="shared" si="56"/>
        <v>2025</v>
      </c>
      <c r="C477">
        <f t="shared" si="57"/>
        <v>5</v>
      </c>
      <c r="D477" t="str">
        <f t="shared" si="58"/>
        <v>Mayo</v>
      </c>
      <c r="E477" t="str">
        <f t="shared" si="59"/>
        <v>T2</v>
      </c>
      <c r="F477" t="s">
        <v>600</v>
      </c>
      <c r="G477" t="s">
        <v>92</v>
      </c>
      <c r="H477" t="s">
        <v>93</v>
      </c>
      <c r="I477" t="s">
        <v>94</v>
      </c>
      <c r="J477" t="s">
        <v>125</v>
      </c>
      <c r="K477" t="s">
        <v>138</v>
      </c>
      <c r="L477" t="s">
        <v>139</v>
      </c>
      <c r="M477" s="24">
        <v>9</v>
      </c>
      <c r="N477" s="25">
        <v>20016.63</v>
      </c>
      <c r="O477" s="25">
        <f t="shared" si="60"/>
        <v>180149.67</v>
      </c>
      <c r="P477" s="25">
        <v>11867.79</v>
      </c>
      <c r="Q477" s="25">
        <f t="shared" si="61"/>
        <v>106810.11000000002</v>
      </c>
      <c r="R477" s="25">
        <f t="shared" si="62"/>
        <v>73339.56</v>
      </c>
      <c r="S477" s="26">
        <f t="shared" si="63"/>
        <v>0.40710349344520025</v>
      </c>
    </row>
    <row r="478" spans="1:19" ht="15" x14ac:dyDescent="0.2">
      <c r="A478" s="23">
        <v>45780</v>
      </c>
      <c r="B478">
        <f t="shared" si="56"/>
        <v>2025</v>
      </c>
      <c r="C478">
        <f t="shared" si="57"/>
        <v>5</v>
      </c>
      <c r="D478" t="str">
        <f t="shared" si="58"/>
        <v>Mayo</v>
      </c>
      <c r="E478" t="str">
        <f t="shared" si="59"/>
        <v>T2</v>
      </c>
      <c r="F478" t="s">
        <v>601</v>
      </c>
      <c r="G478" t="s">
        <v>54</v>
      </c>
      <c r="H478" t="s">
        <v>55</v>
      </c>
      <c r="I478" t="s">
        <v>56</v>
      </c>
      <c r="J478" t="s">
        <v>64</v>
      </c>
      <c r="K478" t="s">
        <v>96</v>
      </c>
      <c r="L478" t="s">
        <v>103</v>
      </c>
      <c r="M478" s="24">
        <v>20</v>
      </c>
      <c r="N478" s="25">
        <v>58077.599999999999</v>
      </c>
      <c r="O478" s="25">
        <f t="shared" si="60"/>
        <v>1161552</v>
      </c>
      <c r="P478" s="25">
        <v>42627.97</v>
      </c>
      <c r="Q478" s="25">
        <f t="shared" si="61"/>
        <v>852559.4</v>
      </c>
      <c r="R478" s="25">
        <f t="shared" si="62"/>
        <v>308992.59999999998</v>
      </c>
      <c r="S478" s="26">
        <f t="shared" si="63"/>
        <v>0.26601701860958438</v>
      </c>
    </row>
    <row r="479" spans="1:19" ht="15" x14ac:dyDescent="0.2">
      <c r="A479" s="23">
        <v>45780</v>
      </c>
      <c r="B479">
        <f t="shared" si="56"/>
        <v>2025</v>
      </c>
      <c r="C479">
        <f t="shared" si="57"/>
        <v>5</v>
      </c>
      <c r="D479" t="str">
        <f t="shared" si="58"/>
        <v>Mayo</v>
      </c>
      <c r="E479" t="str">
        <f t="shared" si="59"/>
        <v>T2</v>
      </c>
      <c r="F479" t="s">
        <v>602</v>
      </c>
      <c r="G479" t="s">
        <v>282</v>
      </c>
      <c r="H479" t="s">
        <v>55</v>
      </c>
      <c r="I479" t="s">
        <v>56</v>
      </c>
      <c r="J479" t="s">
        <v>57</v>
      </c>
      <c r="K479" t="s">
        <v>81</v>
      </c>
      <c r="L479" t="s">
        <v>129</v>
      </c>
      <c r="M479" s="24">
        <v>2</v>
      </c>
      <c r="N479" s="25">
        <v>611781.61</v>
      </c>
      <c r="O479" s="25">
        <f t="shared" si="60"/>
        <v>1223563.22</v>
      </c>
      <c r="P479" s="25">
        <v>441183.76</v>
      </c>
      <c r="Q479" s="25">
        <f t="shared" si="61"/>
        <v>882367.52</v>
      </c>
      <c r="R479" s="25">
        <f t="shared" si="62"/>
        <v>341195.69999999995</v>
      </c>
      <c r="S479" s="26">
        <f t="shared" si="63"/>
        <v>0.27885416496909737</v>
      </c>
    </row>
    <row r="480" spans="1:19" ht="15" x14ac:dyDescent="0.2">
      <c r="A480" s="23">
        <v>45780</v>
      </c>
      <c r="B480">
        <f t="shared" si="56"/>
        <v>2025</v>
      </c>
      <c r="C480">
        <f t="shared" si="57"/>
        <v>5</v>
      </c>
      <c r="D480" t="str">
        <f t="shared" si="58"/>
        <v>Mayo</v>
      </c>
      <c r="E480" t="str">
        <f t="shared" si="59"/>
        <v>T2</v>
      </c>
      <c r="F480" t="s">
        <v>603</v>
      </c>
      <c r="G480" t="s">
        <v>54</v>
      </c>
      <c r="H480" t="s">
        <v>55</v>
      </c>
      <c r="I480" t="s">
        <v>56</v>
      </c>
      <c r="J480" t="s">
        <v>125</v>
      </c>
      <c r="K480" t="s">
        <v>126</v>
      </c>
      <c r="L480" t="s">
        <v>127</v>
      </c>
      <c r="M480" s="24">
        <v>5</v>
      </c>
      <c r="N480" s="25">
        <v>59488.800000000003</v>
      </c>
      <c r="O480" s="25">
        <f t="shared" si="60"/>
        <v>297444</v>
      </c>
      <c r="P480" s="25">
        <v>42991.59</v>
      </c>
      <c r="Q480" s="25">
        <f t="shared" si="61"/>
        <v>214957.94999999998</v>
      </c>
      <c r="R480" s="25">
        <f t="shared" si="62"/>
        <v>82486.050000000017</v>
      </c>
      <c r="S480" s="26">
        <f t="shared" si="63"/>
        <v>0.27731623431637559</v>
      </c>
    </row>
    <row r="481" spans="1:19" ht="15" x14ac:dyDescent="0.2">
      <c r="A481" s="23">
        <v>45780</v>
      </c>
      <c r="B481">
        <f t="shared" si="56"/>
        <v>2025</v>
      </c>
      <c r="C481">
        <f t="shared" si="57"/>
        <v>5</v>
      </c>
      <c r="D481" t="str">
        <f t="shared" si="58"/>
        <v>Mayo</v>
      </c>
      <c r="E481" t="str">
        <f t="shared" si="59"/>
        <v>T2</v>
      </c>
      <c r="F481" t="s">
        <v>604</v>
      </c>
      <c r="G481" t="s">
        <v>54</v>
      </c>
      <c r="H481" t="s">
        <v>55</v>
      </c>
      <c r="I481" t="s">
        <v>56</v>
      </c>
      <c r="J481" t="s">
        <v>70</v>
      </c>
      <c r="K481" t="s">
        <v>71</v>
      </c>
      <c r="L481" t="s">
        <v>72</v>
      </c>
      <c r="M481" s="24">
        <v>5</v>
      </c>
      <c r="N481" s="25">
        <v>59774.2</v>
      </c>
      <c r="O481" s="25">
        <f t="shared" si="60"/>
        <v>298871</v>
      </c>
      <c r="P481" s="25">
        <v>44984.3</v>
      </c>
      <c r="Q481" s="25">
        <f t="shared" si="61"/>
        <v>224921.5</v>
      </c>
      <c r="R481" s="25">
        <f t="shared" si="62"/>
        <v>73949.5</v>
      </c>
      <c r="S481" s="26">
        <f t="shared" si="63"/>
        <v>0.24742949299195974</v>
      </c>
    </row>
    <row r="482" spans="1:19" ht="15" x14ac:dyDescent="0.2">
      <c r="A482" s="23">
        <v>45780</v>
      </c>
      <c r="B482">
        <f t="shared" si="56"/>
        <v>2025</v>
      </c>
      <c r="C482">
        <f t="shared" si="57"/>
        <v>5</v>
      </c>
      <c r="D482" t="str">
        <f t="shared" si="58"/>
        <v>Mayo</v>
      </c>
      <c r="E482" t="str">
        <f t="shared" si="59"/>
        <v>T2</v>
      </c>
      <c r="F482" t="s">
        <v>605</v>
      </c>
      <c r="G482" t="s">
        <v>105</v>
      </c>
      <c r="H482" t="s">
        <v>62</v>
      </c>
      <c r="I482" t="s">
        <v>106</v>
      </c>
      <c r="J482" t="s">
        <v>125</v>
      </c>
      <c r="K482" t="s">
        <v>138</v>
      </c>
      <c r="L482" t="s">
        <v>142</v>
      </c>
      <c r="M482" s="24">
        <v>286</v>
      </c>
      <c r="N482" s="25">
        <v>1861</v>
      </c>
      <c r="O482" s="25">
        <f t="shared" si="60"/>
        <v>532246</v>
      </c>
      <c r="P482" s="25">
        <v>1501.7</v>
      </c>
      <c r="Q482" s="25">
        <f t="shared" si="61"/>
        <v>429486.2</v>
      </c>
      <c r="R482" s="25">
        <f t="shared" si="62"/>
        <v>102759.79999999999</v>
      </c>
      <c r="S482" s="26">
        <f t="shared" si="63"/>
        <v>0.19306824288017194</v>
      </c>
    </row>
    <row r="483" spans="1:19" ht="15" x14ac:dyDescent="0.2">
      <c r="A483" s="23">
        <v>45780</v>
      </c>
      <c r="B483">
        <f t="shared" si="56"/>
        <v>2025</v>
      </c>
      <c r="C483">
        <f t="shared" si="57"/>
        <v>5</v>
      </c>
      <c r="D483" t="str">
        <f t="shared" si="58"/>
        <v>Mayo</v>
      </c>
      <c r="E483" t="str">
        <f t="shared" si="59"/>
        <v>T2</v>
      </c>
      <c r="F483" t="s">
        <v>606</v>
      </c>
      <c r="G483" t="s">
        <v>74</v>
      </c>
      <c r="H483" t="s">
        <v>75</v>
      </c>
      <c r="I483" t="s">
        <v>76</v>
      </c>
      <c r="J483" t="s">
        <v>57</v>
      </c>
      <c r="K483" t="s">
        <v>58</v>
      </c>
      <c r="L483" t="s">
        <v>59</v>
      </c>
      <c r="M483" s="24">
        <v>2</v>
      </c>
      <c r="N483" s="25">
        <v>49996.86</v>
      </c>
      <c r="O483" s="25">
        <f t="shared" si="60"/>
        <v>99993.72</v>
      </c>
      <c r="P483" s="25">
        <v>33635.449999999997</v>
      </c>
      <c r="Q483" s="25">
        <f t="shared" si="61"/>
        <v>67270.899999999994</v>
      </c>
      <c r="R483" s="25">
        <f t="shared" si="62"/>
        <v>32722.820000000007</v>
      </c>
      <c r="S483" s="26">
        <f t="shared" si="63"/>
        <v>0.32724875122157676</v>
      </c>
    </row>
    <row r="484" spans="1:19" ht="15" x14ac:dyDescent="0.2">
      <c r="A484" s="23">
        <v>45780</v>
      </c>
      <c r="B484">
        <f t="shared" si="56"/>
        <v>2025</v>
      </c>
      <c r="C484">
        <f t="shared" si="57"/>
        <v>5</v>
      </c>
      <c r="D484" t="str">
        <f t="shared" si="58"/>
        <v>Mayo</v>
      </c>
      <c r="E484" t="str">
        <f t="shared" si="59"/>
        <v>T2</v>
      </c>
      <c r="F484" t="s">
        <v>607</v>
      </c>
      <c r="G484" t="s">
        <v>74</v>
      </c>
      <c r="H484" t="s">
        <v>75</v>
      </c>
      <c r="I484" t="s">
        <v>76</v>
      </c>
      <c r="J484" t="s">
        <v>125</v>
      </c>
      <c r="K484" t="s">
        <v>126</v>
      </c>
      <c r="L484" t="s">
        <v>127</v>
      </c>
      <c r="M484" s="24">
        <v>3</v>
      </c>
      <c r="N484" s="25">
        <v>48919.65</v>
      </c>
      <c r="O484" s="25">
        <f t="shared" si="60"/>
        <v>146758.95000000001</v>
      </c>
      <c r="P484" s="25">
        <v>32594.36</v>
      </c>
      <c r="Q484" s="25">
        <f t="shared" si="61"/>
        <v>97783.08</v>
      </c>
      <c r="R484" s="25">
        <f t="shared" si="62"/>
        <v>48975.87000000001</v>
      </c>
      <c r="S484" s="26">
        <f t="shared" si="63"/>
        <v>0.33371641048126882</v>
      </c>
    </row>
    <row r="485" spans="1:19" ht="15" x14ac:dyDescent="0.2">
      <c r="A485" s="23">
        <v>45781</v>
      </c>
      <c r="B485">
        <f t="shared" si="56"/>
        <v>2025</v>
      </c>
      <c r="C485">
        <f t="shared" si="57"/>
        <v>5</v>
      </c>
      <c r="D485" t="str">
        <f t="shared" si="58"/>
        <v>Mayo</v>
      </c>
      <c r="E485" t="str">
        <f t="shared" si="59"/>
        <v>T2</v>
      </c>
      <c r="F485" t="s">
        <v>608</v>
      </c>
      <c r="G485" t="s">
        <v>74</v>
      </c>
      <c r="H485" t="s">
        <v>75</v>
      </c>
      <c r="I485" t="s">
        <v>76</v>
      </c>
      <c r="J485" t="s">
        <v>125</v>
      </c>
      <c r="K485" t="s">
        <v>138</v>
      </c>
      <c r="L485" t="s">
        <v>139</v>
      </c>
      <c r="M485" s="24">
        <v>6</v>
      </c>
      <c r="N485" s="25">
        <v>39322.370000000003</v>
      </c>
      <c r="O485" s="25">
        <f t="shared" si="60"/>
        <v>235934.22000000003</v>
      </c>
      <c r="P485" s="25">
        <v>26647.22</v>
      </c>
      <c r="Q485" s="25">
        <f t="shared" si="61"/>
        <v>159883.32</v>
      </c>
      <c r="R485" s="25">
        <f t="shared" si="62"/>
        <v>76050.900000000023</v>
      </c>
      <c r="S485" s="26">
        <f t="shared" si="63"/>
        <v>0.3223394215557201</v>
      </c>
    </row>
    <row r="486" spans="1:19" ht="15" x14ac:dyDescent="0.2">
      <c r="A486" s="23">
        <v>45781</v>
      </c>
      <c r="B486">
        <f t="shared" si="56"/>
        <v>2025</v>
      </c>
      <c r="C486">
        <f t="shared" si="57"/>
        <v>5</v>
      </c>
      <c r="D486" t="str">
        <f t="shared" si="58"/>
        <v>Mayo</v>
      </c>
      <c r="E486" t="str">
        <f t="shared" si="59"/>
        <v>T2</v>
      </c>
      <c r="F486" t="s">
        <v>609</v>
      </c>
      <c r="G486" t="s">
        <v>100</v>
      </c>
      <c r="H486" t="s">
        <v>88</v>
      </c>
      <c r="I486" t="s">
        <v>101</v>
      </c>
      <c r="J486" t="s">
        <v>125</v>
      </c>
      <c r="K486" t="s">
        <v>126</v>
      </c>
      <c r="L486" t="s">
        <v>127</v>
      </c>
      <c r="M486" s="24">
        <v>7</v>
      </c>
      <c r="N486" s="25">
        <v>38210.629999999997</v>
      </c>
      <c r="O486" s="25">
        <f t="shared" si="60"/>
        <v>267474.40999999997</v>
      </c>
      <c r="P486" s="25">
        <v>21526.95</v>
      </c>
      <c r="Q486" s="25">
        <f t="shared" si="61"/>
        <v>150688.65</v>
      </c>
      <c r="R486" s="25">
        <f t="shared" si="62"/>
        <v>116785.75999999998</v>
      </c>
      <c r="S486" s="26">
        <f t="shared" si="63"/>
        <v>0.43662404938102301</v>
      </c>
    </row>
    <row r="487" spans="1:19" ht="15" x14ac:dyDescent="0.2">
      <c r="A487" s="23">
        <v>45781</v>
      </c>
      <c r="B487">
        <f t="shared" si="56"/>
        <v>2025</v>
      </c>
      <c r="C487">
        <f t="shared" si="57"/>
        <v>5</v>
      </c>
      <c r="D487" t="str">
        <f t="shared" si="58"/>
        <v>Mayo</v>
      </c>
      <c r="E487" t="str">
        <f t="shared" si="59"/>
        <v>T2</v>
      </c>
      <c r="F487" t="s">
        <v>610</v>
      </c>
      <c r="G487" t="s">
        <v>92</v>
      </c>
      <c r="H487" t="s">
        <v>93</v>
      </c>
      <c r="I487" t="s">
        <v>94</v>
      </c>
      <c r="J487" t="s">
        <v>57</v>
      </c>
      <c r="K487" t="s">
        <v>81</v>
      </c>
      <c r="L487" t="s">
        <v>82</v>
      </c>
      <c r="M487" s="24">
        <v>14</v>
      </c>
      <c r="N487" s="25">
        <v>19527.740000000002</v>
      </c>
      <c r="O487" s="25">
        <f t="shared" si="60"/>
        <v>273388.36000000004</v>
      </c>
      <c r="P487" s="25">
        <v>11819.06</v>
      </c>
      <c r="Q487" s="25">
        <f t="shared" si="61"/>
        <v>165466.84</v>
      </c>
      <c r="R487" s="25">
        <f t="shared" si="62"/>
        <v>107921.52000000005</v>
      </c>
      <c r="S487" s="26">
        <f t="shared" si="63"/>
        <v>0.3947553582749464</v>
      </c>
    </row>
    <row r="488" spans="1:19" ht="15" x14ac:dyDescent="0.2">
      <c r="A488" s="23">
        <v>45782</v>
      </c>
      <c r="B488">
        <f t="shared" si="56"/>
        <v>2025</v>
      </c>
      <c r="C488">
        <f t="shared" si="57"/>
        <v>5</v>
      </c>
      <c r="D488" t="str">
        <f t="shared" si="58"/>
        <v>Mayo</v>
      </c>
      <c r="E488" t="str">
        <f t="shared" si="59"/>
        <v>T2</v>
      </c>
      <c r="F488" t="s">
        <v>611</v>
      </c>
      <c r="G488" t="s">
        <v>54</v>
      </c>
      <c r="H488" t="s">
        <v>55</v>
      </c>
      <c r="I488" t="s">
        <v>56</v>
      </c>
      <c r="J488" t="s">
        <v>125</v>
      </c>
      <c r="K488" t="s">
        <v>138</v>
      </c>
      <c r="L488" t="s">
        <v>139</v>
      </c>
      <c r="M488" s="24">
        <v>1</v>
      </c>
      <c r="N488" s="25">
        <v>57433.71</v>
      </c>
      <c r="O488" s="25">
        <f t="shared" si="60"/>
        <v>57433.71</v>
      </c>
      <c r="P488" s="25">
        <v>41004.959999999999</v>
      </c>
      <c r="Q488" s="25">
        <f t="shared" si="61"/>
        <v>41004.959999999999</v>
      </c>
      <c r="R488" s="25">
        <f t="shared" si="62"/>
        <v>16428.75</v>
      </c>
      <c r="S488" s="26">
        <f t="shared" si="63"/>
        <v>0.28604716637668021</v>
      </c>
    </row>
    <row r="489" spans="1:19" ht="15" x14ac:dyDescent="0.2">
      <c r="A489" s="23">
        <v>45782</v>
      </c>
      <c r="B489">
        <f t="shared" si="56"/>
        <v>2025</v>
      </c>
      <c r="C489">
        <f t="shared" si="57"/>
        <v>5</v>
      </c>
      <c r="D489" t="str">
        <f t="shared" si="58"/>
        <v>Mayo</v>
      </c>
      <c r="E489" t="str">
        <f t="shared" si="59"/>
        <v>T2</v>
      </c>
      <c r="F489" t="s">
        <v>612</v>
      </c>
      <c r="G489" t="s">
        <v>68</v>
      </c>
      <c r="H489" t="s">
        <v>62</v>
      </c>
      <c r="I489" t="s">
        <v>69</v>
      </c>
      <c r="J489" t="s">
        <v>70</v>
      </c>
      <c r="K489" t="s">
        <v>71</v>
      </c>
      <c r="L489" t="s">
        <v>72</v>
      </c>
      <c r="M489" s="24">
        <v>54</v>
      </c>
      <c r="N489" s="25">
        <v>3023.9</v>
      </c>
      <c r="O489" s="25">
        <f t="shared" si="60"/>
        <v>163290.6</v>
      </c>
      <c r="P489" s="25">
        <v>2594.6</v>
      </c>
      <c r="Q489" s="25">
        <f t="shared" si="61"/>
        <v>140108.4</v>
      </c>
      <c r="R489" s="25">
        <f t="shared" si="62"/>
        <v>23182.200000000012</v>
      </c>
      <c r="S489" s="26">
        <f t="shared" si="63"/>
        <v>0.14196898045570297</v>
      </c>
    </row>
    <row r="490" spans="1:19" ht="15" x14ac:dyDescent="0.2">
      <c r="A490" s="23">
        <v>45782</v>
      </c>
      <c r="B490">
        <f t="shared" si="56"/>
        <v>2025</v>
      </c>
      <c r="C490">
        <f t="shared" si="57"/>
        <v>5</v>
      </c>
      <c r="D490" t="str">
        <f t="shared" si="58"/>
        <v>Mayo</v>
      </c>
      <c r="E490" t="str">
        <f t="shared" si="59"/>
        <v>T2</v>
      </c>
      <c r="F490" t="s">
        <v>613</v>
      </c>
      <c r="G490" t="s">
        <v>114</v>
      </c>
      <c r="H490" t="s">
        <v>75</v>
      </c>
      <c r="I490" t="s">
        <v>115</v>
      </c>
      <c r="J490" t="s">
        <v>125</v>
      </c>
      <c r="K490" t="s">
        <v>138</v>
      </c>
      <c r="L490" t="s">
        <v>142</v>
      </c>
      <c r="M490" s="24">
        <v>6</v>
      </c>
      <c r="N490" s="25">
        <v>99145.05</v>
      </c>
      <c r="O490" s="25">
        <f t="shared" si="60"/>
        <v>594870.30000000005</v>
      </c>
      <c r="P490" s="25">
        <v>65370.1</v>
      </c>
      <c r="Q490" s="25">
        <f t="shared" si="61"/>
        <v>392220.6</v>
      </c>
      <c r="R490" s="25">
        <f t="shared" si="62"/>
        <v>202649.70000000007</v>
      </c>
      <c r="S490" s="26">
        <f t="shared" si="63"/>
        <v>0.34066198968077588</v>
      </c>
    </row>
    <row r="491" spans="1:19" ht="15" x14ac:dyDescent="0.2">
      <c r="A491" s="23">
        <v>45782</v>
      </c>
      <c r="B491">
        <f t="shared" si="56"/>
        <v>2025</v>
      </c>
      <c r="C491">
        <f t="shared" si="57"/>
        <v>5</v>
      </c>
      <c r="D491" t="str">
        <f t="shared" si="58"/>
        <v>Mayo</v>
      </c>
      <c r="E491" t="str">
        <f t="shared" si="59"/>
        <v>T2</v>
      </c>
      <c r="F491" t="s">
        <v>614</v>
      </c>
      <c r="G491" t="s">
        <v>74</v>
      </c>
      <c r="H491" t="s">
        <v>75</v>
      </c>
      <c r="I491" t="s">
        <v>76</v>
      </c>
      <c r="J491" t="s">
        <v>70</v>
      </c>
      <c r="K491" t="s">
        <v>71</v>
      </c>
      <c r="L491" t="s">
        <v>90</v>
      </c>
      <c r="M491" s="24">
        <v>3</v>
      </c>
      <c r="N491" s="25">
        <v>39564.94</v>
      </c>
      <c r="O491" s="25">
        <f t="shared" si="60"/>
        <v>118694.82</v>
      </c>
      <c r="P491" s="25">
        <v>28713.7</v>
      </c>
      <c r="Q491" s="25">
        <f t="shared" si="61"/>
        <v>86141.1</v>
      </c>
      <c r="R491" s="25">
        <f t="shared" si="62"/>
        <v>32553.72</v>
      </c>
      <c r="S491" s="26">
        <f t="shared" si="63"/>
        <v>0.2742640327522296</v>
      </c>
    </row>
    <row r="492" spans="1:19" ht="15" x14ac:dyDescent="0.2">
      <c r="A492" s="23">
        <v>45782</v>
      </c>
      <c r="B492">
        <f t="shared" si="56"/>
        <v>2025</v>
      </c>
      <c r="C492">
        <f t="shared" si="57"/>
        <v>5</v>
      </c>
      <c r="D492" t="str">
        <f t="shared" si="58"/>
        <v>Mayo</v>
      </c>
      <c r="E492" t="str">
        <f t="shared" si="59"/>
        <v>T2</v>
      </c>
      <c r="F492" t="s">
        <v>615</v>
      </c>
      <c r="G492" t="s">
        <v>87</v>
      </c>
      <c r="H492" t="s">
        <v>88</v>
      </c>
      <c r="I492" t="s">
        <v>89</v>
      </c>
      <c r="J492" t="s">
        <v>57</v>
      </c>
      <c r="K492" t="s">
        <v>81</v>
      </c>
      <c r="L492" t="s">
        <v>82</v>
      </c>
      <c r="M492" s="24">
        <v>11</v>
      </c>
      <c r="N492" s="25">
        <v>61317.85</v>
      </c>
      <c r="O492" s="25">
        <f t="shared" si="60"/>
        <v>674496.35</v>
      </c>
      <c r="P492" s="25">
        <v>33916.480000000003</v>
      </c>
      <c r="Q492" s="25">
        <f t="shared" si="61"/>
        <v>373081.28</v>
      </c>
      <c r="R492" s="25">
        <f t="shared" si="62"/>
        <v>301415.06999999995</v>
      </c>
      <c r="S492" s="26">
        <f t="shared" si="63"/>
        <v>0.44687427886007086</v>
      </c>
    </row>
    <row r="493" spans="1:19" ht="15" x14ac:dyDescent="0.2">
      <c r="A493" s="23">
        <v>45782</v>
      </c>
      <c r="B493">
        <f t="shared" si="56"/>
        <v>2025</v>
      </c>
      <c r="C493">
        <f t="shared" si="57"/>
        <v>5</v>
      </c>
      <c r="D493" t="str">
        <f t="shared" si="58"/>
        <v>Mayo</v>
      </c>
      <c r="E493" t="str">
        <f t="shared" si="59"/>
        <v>T2</v>
      </c>
      <c r="F493" t="s">
        <v>616</v>
      </c>
      <c r="G493" t="s">
        <v>92</v>
      </c>
      <c r="H493" t="s">
        <v>93</v>
      </c>
      <c r="I493" t="s">
        <v>94</v>
      </c>
      <c r="J493" t="s">
        <v>64</v>
      </c>
      <c r="K493" t="s">
        <v>65</v>
      </c>
      <c r="L493" t="s">
        <v>123</v>
      </c>
      <c r="M493" s="24">
        <v>33</v>
      </c>
      <c r="N493" s="25">
        <v>19667.91</v>
      </c>
      <c r="O493" s="25">
        <f t="shared" si="60"/>
        <v>649041.03</v>
      </c>
      <c r="P493" s="25">
        <v>12129.59</v>
      </c>
      <c r="Q493" s="25">
        <f t="shared" si="61"/>
        <v>400276.47000000003</v>
      </c>
      <c r="R493" s="25">
        <f t="shared" si="62"/>
        <v>248764.56</v>
      </c>
      <c r="S493" s="26">
        <f t="shared" si="63"/>
        <v>0.38328017567702921</v>
      </c>
    </row>
    <row r="494" spans="1:19" ht="15" x14ac:dyDescent="0.2">
      <c r="A494" s="23">
        <v>45783</v>
      </c>
      <c r="B494">
        <f t="shared" si="56"/>
        <v>2025</v>
      </c>
      <c r="C494">
        <f t="shared" si="57"/>
        <v>5</v>
      </c>
      <c r="D494" t="str">
        <f t="shared" si="58"/>
        <v>Mayo</v>
      </c>
      <c r="E494" t="str">
        <f t="shared" si="59"/>
        <v>T2</v>
      </c>
      <c r="F494" t="s">
        <v>617</v>
      </c>
      <c r="G494" t="s">
        <v>74</v>
      </c>
      <c r="H494" t="s">
        <v>75</v>
      </c>
      <c r="I494" t="s">
        <v>76</v>
      </c>
      <c r="J494" t="s">
        <v>57</v>
      </c>
      <c r="K494" t="s">
        <v>58</v>
      </c>
      <c r="L494" t="s">
        <v>59</v>
      </c>
      <c r="M494" s="24">
        <v>7</v>
      </c>
      <c r="N494" s="25">
        <v>42452.53</v>
      </c>
      <c r="O494" s="25">
        <f t="shared" si="60"/>
        <v>297167.70999999996</v>
      </c>
      <c r="P494" s="25">
        <v>28741.05</v>
      </c>
      <c r="Q494" s="25">
        <f t="shared" si="61"/>
        <v>201187.35</v>
      </c>
      <c r="R494" s="25">
        <f t="shared" si="62"/>
        <v>95980.359999999957</v>
      </c>
      <c r="S494" s="26">
        <f t="shared" si="63"/>
        <v>0.32298381274331578</v>
      </c>
    </row>
    <row r="495" spans="1:19" ht="15" x14ac:dyDescent="0.2">
      <c r="A495" s="23">
        <v>45783</v>
      </c>
      <c r="B495">
        <f t="shared" si="56"/>
        <v>2025</v>
      </c>
      <c r="C495">
        <f t="shared" si="57"/>
        <v>5</v>
      </c>
      <c r="D495" t="str">
        <f t="shared" si="58"/>
        <v>Mayo</v>
      </c>
      <c r="E495" t="str">
        <f t="shared" si="59"/>
        <v>T2</v>
      </c>
      <c r="F495" t="s">
        <v>618</v>
      </c>
      <c r="G495" t="s">
        <v>144</v>
      </c>
      <c r="H495" t="s">
        <v>88</v>
      </c>
      <c r="I495" t="s">
        <v>145</v>
      </c>
      <c r="J495" t="s">
        <v>64</v>
      </c>
      <c r="K495" t="s">
        <v>96</v>
      </c>
      <c r="L495" t="s">
        <v>103</v>
      </c>
      <c r="M495" s="24">
        <v>37</v>
      </c>
      <c r="N495" s="25">
        <v>12625.9</v>
      </c>
      <c r="O495" s="25">
        <f t="shared" si="60"/>
        <v>467158.3</v>
      </c>
      <c r="P495" s="25">
        <v>7058.46</v>
      </c>
      <c r="Q495" s="25">
        <f t="shared" si="61"/>
        <v>261163.02</v>
      </c>
      <c r="R495" s="25">
        <f t="shared" si="62"/>
        <v>205995.28</v>
      </c>
      <c r="S495" s="26">
        <f t="shared" si="63"/>
        <v>0.44095391219635827</v>
      </c>
    </row>
    <row r="496" spans="1:19" ht="15" x14ac:dyDescent="0.2">
      <c r="A496" s="23">
        <v>45783</v>
      </c>
      <c r="B496">
        <f t="shared" si="56"/>
        <v>2025</v>
      </c>
      <c r="C496">
        <f t="shared" si="57"/>
        <v>5</v>
      </c>
      <c r="D496" t="str">
        <f t="shared" si="58"/>
        <v>Mayo</v>
      </c>
      <c r="E496" t="str">
        <f t="shared" si="59"/>
        <v>T2</v>
      </c>
      <c r="F496" t="s">
        <v>619</v>
      </c>
      <c r="G496" t="s">
        <v>149</v>
      </c>
      <c r="H496" t="s">
        <v>93</v>
      </c>
      <c r="I496" t="s">
        <v>150</v>
      </c>
      <c r="J496" t="s">
        <v>70</v>
      </c>
      <c r="K496" t="s">
        <v>71</v>
      </c>
      <c r="L496" t="s">
        <v>90</v>
      </c>
      <c r="M496" s="24">
        <v>3</v>
      </c>
      <c r="N496" s="25">
        <v>41364.660000000003</v>
      </c>
      <c r="O496" s="25">
        <f t="shared" si="60"/>
        <v>124093.98000000001</v>
      </c>
      <c r="P496" s="25">
        <v>26246.57</v>
      </c>
      <c r="Q496" s="25">
        <f t="shared" si="61"/>
        <v>78739.709999999992</v>
      </c>
      <c r="R496" s="25">
        <f t="shared" si="62"/>
        <v>45354.270000000019</v>
      </c>
      <c r="S496" s="26">
        <f t="shared" si="63"/>
        <v>0.36548324100814572</v>
      </c>
    </row>
    <row r="497" spans="1:19" ht="15" x14ac:dyDescent="0.2">
      <c r="A497" s="23">
        <v>45784</v>
      </c>
      <c r="B497">
        <f t="shared" si="56"/>
        <v>2025</v>
      </c>
      <c r="C497">
        <f t="shared" si="57"/>
        <v>5</v>
      </c>
      <c r="D497" t="str">
        <f t="shared" si="58"/>
        <v>Mayo</v>
      </c>
      <c r="E497" t="str">
        <f t="shared" si="59"/>
        <v>T2</v>
      </c>
      <c r="F497" t="s">
        <v>620</v>
      </c>
      <c r="G497" t="s">
        <v>110</v>
      </c>
      <c r="H497" t="s">
        <v>62</v>
      </c>
      <c r="I497" t="s">
        <v>69</v>
      </c>
      <c r="J497" t="s">
        <v>57</v>
      </c>
      <c r="K497" t="s">
        <v>81</v>
      </c>
      <c r="L497" t="s">
        <v>82</v>
      </c>
      <c r="M497" s="24">
        <v>135</v>
      </c>
      <c r="N497" s="25">
        <v>6634.17</v>
      </c>
      <c r="O497" s="25">
        <f t="shared" si="60"/>
        <v>895612.95</v>
      </c>
      <c r="P497" s="25">
        <v>5411.6</v>
      </c>
      <c r="Q497" s="25">
        <f t="shared" si="61"/>
        <v>730566</v>
      </c>
      <c r="R497" s="25">
        <f t="shared" si="62"/>
        <v>165046.94999999995</v>
      </c>
      <c r="S497" s="26">
        <f t="shared" si="63"/>
        <v>0.18428379134089112</v>
      </c>
    </row>
    <row r="498" spans="1:19" ht="15" x14ac:dyDescent="0.2">
      <c r="A498" s="23">
        <v>45784</v>
      </c>
      <c r="B498">
        <f t="shared" si="56"/>
        <v>2025</v>
      </c>
      <c r="C498">
        <f t="shared" si="57"/>
        <v>5</v>
      </c>
      <c r="D498" t="str">
        <f t="shared" si="58"/>
        <v>Mayo</v>
      </c>
      <c r="E498" t="str">
        <f t="shared" si="59"/>
        <v>T2</v>
      </c>
      <c r="F498" t="s">
        <v>621</v>
      </c>
      <c r="G498" t="s">
        <v>114</v>
      </c>
      <c r="H498" t="s">
        <v>75</v>
      </c>
      <c r="I498" t="s">
        <v>115</v>
      </c>
      <c r="J498" t="s">
        <v>64</v>
      </c>
      <c r="K498" t="s">
        <v>96</v>
      </c>
      <c r="L498" t="s">
        <v>103</v>
      </c>
      <c r="M498" s="24">
        <v>9</v>
      </c>
      <c r="N498" s="25">
        <v>92813.25</v>
      </c>
      <c r="O498" s="25">
        <f t="shared" si="60"/>
        <v>835319.25</v>
      </c>
      <c r="P498" s="25">
        <v>63598.87</v>
      </c>
      <c r="Q498" s="25">
        <f t="shared" si="61"/>
        <v>572389.83000000007</v>
      </c>
      <c r="R498" s="25">
        <f t="shared" si="62"/>
        <v>262929.41999999993</v>
      </c>
      <c r="S498" s="26">
        <f t="shared" si="63"/>
        <v>0.31476518708266321</v>
      </c>
    </row>
    <row r="499" spans="1:19" ht="15" x14ac:dyDescent="0.2">
      <c r="A499" s="23">
        <v>45784</v>
      </c>
      <c r="B499">
        <f t="shared" si="56"/>
        <v>2025</v>
      </c>
      <c r="C499">
        <f t="shared" si="57"/>
        <v>5</v>
      </c>
      <c r="D499" t="str">
        <f t="shared" si="58"/>
        <v>Mayo</v>
      </c>
      <c r="E499" t="str">
        <f t="shared" si="59"/>
        <v>T2</v>
      </c>
      <c r="F499" t="s">
        <v>622</v>
      </c>
      <c r="G499" t="s">
        <v>114</v>
      </c>
      <c r="H499" t="s">
        <v>75</v>
      </c>
      <c r="I499" t="s">
        <v>115</v>
      </c>
      <c r="J499" t="s">
        <v>77</v>
      </c>
      <c r="K499" t="s">
        <v>78</v>
      </c>
      <c r="L499" t="s">
        <v>117</v>
      </c>
      <c r="M499" s="24">
        <v>3</v>
      </c>
      <c r="N499" s="25">
        <v>89242.05</v>
      </c>
      <c r="O499" s="25">
        <f t="shared" si="60"/>
        <v>267726.15000000002</v>
      </c>
      <c r="P499" s="25">
        <v>59071.37</v>
      </c>
      <c r="Q499" s="25">
        <f t="shared" si="61"/>
        <v>177214.11000000002</v>
      </c>
      <c r="R499" s="25">
        <f t="shared" si="62"/>
        <v>90512.040000000008</v>
      </c>
      <c r="S499" s="26">
        <f t="shared" si="63"/>
        <v>0.33807694915121289</v>
      </c>
    </row>
    <row r="500" spans="1:19" ht="15" x14ac:dyDescent="0.2">
      <c r="A500" s="23">
        <v>45784</v>
      </c>
      <c r="B500">
        <f t="shared" si="56"/>
        <v>2025</v>
      </c>
      <c r="C500">
        <f t="shared" si="57"/>
        <v>5</v>
      </c>
      <c r="D500" t="str">
        <f t="shared" si="58"/>
        <v>Mayo</v>
      </c>
      <c r="E500" t="str">
        <f t="shared" si="59"/>
        <v>T2</v>
      </c>
      <c r="F500" t="s">
        <v>623</v>
      </c>
      <c r="G500" t="s">
        <v>188</v>
      </c>
      <c r="H500" t="s">
        <v>88</v>
      </c>
      <c r="I500" t="s">
        <v>189</v>
      </c>
      <c r="J500" t="s">
        <v>125</v>
      </c>
      <c r="K500" t="s">
        <v>126</v>
      </c>
      <c r="L500" t="s">
        <v>127</v>
      </c>
      <c r="M500" s="24">
        <v>2</v>
      </c>
      <c r="N500" s="25">
        <v>92805.07</v>
      </c>
      <c r="O500" s="25">
        <f t="shared" si="60"/>
        <v>185610.14</v>
      </c>
      <c r="P500" s="25">
        <v>51361.79</v>
      </c>
      <c r="Q500" s="25">
        <f t="shared" si="61"/>
        <v>102723.58</v>
      </c>
      <c r="R500" s="25">
        <f t="shared" si="62"/>
        <v>82886.560000000012</v>
      </c>
      <c r="S500" s="26">
        <f t="shared" si="63"/>
        <v>0.44656267162990126</v>
      </c>
    </row>
    <row r="501" spans="1:19" ht="15" x14ac:dyDescent="0.2">
      <c r="A501" s="23">
        <v>45784</v>
      </c>
      <c r="B501">
        <f t="shared" si="56"/>
        <v>2025</v>
      </c>
      <c r="C501">
        <f t="shared" si="57"/>
        <v>5</v>
      </c>
      <c r="D501" t="str">
        <f t="shared" si="58"/>
        <v>Mayo</v>
      </c>
      <c r="E501" t="str">
        <f t="shared" si="59"/>
        <v>T2</v>
      </c>
      <c r="F501" t="s">
        <v>624</v>
      </c>
      <c r="G501" t="s">
        <v>92</v>
      </c>
      <c r="H501" t="s">
        <v>93</v>
      </c>
      <c r="I501" t="s">
        <v>94</v>
      </c>
      <c r="J501" t="s">
        <v>57</v>
      </c>
      <c r="K501" t="s">
        <v>81</v>
      </c>
      <c r="L501" t="s">
        <v>82</v>
      </c>
      <c r="M501" s="24">
        <v>9</v>
      </c>
      <c r="N501" s="25">
        <v>20598.740000000002</v>
      </c>
      <c r="O501" s="25">
        <f t="shared" si="60"/>
        <v>185388.66</v>
      </c>
      <c r="P501" s="25">
        <v>11838.42</v>
      </c>
      <c r="Q501" s="25">
        <f t="shared" si="61"/>
        <v>106545.78</v>
      </c>
      <c r="R501" s="25">
        <f t="shared" si="62"/>
        <v>78842.880000000005</v>
      </c>
      <c r="S501" s="26">
        <f t="shared" si="63"/>
        <v>0.42528426495989563</v>
      </c>
    </row>
    <row r="502" spans="1:19" ht="15" x14ac:dyDescent="0.2">
      <c r="A502" s="23">
        <v>45785</v>
      </c>
      <c r="B502">
        <f t="shared" si="56"/>
        <v>2025</v>
      </c>
      <c r="C502">
        <f t="shared" si="57"/>
        <v>5</v>
      </c>
      <c r="D502" t="str">
        <f t="shared" si="58"/>
        <v>Mayo</v>
      </c>
      <c r="E502" t="str">
        <f t="shared" si="59"/>
        <v>T2</v>
      </c>
      <c r="F502" t="s">
        <v>625</v>
      </c>
      <c r="G502" t="s">
        <v>54</v>
      </c>
      <c r="H502" t="s">
        <v>55</v>
      </c>
      <c r="I502" t="s">
        <v>56</v>
      </c>
      <c r="J502" t="s">
        <v>57</v>
      </c>
      <c r="K502" t="s">
        <v>58</v>
      </c>
      <c r="L502" t="s">
        <v>162</v>
      </c>
      <c r="M502" s="24">
        <v>10</v>
      </c>
      <c r="N502" s="25">
        <v>58130.03</v>
      </c>
      <c r="O502" s="25">
        <f t="shared" si="60"/>
        <v>581300.30000000005</v>
      </c>
      <c r="P502" s="25">
        <v>42665.68</v>
      </c>
      <c r="Q502" s="25">
        <f t="shared" si="61"/>
        <v>426656.8</v>
      </c>
      <c r="R502" s="25">
        <f t="shared" si="62"/>
        <v>154643.50000000006</v>
      </c>
      <c r="S502" s="26">
        <f t="shared" si="63"/>
        <v>0.26603031169947794</v>
      </c>
    </row>
    <row r="503" spans="1:19" ht="15" x14ac:dyDescent="0.2">
      <c r="A503" s="23">
        <v>45785</v>
      </c>
      <c r="B503">
        <f t="shared" si="56"/>
        <v>2025</v>
      </c>
      <c r="C503">
        <f t="shared" si="57"/>
        <v>5</v>
      </c>
      <c r="D503" t="str">
        <f t="shared" si="58"/>
        <v>Mayo</v>
      </c>
      <c r="E503" t="str">
        <f t="shared" si="59"/>
        <v>T2</v>
      </c>
      <c r="F503" t="s">
        <v>626</v>
      </c>
      <c r="G503" t="s">
        <v>61</v>
      </c>
      <c r="H503" t="s">
        <v>62</v>
      </c>
      <c r="I503" t="s">
        <v>63</v>
      </c>
      <c r="J503" t="s">
        <v>77</v>
      </c>
      <c r="K503" t="s">
        <v>78</v>
      </c>
      <c r="L503" t="s">
        <v>117</v>
      </c>
      <c r="M503" s="24">
        <v>76</v>
      </c>
      <c r="N503" s="25">
        <v>5911.73</v>
      </c>
      <c r="O503" s="25">
        <f t="shared" si="60"/>
        <v>449291.48</v>
      </c>
      <c r="P503" s="25">
        <v>4783.03</v>
      </c>
      <c r="Q503" s="25">
        <f t="shared" si="61"/>
        <v>363510.27999999997</v>
      </c>
      <c r="R503" s="25">
        <f t="shared" si="62"/>
        <v>85781.200000000012</v>
      </c>
      <c r="S503" s="26">
        <f t="shared" si="63"/>
        <v>0.19092549896561586</v>
      </c>
    </row>
    <row r="504" spans="1:19" ht="15" x14ac:dyDescent="0.2">
      <c r="A504" s="23">
        <v>45785</v>
      </c>
      <c r="B504">
        <f t="shared" si="56"/>
        <v>2025</v>
      </c>
      <c r="C504">
        <f t="shared" si="57"/>
        <v>5</v>
      </c>
      <c r="D504" t="str">
        <f t="shared" si="58"/>
        <v>Mayo</v>
      </c>
      <c r="E504" t="str">
        <f t="shared" si="59"/>
        <v>T2</v>
      </c>
      <c r="F504" t="s">
        <v>627</v>
      </c>
      <c r="G504" t="s">
        <v>114</v>
      </c>
      <c r="H504" t="s">
        <v>75</v>
      </c>
      <c r="I504" t="s">
        <v>115</v>
      </c>
      <c r="J504" t="s">
        <v>57</v>
      </c>
      <c r="K504" t="s">
        <v>81</v>
      </c>
      <c r="L504" t="s">
        <v>82</v>
      </c>
      <c r="M504" s="24">
        <v>7</v>
      </c>
      <c r="N504" s="25">
        <v>93092.65</v>
      </c>
      <c r="O504" s="25">
        <f t="shared" si="60"/>
        <v>651648.54999999993</v>
      </c>
      <c r="P504" s="25">
        <v>62252.43</v>
      </c>
      <c r="Q504" s="25">
        <f t="shared" si="61"/>
        <v>435767.01</v>
      </c>
      <c r="R504" s="25">
        <f t="shared" si="62"/>
        <v>215881.53999999992</v>
      </c>
      <c r="S504" s="26">
        <f t="shared" si="63"/>
        <v>0.33128523035921731</v>
      </c>
    </row>
    <row r="505" spans="1:19" ht="15" x14ac:dyDescent="0.2">
      <c r="A505" s="23">
        <v>45785</v>
      </c>
      <c r="B505">
        <f t="shared" si="56"/>
        <v>2025</v>
      </c>
      <c r="C505">
        <f t="shared" si="57"/>
        <v>5</v>
      </c>
      <c r="D505" t="str">
        <f t="shared" si="58"/>
        <v>Mayo</v>
      </c>
      <c r="E505" t="str">
        <f t="shared" si="59"/>
        <v>T2</v>
      </c>
      <c r="F505" t="s">
        <v>628</v>
      </c>
      <c r="G505" t="s">
        <v>144</v>
      </c>
      <c r="H505" t="s">
        <v>88</v>
      </c>
      <c r="I505" t="s">
        <v>145</v>
      </c>
      <c r="J505" t="s">
        <v>125</v>
      </c>
      <c r="K505" t="s">
        <v>138</v>
      </c>
      <c r="L505" t="s">
        <v>139</v>
      </c>
      <c r="M505" s="24">
        <v>21</v>
      </c>
      <c r="N505" s="25">
        <v>12889.85</v>
      </c>
      <c r="O505" s="25">
        <f t="shared" si="60"/>
        <v>270686.85000000003</v>
      </c>
      <c r="P505" s="25">
        <v>7011.69</v>
      </c>
      <c r="Q505" s="25">
        <f t="shared" si="61"/>
        <v>147245.49</v>
      </c>
      <c r="R505" s="25">
        <f t="shared" si="62"/>
        <v>123441.36000000004</v>
      </c>
      <c r="S505" s="26">
        <f t="shared" si="63"/>
        <v>0.45603013223582906</v>
      </c>
    </row>
    <row r="506" spans="1:19" ht="15" x14ac:dyDescent="0.2">
      <c r="A506" s="23">
        <v>45785</v>
      </c>
      <c r="B506">
        <f t="shared" si="56"/>
        <v>2025</v>
      </c>
      <c r="C506">
        <f t="shared" si="57"/>
        <v>5</v>
      </c>
      <c r="D506" t="str">
        <f t="shared" si="58"/>
        <v>Mayo</v>
      </c>
      <c r="E506" t="str">
        <f t="shared" si="59"/>
        <v>T2</v>
      </c>
      <c r="F506" t="s">
        <v>629</v>
      </c>
      <c r="G506" t="s">
        <v>144</v>
      </c>
      <c r="H506" t="s">
        <v>88</v>
      </c>
      <c r="I506" t="s">
        <v>145</v>
      </c>
      <c r="J506" t="s">
        <v>70</v>
      </c>
      <c r="K506" t="s">
        <v>84</v>
      </c>
      <c r="L506" t="s">
        <v>147</v>
      </c>
      <c r="M506" s="24">
        <v>27</v>
      </c>
      <c r="N506" s="25">
        <v>11736.06</v>
      </c>
      <c r="O506" s="25">
        <f t="shared" si="60"/>
        <v>316873.62</v>
      </c>
      <c r="P506" s="25">
        <v>6896.26</v>
      </c>
      <c r="Q506" s="25">
        <f t="shared" si="61"/>
        <v>186199.02000000002</v>
      </c>
      <c r="R506" s="25">
        <f t="shared" si="62"/>
        <v>130674.59999999998</v>
      </c>
      <c r="S506" s="26">
        <f t="shared" si="63"/>
        <v>0.41238712140190142</v>
      </c>
    </row>
    <row r="507" spans="1:19" ht="15" x14ac:dyDescent="0.2">
      <c r="A507" s="23">
        <v>45786</v>
      </c>
      <c r="B507">
        <f t="shared" si="56"/>
        <v>2025</v>
      </c>
      <c r="C507">
        <f t="shared" si="57"/>
        <v>5</v>
      </c>
      <c r="D507" t="str">
        <f t="shared" si="58"/>
        <v>Mayo</v>
      </c>
      <c r="E507" t="str">
        <f t="shared" si="59"/>
        <v>T2</v>
      </c>
      <c r="F507" t="s">
        <v>630</v>
      </c>
      <c r="G507" t="s">
        <v>54</v>
      </c>
      <c r="H507" t="s">
        <v>55</v>
      </c>
      <c r="I507" t="s">
        <v>56</v>
      </c>
      <c r="J507" t="s">
        <v>77</v>
      </c>
      <c r="K507" t="s">
        <v>107</v>
      </c>
      <c r="L507" t="s">
        <v>108</v>
      </c>
      <c r="M507" s="24">
        <v>10</v>
      </c>
      <c r="N507" s="25">
        <v>60760.32</v>
      </c>
      <c r="O507" s="25">
        <f t="shared" si="60"/>
        <v>607603.19999999995</v>
      </c>
      <c r="P507" s="25">
        <v>42131.19</v>
      </c>
      <c r="Q507" s="25">
        <f t="shared" si="61"/>
        <v>421311.9</v>
      </c>
      <c r="R507" s="25">
        <f t="shared" si="62"/>
        <v>186291.29999999993</v>
      </c>
      <c r="S507" s="26">
        <f t="shared" si="63"/>
        <v>0.3066002614864437</v>
      </c>
    </row>
    <row r="508" spans="1:19" ht="15" x14ac:dyDescent="0.2">
      <c r="A508" s="23">
        <v>45786</v>
      </c>
      <c r="B508">
        <f t="shared" si="56"/>
        <v>2025</v>
      </c>
      <c r="C508">
        <f t="shared" si="57"/>
        <v>5</v>
      </c>
      <c r="D508" t="str">
        <f t="shared" si="58"/>
        <v>Mayo</v>
      </c>
      <c r="E508" t="str">
        <f t="shared" si="59"/>
        <v>T2</v>
      </c>
      <c r="F508" t="s">
        <v>631</v>
      </c>
      <c r="G508" t="s">
        <v>92</v>
      </c>
      <c r="H508" t="s">
        <v>93</v>
      </c>
      <c r="I508" t="s">
        <v>94</v>
      </c>
      <c r="J508" t="s">
        <v>64</v>
      </c>
      <c r="K508" t="s">
        <v>96</v>
      </c>
      <c r="L508" t="s">
        <v>97</v>
      </c>
      <c r="M508" s="24">
        <v>26</v>
      </c>
      <c r="N508" s="25">
        <v>19518.939999999999</v>
      </c>
      <c r="O508" s="25">
        <f t="shared" si="60"/>
        <v>507492.43999999994</v>
      </c>
      <c r="P508" s="25">
        <v>11821.64</v>
      </c>
      <c r="Q508" s="25">
        <f t="shared" si="61"/>
        <v>307362.64</v>
      </c>
      <c r="R508" s="25">
        <f t="shared" si="62"/>
        <v>200129.79999999993</v>
      </c>
      <c r="S508" s="26">
        <f t="shared" si="63"/>
        <v>0.39435030795729675</v>
      </c>
    </row>
    <row r="509" spans="1:19" ht="15" x14ac:dyDescent="0.2">
      <c r="A509" s="23">
        <v>45786</v>
      </c>
      <c r="B509">
        <f t="shared" si="56"/>
        <v>2025</v>
      </c>
      <c r="C509">
        <f t="shared" si="57"/>
        <v>5</v>
      </c>
      <c r="D509" t="str">
        <f t="shared" si="58"/>
        <v>Mayo</v>
      </c>
      <c r="E509" t="str">
        <f t="shared" si="59"/>
        <v>T2</v>
      </c>
      <c r="F509" t="s">
        <v>632</v>
      </c>
      <c r="G509" t="s">
        <v>149</v>
      </c>
      <c r="H509" t="s">
        <v>93</v>
      </c>
      <c r="I509" t="s">
        <v>150</v>
      </c>
      <c r="J509" t="s">
        <v>77</v>
      </c>
      <c r="K509" t="s">
        <v>78</v>
      </c>
      <c r="L509" t="s">
        <v>79</v>
      </c>
      <c r="M509" s="24">
        <v>4</v>
      </c>
      <c r="N509" s="25">
        <v>47305.61</v>
      </c>
      <c r="O509" s="25">
        <f t="shared" si="60"/>
        <v>189222.44</v>
      </c>
      <c r="P509" s="25">
        <v>27149.69</v>
      </c>
      <c r="Q509" s="25">
        <f t="shared" si="61"/>
        <v>108598.76</v>
      </c>
      <c r="R509" s="25">
        <f t="shared" si="62"/>
        <v>80623.680000000008</v>
      </c>
      <c r="S509" s="26">
        <f t="shared" si="63"/>
        <v>0.42607885195857326</v>
      </c>
    </row>
    <row r="510" spans="1:19" ht="15" x14ac:dyDescent="0.2">
      <c r="A510" s="23">
        <v>45787</v>
      </c>
      <c r="B510">
        <f t="shared" si="56"/>
        <v>2025</v>
      </c>
      <c r="C510">
        <f t="shared" si="57"/>
        <v>5</v>
      </c>
      <c r="D510" t="str">
        <f t="shared" si="58"/>
        <v>Mayo</v>
      </c>
      <c r="E510" t="str">
        <f t="shared" si="59"/>
        <v>T2</v>
      </c>
      <c r="F510" t="s">
        <v>633</v>
      </c>
      <c r="G510" t="s">
        <v>61</v>
      </c>
      <c r="H510" t="s">
        <v>62</v>
      </c>
      <c r="I510" t="s">
        <v>63</v>
      </c>
      <c r="J510" t="s">
        <v>125</v>
      </c>
      <c r="K510" t="s">
        <v>126</v>
      </c>
      <c r="L510" t="s">
        <v>127</v>
      </c>
      <c r="M510" s="24">
        <v>53</v>
      </c>
      <c r="N510" s="25">
        <v>5804.7</v>
      </c>
      <c r="O510" s="25">
        <f t="shared" si="60"/>
        <v>307649.09999999998</v>
      </c>
      <c r="P510" s="25">
        <v>4772.62</v>
      </c>
      <c r="Q510" s="25">
        <f t="shared" si="61"/>
        <v>252948.86</v>
      </c>
      <c r="R510" s="25">
        <f t="shared" si="62"/>
        <v>54700.239999999991</v>
      </c>
      <c r="S510" s="26">
        <f t="shared" si="63"/>
        <v>0.17780074766999154</v>
      </c>
    </row>
    <row r="511" spans="1:19" ht="15" x14ac:dyDescent="0.2">
      <c r="A511" s="23">
        <v>45787</v>
      </c>
      <c r="B511">
        <f t="shared" si="56"/>
        <v>2025</v>
      </c>
      <c r="C511">
        <f t="shared" si="57"/>
        <v>5</v>
      </c>
      <c r="D511" t="str">
        <f t="shared" si="58"/>
        <v>Mayo</v>
      </c>
      <c r="E511" t="str">
        <f t="shared" si="59"/>
        <v>T2</v>
      </c>
      <c r="F511" t="s">
        <v>634</v>
      </c>
      <c r="G511" t="s">
        <v>87</v>
      </c>
      <c r="H511" t="s">
        <v>88</v>
      </c>
      <c r="I511" t="s">
        <v>89</v>
      </c>
      <c r="J511" t="s">
        <v>57</v>
      </c>
      <c r="K511" t="s">
        <v>81</v>
      </c>
      <c r="L511" t="s">
        <v>129</v>
      </c>
      <c r="M511" s="24">
        <v>8</v>
      </c>
      <c r="N511" s="25">
        <v>56154</v>
      </c>
      <c r="O511" s="25">
        <f t="shared" si="60"/>
        <v>449232</v>
      </c>
      <c r="P511" s="25">
        <v>31333.63</v>
      </c>
      <c r="Q511" s="25">
        <f t="shared" si="61"/>
        <v>250669.04</v>
      </c>
      <c r="R511" s="25">
        <f t="shared" si="62"/>
        <v>198562.96</v>
      </c>
      <c r="S511" s="26">
        <f t="shared" si="63"/>
        <v>0.44200537806745732</v>
      </c>
    </row>
    <row r="512" spans="1:19" ht="15" x14ac:dyDescent="0.2">
      <c r="A512" s="23">
        <v>45787</v>
      </c>
      <c r="B512">
        <f t="shared" si="56"/>
        <v>2025</v>
      </c>
      <c r="C512">
        <f t="shared" si="57"/>
        <v>5</v>
      </c>
      <c r="D512" t="str">
        <f t="shared" si="58"/>
        <v>Mayo</v>
      </c>
      <c r="E512" t="str">
        <f t="shared" si="59"/>
        <v>T2</v>
      </c>
      <c r="F512" t="s">
        <v>635</v>
      </c>
      <c r="G512" t="s">
        <v>87</v>
      </c>
      <c r="H512" t="s">
        <v>88</v>
      </c>
      <c r="I512" t="s">
        <v>89</v>
      </c>
      <c r="J512" t="s">
        <v>125</v>
      </c>
      <c r="K512" t="s">
        <v>138</v>
      </c>
      <c r="L512" t="s">
        <v>142</v>
      </c>
      <c r="M512" s="24">
        <v>9</v>
      </c>
      <c r="N512" s="25">
        <v>61229.05</v>
      </c>
      <c r="O512" s="25">
        <f t="shared" si="60"/>
        <v>551061.45000000007</v>
      </c>
      <c r="P512" s="25">
        <v>34324.99</v>
      </c>
      <c r="Q512" s="25">
        <f t="shared" si="61"/>
        <v>308924.90999999997</v>
      </c>
      <c r="R512" s="25">
        <f t="shared" si="62"/>
        <v>242136.5400000001</v>
      </c>
      <c r="S512" s="26">
        <f t="shared" si="63"/>
        <v>0.43940025200456329</v>
      </c>
    </row>
    <row r="513" spans="1:19" ht="15" x14ac:dyDescent="0.2">
      <c r="A513" s="23">
        <v>45787</v>
      </c>
      <c r="B513">
        <f t="shared" si="56"/>
        <v>2025</v>
      </c>
      <c r="C513">
        <f t="shared" si="57"/>
        <v>5</v>
      </c>
      <c r="D513" t="str">
        <f t="shared" si="58"/>
        <v>Mayo</v>
      </c>
      <c r="E513" t="str">
        <f t="shared" si="59"/>
        <v>T2</v>
      </c>
      <c r="F513" t="s">
        <v>636</v>
      </c>
      <c r="G513" t="s">
        <v>149</v>
      </c>
      <c r="H513" t="s">
        <v>93</v>
      </c>
      <c r="I513" t="s">
        <v>150</v>
      </c>
      <c r="J513" t="s">
        <v>77</v>
      </c>
      <c r="K513" t="s">
        <v>78</v>
      </c>
      <c r="L513" t="s">
        <v>117</v>
      </c>
      <c r="M513" s="24">
        <v>3</v>
      </c>
      <c r="N513" s="25">
        <v>44848.85</v>
      </c>
      <c r="O513" s="25">
        <f t="shared" si="60"/>
        <v>134546.54999999999</v>
      </c>
      <c r="P513" s="25">
        <v>26259.13</v>
      </c>
      <c r="Q513" s="25">
        <f t="shared" si="61"/>
        <v>78777.39</v>
      </c>
      <c r="R513" s="25">
        <f t="shared" si="62"/>
        <v>55769.159999999989</v>
      </c>
      <c r="S513" s="26">
        <f t="shared" si="63"/>
        <v>0.41449713872262051</v>
      </c>
    </row>
    <row r="514" spans="1:19" ht="15" x14ac:dyDescent="0.2">
      <c r="A514" s="23">
        <v>45787</v>
      </c>
      <c r="B514">
        <f t="shared" ref="B514:B577" si="64">YEAR($A514)</f>
        <v>2025</v>
      </c>
      <c r="C514">
        <f t="shared" ref="C514:C577" si="65">MONTH($A514)</f>
        <v>5</v>
      </c>
      <c r="D514" t="str">
        <f t="shared" ref="D514:D577" si="66">INDEX(lst_Meses,MONTH($A514))</f>
        <v>Mayo</v>
      </c>
      <c r="E514" t="str">
        <f t="shared" ref="E514:E577" si="67">"T"&amp;ROUNDUP(MONTH($A514)/3,0)</f>
        <v>T2</v>
      </c>
      <c r="F514" t="s">
        <v>637</v>
      </c>
      <c r="G514" t="s">
        <v>92</v>
      </c>
      <c r="H514" t="s">
        <v>93</v>
      </c>
      <c r="I514" t="s">
        <v>94</v>
      </c>
      <c r="J514" t="s">
        <v>57</v>
      </c>
      <c r="K514" t="s">
        <v>58</v>
      </c>
      <c r="L514" t="s">
        <v>162</v>
      </c>
      <c r="M514" s="24">
        <v>3</v>
      </c>
      <c r="N514" s="25">
        <v>23151.95</v>
      </c>
      <c r="O514" s="25">
        <f t="shared" ref="O514:O577" si="68">$M514*$N514</f>
        <v>69455.850000000006</v>
      </c>
      <c r="P514" s="25">
        <v>13552.45</v>
      </c>
      <c r="Q514" s="25">
        <f t="shared" ref="Q514:Q577" si="69">$M514*$P514</f>
        <v>40657.350000000006</v>
      </c>
      <c r="R514" s="25">
        <f t="shared" ref="R514:R577" si="70">$O514-$Q514</f>
        <v>28798.5</v>
      </c>
      <c r="S514" s="26">
        <f t="shared" ref="S514:S577" si="71">IFERROR($R514/$O514,0)</f>
        <v>0.41463030111934412</v>
      </c>
    </row>
    <row r="515" spans="1:19" ht="15" x14ac:dyDescent="0.2">
      <c r="A515" s="23">
        <v>45788</v>
      </c>
      <c r="B515">
        <f t="shared" si="64"/>
        <v>2025</v>
      </c>
      <c r="C515">
        <f t="shared" si="65"/>
        <v>5</v>
      </c>
      <c r="D515" t="str">
        <f t="shared" si="66"/>
        <v>Mayo</v>
      </c>
      <c r="E515" t="str">
        <f t="shared" si="67"/>
        <v>T2</v>
      </c>
      <c r="F515" t="s">
        <v>638</v>
      </c>
      <c r="G515" t="s">
        <v>54</v>
      </c>
      <c r="H515" t="s">
        <v>55</v>
      </c>
      <c r="I515" t="s">
        <v>56</v>
      </c>
      <c r="J515" t="s">
        <v>77</v>
      </c>
      <c r="K515" t="s">
        <v>78</v>
      </c>
      <c r="L515" t="s">
        <v>117</v>
      </c>
      <c r="M515" s="24">
        <v>12</v>
      </c>
      <c r="N515" s="25">
        <v>60367.35</v>
      </c>
      <c r="O515" s="25">
        <f t="shared" si="68"/>
        <v>724408.2</v>
      </c>
      <c r="P515" s="25">
        <v>42310.14</v>
      </c>
      <c r="Q515" s="25">
        <f t="shared" si="69"/>
        <v>507721.68</v>
      </c>
      <c r="R515" s="25">
        <f t="shared" si="70"/>
        <v>216686.51999999996</v>
      </c>
      <c r="S515" s="26">
        <f t="shared" si="71"/>
        <v>0.29912212479096728</v>
      </c>
    </row>
    <row r="516" spans="1:19" ht="15" x14ac:dyDescent="0.2">
      <c r="A516" s="23">
        <v>45788</v>
      </c>
      <c r="B516">
        <f t="shared" si="64"/>
        <v>2025</v>
      </c>
      <c r="C516">
        <f t="shared" si="65"/>
        <v>5</v>
      </c>
      <c r="D516" t="str">
        <f t="shared" si="66"/>
        <v>Mayo</v>
      </c>
      <c r="E516" t="str">
        <f t="shared" si="67"/>
        <v>T2</v>
      </c>
      <c r="F516" t="s">
        <v>639</v>
      </c>
      <c r="G516" t="s">
        <v>54</v>
      </c>
      <c r="H516" t="s">
        <v>55</v>
      </c>
      <c r="I516" t="s">
        <v>56</v>
      </c>
      <c r="J516" t="s">
        <v>57</v>
      </c>
      <c r="K516" t="s">
        <v>58</v>
      </c>
      <c r="L516" t="s">
        <v>59</v>
      </c>
      <c r="M516" s="24">
        <v>7</v>
      </c>
      <c r="N516" s="25">
        <v>59904.65</v>
      </c>
      <c r="O516" s="25">
        <f t="shared" si="68"/>
        <v>419332.55</v>
      </c>
      <c r="P516" s="25">
        <v>43883.79</v>
      </c>
      <c r="Q516" s="25">
        <f t="shared" si="69"/>
        <v>307186.53000000003</v>
      </c>
      <c r="R516" s="25">
        <f t="shared" si="70"/>
        <v>112146.01999999996</v>
      </c>
      <c r="S516" s="26">
        <f t="shared" si="71"/>
        <v>0.26743933901625322</v>
      </c>
    </row>
    <row r="517" spans="1:19" ht="15" x14ac:dyDescent="0.2">
      <c r="A517" s="23">
        <v>45788</v>
      </c>
      <c r="B517">
        <f t="shared" si="64"/>
        <v>2025</v>
      </c>
      <c r="C517">
        <f t="shared" si="65"/>
        <v>5</v>
      </c>
      <c r="D517" t="str">
        <f t="shared" si="66"/>
        <v>Mayo</v>
      </c>
      <c r="E517" t="str">
        <f t="shared" si="67"/>
        <v>T2</v>
      </c>
      <c r="F517" t="s">
        <v>640</v>
      </c>
      <c r="G517" t="s">
        <v>110</v>
      </c>
      <c r="H517" t="s">
        <v>62</v>
      </c>
      <c r="I517" t="s">
        <v>69</v>
      </c>
      <c r="J517" t="s">
        <v>57</v>
      </c>
      <c r="K517" t="s">
        <v>58</v>
      </c>
      <c r="L517" t="s">
        <v>162</v>
      </c>
      <c r="M517" s="24">
        <v>52</v>
      </c>
      <c r="N517" s="25">
        <v>6501.43</v>
      </c>
      <c r="O517" s="25">
        <f t="shared" si="68"/>
        <v>338074.36</v>
      </c>
      <c r="P517" s="25">
        <v>5364.37</v>
      </c>
      <c r="Q517" s="25">
        <f t="shared" si="69"/>
        <v>278947.24</v>
      </c>
      <c r="R517" s="25">
        <f t="shared" si="70"/>
        <v>59127.119999999995</v>
      </c>
      <c r="S517" s="26">
        <f t="shared" si="71"/>
        <v>0.17489383104947681</v>
      </c>
    </row>
    <row r="518" spans="1:19" ht="15" x14ac:dyDescent="0.2">
      <c r="A518" s="23">
        <v>45788</v>
      </c>
      <c r="B518">
        <f t="shared" si="64"/>
        <v>2025</v>
      </c>
      <c r="C518">
        <f t="shared" si="65"/>
        <v>5</v>
      </c>
      <c r="D518" t="str">
        <f t="shared" si="66"/>
        <v>Mayo</v>
      </c>
      <c r="E518" t="str">
        <f t="shared" si="67"/>
        <v>T2</v>
      </c>
      <c r="F518" t="s">
        <v>641</v>
      </c>
      <c r="G518" t="s">
        <v>92</v>
      </c>
      <c r="H518" t="s">
        <v>93</v>
      </c>
      <c r="I518" t="s">
        <v>94</v>
      </c>
      <c r="J518" t="s">
        <v>57</v>
      </c>
      <c r="K518" t="s">
        <v>81</v>
      </c>
      <c r="L518" t="s">
        <v>129</v>
      </c>
      <c r="M518" s="24">
        <v>1</v>
      </c>
      <c r="N518" s="25">
        <v>7090.19</v>
      </c>
      <c r="O518" s="25">
        <f t="shared" si="68"/>
        <v>7090.19</v>
      </c>
      <c r="P518" s="25">
        <v>4077.22</v>
      </c>
      <c r="Q518" s="25">
        <f t="shared" si="69"/>
        <v>4077.22</v>
      </c>
      <c r="R518" s="25">
        <f t="shared" si="70"/>
        <v>3012.97</v>
      </c>
      <c r="S518" s="26">
        <f t="shared" si="71"/>
        <v>0.42494911984022993</v>
      </c>
    </row>
    <row r="519" spans="1:19" ht="15" x14ac:dyDescent="0.2">
      <c r="A519" s="23">
        <v>45788</v>
      </c>
      <c r="B519">
        <f t="shared" si="64"/>
        <v>2025</v>
      </c>
      <c r="C519">
        <f t="shared" si="65"/>
        <v>5</v>
      </c>
      <c r="D519" t="str">
        <f t="shared" si="66"/>
        <v>Mayo</v>
      </c>
      <c r="E519" t="str">
        <f t="shared" si="67"/>
        <v>T2</v>
      </c>
      <c r="F519" t="s">
        <v>642</v>
      </c>
      <c r="G519" t="s">
        <v>149</v>
      </c>
      <c r="H519" t="s">
        <v>93</v>
      </c>
      <c r="I519" t="s">
        <v>150</v>
      </c>
      <c r="J519" t="s">
        <v>70</v>
      </c>
      <c r="K519" t="s">
        <v>84</v>
      </c>
      <c r="L519" t="s">
        <v>147</v>
      </c>
      <c r="M519" s="24">
        <v>2</v>
      </c>
      <c r="N519" s="25">
        <v>48487.15</v>
      </c>
      <c r="O519" s="25">
        <f t="shared" si="68"/>
        <v>96974.3</v>
      </c>
      <c r="P519" s="25">
        <v>30368.15</v>
      </c>
      <c r="Q519" s="25">
        <f t="shared" si="69"/>
        <v>60736.3</v>
      </c>
      <c r="R519" s="25">
        <f t="shared" si="70"/>
        <v>36238</v>
      </c>
      <c r="S519" s="26">
        <f t="shared" si="71"/>
        <v>0.37368663656247064</v>
      </c>
    </row>
    <row r="520" spans="1:19" ht="15" x14ac:dyDescent="0.2">
      <c r="A520" s="23">
        <v>45789</v>
      </c>
      <c r="B520">
        <f t="shared" si="64"/>
        <v>2025</v>
      </c>
      <c r="C520">
        <f t="shared" si="65"/>
        <v>5</v>
      </c>
      <c r="D520" t="str">
        <f t="shared" si="66"/>
        <v>Mayo</v>
      </c>
      <c r="E520" t="str">
        <f t="shared" si="67"/>
        <v>T2</v>
      </c>
      <c r="F520" t="s">
        <v>643</v>
      </c>
      <c r="G520" t="s">
        <v>183</v>
      </c>
      <c r="H520" t="s">
        <v>55</v>
      </c>
      <c r="I520" t="s">
        <v>184</v>
      </c>
      <c r="J520" t="s">
        <v>64</v>
      </c>
      <c r="K520" t="s">
        <v>96</v>
      </c>
      <c r="L520" t="s">
        <v>97</v>
      </c>
      <c r="M520" s="24">
        <v>3</v>
      </c>
      <c r="N520" s="25">
        <v>367377.33</v>
      </c>
      <c r="O520" s="25">
        <f t="shared" si="68"/>
        <v>1102131.99</v>
      </c>
      <c r="P520" s="25">
        <v>272962.78000000003</v>
      </c>
      <c r="Q520" s="25">
        <f t="shared" si="69"/>
        <v>818888.34000000008</v>
      </c>
      <c r="R520" s="25">
        <f t="shared" si="70"/>
        <v>283243.64999999991</v>
      </c>
      <c r="S520" s="26">
        <f t="shared" si="71"/>
        <v>0.25699612439341307</v>
      </c>
    </row>
    <row r="521" spans="1:19" ht="15" x14ac:dyDescent="0.2">
      <c r="A521" s="23">
        <v>45789</v>
      </c>
      <c r="B521">
        <f t="shared" si="64"/>
        <v>2025</v>
      </c>
      <c r="C521">
        <f t="shared" si="65"/>
        <v>5</v>
      </c>
      <c r="D521" t="str">
        <f t="shared" si="66"/>
        <v>Mayo</v>
      </c>
      <c r="E521" t="str">
        <f t="shared" si="67"/>
        <v>T2</v>
      </c>
      <c r="F521" t="s">
        <v>644</v>
      </c>
      <c r="G521" t="s">
        <v>68</v>
      </c>
      <c r="H521" t="s">
        <v>62</v>
      </c>
      <c r="I521" t="s">
        <v>69</v>
      </c>
      <c r="J521" t="s">
        <v>64</v>
      </c>
      <c r="K521" t="s">
        <v>96</v>
      </c>
      <c r="L521" t="s">
        <v>97</v>
      </c>
      <c r="M521" s="24">
        <v>390</v>
      </c>
      <c r="N521" s="25">
        <v>3111.46</v>
      </c>
      <c r="O521" s="25">
        <f t="shared" si="68"/>
        <v>1213469.3999999999</v>
      </c>
      <c r="P521" s="25">
        <v>2601.1799999999998</v>
      </c>
      <c r="Q521" s="25">
        <f t="shared" si="69"/>
        <v>1014460.2</v>
      </c>
      <c r="R521" s="25">
        <f t="shared" si="70"/>
        <v>199009.19999999995</v>
      </c>
      <c r="S521" s="26">
        <f t="shared" si="71"/>
        <v>0.16400017997981653</v>
      </c>
    </row>
    <row r="522" spans="1:19" ht="15" x14ac:dyDescent="0.2">
      <c r="A522" s="23">
        <v>45789</v>
      </c>
      <c r="B522">
        <f t="shared" si="64"/>
        <v>2025</v>
      </c>
      <c r="C522">
        <f t="shared" si="65"/>
        <v>5</v>
      </c>
      <c r="D522" t="str">
        <f t="shared" si="66"/>
        <v>Mayo</v>
      </c>
      <c r="E522" t="str">
        <f t="shared" si="67"/>
        <v>T2</v>
      </c>
      <c r="F522" t="s">
        <v>645</v>
      </c>
      <c r="G522" t="s">
        <v>105</v>
      </c>
      <c r="H522" t="s">
        <v>62</v>
      </c>
      <c r="I522" t="s">
        <v>106</v>
      </c>
      <c r="J522" t="s">
        <v>77</v>
      </c>
      <c r="K522" t="s">
        <v>78</v>
      </c>
      <c r="L522" t="s">
        <v>79</v>
      </c>
      <c r="M522" s="24">
        <v>220</v>
      </c>
      <c r="N522" s="25">
        <v>1861.52</v>
      </c>
      <c r="O522" s="25">
        <f t="shared" si="68"/>
        <v>409534.4</v>
      </c>
      <c r="P522" s="25">
        <v>1498.03</v>
      </c>
      <c r="Q522" s="25">
        <f t="shared" si="69"/>
        <v>329566.59999999998</v>
      </c>
      <c r="R522" s="25">
        <f t="shared" si="70"/>
        <v>79967.800000000047</v>
      </c>
      <c r="S522" s="26">
        <f t="shared" si="71"/>
        <v>0.19526515965447602</v>
      </c>
    </row>
    <row r="523" spans="1:19" ht="15" x14ac:dyDescent="0.2">
      <c r="A523" s="23">
        <v>45789</v>
      </c>
      <c r="B523">
        <f t="shared" si="64"/>
        <v>2025</v>
      </c>
      <c r="C523">
        <f t="shared" si="65"/>
        <v>5</v>
      </c>
      <c r="D523" t="str">
        <f t="shared" si="66"/>
        <v>Mayo</v>
      </c>
      <c r="E523" t="str">
        <f t="shared" si="67"/>
        <v>T2</v>
      </c>
      <c r="F523" t="s">
        <v>646</v>
      </c>
      <c r="G523" t="s">
        <v>74</v>
      </c>
      <c r="H523" t="s">
        <v>75</v>
      </c>
      <c r="I523" t="s">
        <v>76</v>
      </c>
      <c r="J523" t="s">
        <v>70</v>
      </c>
      <c r="K523" t="s">
        <v>71</v>
      </c>
      <c r="L523" t="s">
        <v>90</v>
      </c>
      <c r="M523" s="24">
        <v>8</v>
      </c>
      <c r="N523" s="25">
        <v>37597.660000000003</v>
      </c>
      <c r="O523" s="25">
        <f t="shared" si="68"/>
        <v>300781.28000000003</v>
      </c>
      <c r="P523" s="25">
        <v>27275.11</v>
      </c>
      <c r="Q523" s="25">
        <f t="shared" si="69"/>
        <v>218200.88</v>
      </c>
      <c r="R523" s="25">
        <f t="shared" si="70"/>
        <v>82580.400000000023</v>
      </c>
      <c r="S523" s="26">
        <f t="shared" si="71"/>
        <v>0.27455299079783163</v>
      </c>
    </row>
    <row r="524" spans="1:19" ht="15" x14ac:dyDescent="0.2">
      <c r="A524" s="23">
        <v>45789</v>
      </c>
      <c r="B524">
        <f t="shared" si="64"/>
        <v>2025</v>
      </c>
      <c r="C524">
        <f t="shared" si="65"/>
        <v>5</v>
      </c>
      <c r="D524" t="str">
        <f t="shared" si="66"/>
        <v>Mayo</v>
      </c>
      <c r="E524" t="str">
        <f t="shared" si="67"/>
        <v>T2</v>
      </c>
      <c r="F524" t="s">
        <v>647</v>
      </c>
      <c r="G524" t="s">
        <v>100</v>
      </c>
      <c r="H524" t="s">
        <v>88</v>
      </c>
      <c r="I524" t="s">
        <v>101</v>
      </c>
      <c r="J524" t="s">
        <v>64</v>
      </c>
      <c r="K524" t="s">
        <v>65</v>
      </c>
      <c r="L524" t="s">
        <v>66</v>
      </c>
      <c r="M524" s="24">
        <v>13</v>
      </c>
      <c r="N524" s="25">
        <v>38428.85</v>
      </c>
      <c r="O524" s="25">
        <f t="shared" si="68"/>
        <v>499575.05</v>
      </c>
      <c r="P524" s="25">
        <v>21393.43</v>
      </c>
      <c r="Q524" s="25">
        <f t="shared" si="69"/>
        <v>278114.59000000003</v>
      </c>
      <c r="R524" s="25">
        <f t="shared" si="70"/>
        <v>221460.45999999996</v>
      </c>
      <c r="S524" s="26">
        <f t="shared" si="71"/>
        <v>0.44329767869712461</v>
      </c>
    </row>
    <row r="525" spans="1:19" ht="15" x14ac:dyDescent="0.2">
      <c r="A525" s="23">
        <v>45789</v>
      </c>
      <c r="B525">
        <f t="shared" si="64"/>
        <v>2025</v>
      </c>
      <c r="C525">
        <f t="shared" si="65"/>
        <v>5</v>
      </c>
      <c r="D525" t="str">
        <f t="shared" si="66"/>
        <v>Mayo</v>
      </c>
      <c r="E525" t="str">
        <f t="shared" si="67"/>
        <v>T2</v>
      </c>
      <c r="F525" t="s">
        <v>648</v>
      </c>
      <c r="G525" t="s">
        <v>87</v>
      </c>
      <c r="H525" t="s">
        <v>88</v>
      </c>
      <c r="I525" t="s">
        <v>89</v>
      </c>
      <c r="J525" t="s">
        <v>77</v>
      </c>
      <c r="K525" t="s">
        <v>78</v>
      </c>
      <c r="L525" t="s">
        <v>117</v>
      </c>
      <c r="M525" s="24">
        <v>3</v>
      </c>
      <c r="N525" s="25">
        <v>68027.12</v>
      </c>
      <c r="O525" s="25">
        <f t="shared" si="68"/>
        <v>204081.36</v>
      </c>
      <c r="P525" s="25">
        <v>37733.279999999999</v>
      </c>
      <c r="Q525" s="25">
        <f t="shared" si="69"/>
        <v>113199.84</v>
      </c>
      <c r="R525" s="25">
        <f t="shared" si="70"/>
        <v>90881.51999999999</v>
      </c>
      <c r="S525" s="26">
        <f t="shared" si="71"/>
        <v>0.44532004294757738</v>
      </c>
    </row>
    <row r="526" spans="1:19" ht="15" x14ac:dyDescent="0.2">
      <c r="A526" s="23">
        <v>45790</v>
      </c>
      <c r="B526">
        <f t="shared" si="64"/>
        <v>2025</v>
      </c>
      <c r="C526">
        <f t="shared" si="65"/>
        <v>5</v>
      </c>
      <c r="D526" t="str">
        <f t="shared" si="66"/>
        <v>Mayo</v>
      </c>
      <c r="E526" t="str">
        <f t="shared" si="67"/>
        <v>T2</v>
      </c>
      <c r="F526" t="s">
        <v>649</v>
      </c>
      <c r="G526" t="s">
        <v>74</v>
      </c>
      <c r="H526" t="s">
        <v>75</v>
      </c>
      <c r="I526" t="s">
        <v>76</v>
      </c>
      <c r="J526" t="s">
        <v>64</v>
      </c>
      <c r="K526" t="s">
        <v>96</v>
      </c>
      <c r="L526" t="s">
        <v>103</v>
      </c>
      <c r="M526" s="24">
        <v>18</v>
      </c>
      <c r="N526" s="25">
        <v>41250.35</v>
      </c>
      <c r="O526" s="25">
        <f t="shared" si="68"/>
        <v>742506.29999999993</v>
      </c>
      <c r="P526" s="25">
        <v>28332.89</v>
      </c>
      <c r="Q526" s="25">
        <f t="shared" si="69"/>
        <v>509992.02</v>
      </c>
      <c r="R526" s="25">
        <f t="shared" si="70"/>
        <v>232514.27999999991</v>
      </c>
      <c r="S526" s="26">
        <f t="shared" si="71"/>
        <v>0.31314788844215857</v>
      </c>
    </row>
    <row r="527" spans="1:19" ht="15" x14ac:dyDescent="0.2">
      <c r="A527" s="23">
        <v>45790</v>
      </c>
      <c r="B527">
        <f t="shared" si="64"/>
        <v>2025</v>
      </c>
      <c r="C527">
        <f t="shared" si="65"/>
        <v>5</v>
      </c>
      <c r="D527" t="str">
        <f t="shared" si="66"/>
        <v>Mayo</v>
      </c>
      <c r="E527" t="str">
        <f t="shared" si="67"/>
        <v>T2</v>
      </c>
      <c r="F527" t="s">
        <v>650</v>
      </c>
      <c r="G527" t="s">
        <v>100</v>
      </c>
      <c r="H527" t="s">
        <v>88</v>
      </c>
      <c r="I527" t="s">
        <v>101</v>
      </c>
      <c r="J527" t="s">
        <v>77</v>
      </c>
      <c r="K527" t="s">
        <v>107</v>
      </c>
      <c r="L527" t="s">
        <v>112</v>
      </c>
      <c r="M527" s="24">
        <v>9</v>
      </c>
      <c r="N527" s="25">
        <v>42948.33</v>
      </c>
      <c r="O527" s="25">
        <f t="shared" si="68"/>
        <v>386534.97000000003</v>
      </c>
      <c r="P527" s="25">
        <v>21441.14</v>
      </c>
      <c r="Q527" s="25">
        <f t="shared" si="69"/>
        <v>192970.26</v>
      </c>
      <c r="R527" s="25">
        <f t="shared" si="70"/>
        <v>193564.71000000002</v>
      </c>
      <c r="S527" s="26">
        <f t="shared" si="71"/>
        <v>0.50076894724428167</v>
      </c>
    </row>
    <row r="528" spans="1:19" ht="15" x14ac:dyDescent="0.2">
      <c r="A528" s="23">
        <v>45790</v>
      </c>
      <c r="B528">
        <f t="shared" si="64"/>
        <v>2025</v>
      </c>
      <c r="C528">
        <f t="shared" si="65"/>
        <v>5</v>
      </c>
      <c r="D528" t="str">
        <f t="shared" si="66"/>
        <v>Mayo</v>
      </c>
      <c r="E528" t="str">
        <f t="shared" si="67"/>
        <v>T2</v>
      </c>
      <c r="F528" t="s">
        <v>651</v>
      </c>
      <c r="G528" t="s">
        <v>149</v>
      </c>
      <c r="H528" t="s">
        <v>93</v>
      </c>
      <c r="I528" t="s">
        <v>150</v>
      </c>
      <c r="J528" t="s">
        <v>64</v>
      </c>
      <c r="K528" t="s">
        <v>96</v>
      </c>
      <c r="L528" t="s">
        <v>103</v>
      </c>
      <c r="M528" s="24">
        <v>5</v>
      </c>
      <c r="N528" s="25">
        <v>46785.43</v>
      </c>
      <c r="O528" s="25">
        <f t="shared" si="68"/>
        <v>233927.15</v>
      </c>
      <c r="P528" s="25">
        <v>28420.720000000001</v>
      </c>
      <c r="Q528" s="25">
        <f t="shared" si="69"/>
        <v>142103.6</v>
      </c>
      <c r="R528" s="25">
        <f t="shared" si="70"/>
        <v>91823.549999999988</v>
      </c>
      <c r="S528" s="26">
        <f t="shared" si="71"/>
        <v>0.39253053781914582</v>
      </c>
    </row>
    <row r="529" spans="1:19" ht="15" x14ac:dyDescent="0.2">
      <c r="A529" s="23">
        <v>45791</v>
      </c>
      <c r="B529">
        <f t="shared" si="64"/>
        <v>2025</v>
      </c>
      <c r="C529">
        <f t="shared" si="65"/>
        <v>5</v>
      </c>
      <c r="D529" t="str">
        <f t="shared" si="66"/>
        <v>Mayo</v>
      </c>
      <c r="E529" t="str">
        <f t="shared" si="67"/>
        <v>T2</v>
      </c>
      <c r="F529" t="s">
        <v>652</v>
      </c>
      <c r="G529" t="s">
        <v>183</v>
      </c>
      <c r="H529" t="s">
        <v>55</v>
      </c>
      <c r="I529" t="s">
        <v>184</v>
      </c>
      <c r="J529" t="s">
        <v>125</v>
      </c>
      <c r="K529" t="s">
        <v>138</v>
      </c>
      <c r="L529" t="s">
        <v>142</v>
      </c>
      <c r="M529" s="24">
        <v>2</v>
      </c>
      <c r="N529" s="25">
        <v>420480.12</v>
      </c>
      <c r="O529" s="25">
        <f t="shared" si="68"/>
        <v>840960.24</v>
      </c>
      <c r="P529" s="25">
        <v>296684.08</v>
      </c>
      <c r="Q529" s="25">
        <f t="shared" si="69"/>
        <v>593368.16</v>
      </c>
      <c r="R529" s="25">
        <f t="shared" si="70"/>
        <v>247592.07999999996</v>
      </c>
      <c r="S529" s="26">
        <f t="shared" si="71"/>
        <v>0.29441591673822765</v>
      </c>
    </row>
    <row r="530" spans="1:19" ht="15" x14ac:dyDescent="0.2">
      <c r="A530" s="23">
        <v>45791</v>
      </c>
      <c r="B530">
        <f t="shared" si="64"/>
        <v>2025</v>
      </c>
      <c r="C530">
        <f t="shared" si="65"/>
        <v>5</v>
      </c>
      <c r="D530" t="str">
        <f t="shared" si="66"/>
        <v>Mayo</v>
      </c>
      <c r="E530" t="str">
        <f t="shared" si="67"/>
        <v>T2</v>
      </c>
      <c r="F530" t="s">
        <v>653</v>
      </c>
      <c r="G530" t="s">
        <v>54</v>
      </c>
      <c r="H530" t="s">
        <v>55</v>
      </c>
      <c r="I530" t="s">
        <v>56</v>
      </c>
      <c r="J530" t="s">
        <v>70</v>
      </c>
      <c r="K530" t="s">
        <v>71</v>
      </c>
      <c r="L530" t="s">
        <v>90</v>
      </c>
      <c r="M530" s="24">
        <v>3</v>
      </c>
      <c r="N530" s="25">
        <v>57731.03</v>
      </c>
      <c r="O530" s="25">
        <f t="shared" si="68"/>
        <v>173193.09</v>
      </c>
      <c r="P530" s="25">
        <v>43444.21</v>
      </c>
      <c r="Q530" s="25">
        <f t="shared" si="69"/>
        <v>130332.63</v>
      </c>
      <c r="R530" s="25">
        <f t="shared" si="70"/>
        <v>42860.459999999992</v>
      </c>
      <c r="S530" s="26">
        <f t="shared" si="71"/>
        <v>0.24747211335048064</v>
      </c>
    </row>
    <row r="531" spans="1:19" ht="15" x14ac:dyDescent="0.2">
      <c r="A531" s="23">
        <v>45791</v>
      </c>
      <c r="B531">
        <f t="shared" si="64"/>
        <v>2025</v>
      </c>
      <c r="C531">
        <f t="shared" si="65"/>
        <v>5</v>
      </c>
      <c r="D531" t="str">
        <f t="shared" si="66"/>
        <v>Mayo</v>
      </c>
      <c r="E531" t="str">
        <f t="shared" si="67"/>
        <v>T2</v>
      </c>
      <c r="F531" t="s">
        <v>654</v>
      </c>
      <c r="G531" t="s">
        <v>68</v>
      </c>
      <c r="H531" t="s">
        <v>62</v>
      </c>
      <c r="I531" t="s">
        <v>69</v>
      </c>
      <c r="J531" t="s">
        <v>77</v>
      </c>
      <c r="K531" t="s">
        <v>107</v>
      </c>
      <c r="L531" t="s">
        <v>108</v>
      </c>
      <c r="M531" s="24">
        <v>224</v>
      </c>
      <c r="N531" s="25">
        <v>3347.02</v>
      </c>
      <c r="O531" s="25">
        <f t="shared" si="68"/>
        <v>749732.48</v>
      </c>
      <c r="P531" s="25">
        <v>2603.2600000000002</v>
      </c>
      <c r="Q531" s="25">
        <f t="shared" si="69"/>
        <v>583130.24</v>
      </c>
      <c r="R531" s="25">
        <f t="shared" si="70"/>
        <v>166602.23999999999</v>
      </c>
      <c r="S531" s="26">
        <f t="shared" si="71"/>
        <v>0.22221558281695358</v>
      </c>
    </row>
    <row r="532" spans="1:19" ht="15" x14ac:dyDescent="0.2">
      <c r="A532" s="23">
        <v>45791</v>
      </c>
      <c r="B532">
        <f t="shared" si="64"/>
        <v>2025</v>
      </c>
      <c r="C532">
        <f t="shared" si="65"/>
        <v>5</v>
      </c>
      <c r="D532" t="str">
        <f t="shared" si="66"/>
        <v>Mayo</v>
      </c>
      <c r="E532" t="str">
        <f t="shared" si="67"/>
        <v>T2</v>
      </c>
      <c r="F532" t="s">
        <v>655</v>
      </c>
      <c r="G532" t="s">
        <v>144</v>
      </c>
      <c r="H532" t="s">
        <v>88</v>
      </c>
      <c r="I532" t="s">
        <v>145</v>
      </c>
      <c r="J532" t="s">
        <v>57</v>
      </c>
      <c r="K532" t="s">
        <v>58</v>
      </c>
      <c r="L532" t="s">
        <v>59</v>
      </c>
      <c r="M532" s="24">
        <v>21</v>
      </c>
      <c r="N532" s="25">
        <v>13096.67</v>
      </c>
      <c r="O532" s="25">
        <f t="shared" si="68"/>
        <v>275030.07</v>
      </c>
      <c r="P532" s="25">
        <v>7115.31</v>
      </c>
      <c r="Q532" s="25">
        <f t="shared" si="69"/>
        <v>149421.51</v>
      </c>
      <c r="R532" s="25">
        <f t="shared" si="70"/>
        <v>125608.56</v>
      </c>
      <c r="S532" s="26">
        <f t="shared" si="71"/>
        <v>0.45670846100573653</v>
      </c>
    </row>
    <row r="533" spans="1:19" ht="15" x14ac:dyDescent="0.2">
      <c r="A533" s="23">
        <v>45791</v>
      </c>
      <c r="B533">
        <f t="shared" si="64"/>
        <v>2025</v>
      </c>
      <c r="C533">
        <f t="shared" si="65"/>
        <v>5</v>
      </c>
      <c r="D533" t="str">
        <f t="shared" si="66"/>
        <v>Mayo</v>
      </c>
      <c r="E533" t="str">
        <f t="shared" si="67"/>
        <v>T2</v>
      </c>
      <c r="F533" t="s">
        <v>656</v>
      </c>
      <c r="G533" t="s">
        <v>92</v>
      </c>
      <c r="H533" t="s">
        <v>93</v>
      </c>
      <c r="I533" t="s">
        <v>94</v>
      </c>
      <c r="J533" t="s">
        <v>77</v>
      </c>
      <c r="K533" t="s">
        <v>107</v>
      </c>
      <c r="L533" t="s">
        <v>108</v>
      </c>
      <c r="M533" s="24">
        <v>7</v>
      </c>
      <c r="N533" s="25">
        <v>20380.419999999998</v>
      </c>
      <c r="O533" s="25">
        <f t="shared" si="68"/>
        <v>142662.94</v>
      </c>
      <c r="P533" s="25">
        <v>11287.37</v>
      </c>
      <c r="Q533" s="25">
        <f t="shared" si="69"/>
        <v>79011.590000000011</v>
      </c>
      <c r="R533" s="25">
        <f t="shared" si="70"/>
        <v>63651.349999999991</v>
      </c>
      <c r="S533" s="26">
        <f t="shared" si="71"/>
        <v>0.44616597695238852</v>
      </c>
    </row>
    <row r="534" spans="1:19" ht="15" x14ac:dyDescent="0.2">
      <c r="A534" s="23">
        <v>45791</v>
      </c>
      <c r="B534">
        <f t="shared" si="64"/>
        <v>2025</v>
      </c>
      <c r="C534">
        <f t="shared" si="65"/>
        <v>5</v>
      </c>
      <c r="D534" t="str">
        <f t="shared" si="66"/>
        <v>Mayo</v>
      </c>
      <c r="E534" t="str">
        <f t="shared" si="67"/>
        <v>T2</v>
      </c>
      <c r="F534" t="s">
        <v>657</v>
      </c>
      <c r="G534" t="s">
        <v>92</v>
      </c>
      <c r="H534" t="s">
        <v>93</v>
      </c>
      <c r="I534" t="s">
        <v>94</v>
      </c>
      <c r="J534" t="s">
        <v>125</v>
      </c>
      <c r="K534" t="s">
        <v>126</v>
      </c>
      <c r="L534" t="s">
        <v>127</v>
      </c>
      <c r="M534" s="24">
        <v>6</v>
      </c>
      <c r="N534" s="25">
        <v>20407.72</v>
      </c>
      <c r="O534" s="25">
        <f t="shared" si="68"/>
        <v>122446.32</v>
      </c>
      <c r="P534" s="25">
        <v>12348.79</v>
      </c>
      <c r="Q534" s="25">
        <f t="shared" si="69"/>
        <v>74092.740000000005</v>
      </c>
      <c r="R534" s="25">
        <f t="shared" si="70"/>
        <v>48353.58</v>
      </c>
      <c r="S534" s="26">
        <f t="shared" si="71"/>
        <v>0.39489614714431598</v>
      </c>
    </row>
    <row r="535" spans="1:19" ht="15" x14ac:dyDescent="0.2">
      <c r="A535" s="23">
        <v>45792</v>
      </c>
      <c r="B535">
        <f t="shared" si="64"/>
        <v>2025</v>
      </c>
      <c r="C535">
        <f t="shared" si="65"/>
        <v>5</v>
      </c>
      <c r="D535" t="str">
        <f t="shared" si="66"/>
        <v>Mayo</v>
      </c>
      <c r="E535" t="str">
        <f t="shared" si="67"/>
        <v>T2</v>
      </c>
      <c r="F535" t="s">
        <v>658</v>
      </c>
      <c r="G535" t="s">
        <v>54</v>
      </c>
      <c r="H535" t="s">
        <v>55</v>
      </c>
      <c r="I535" t="s">
        <v>56</v>
      </c>
      <c r="J535" t="s">
        <v>125</v>
      </c>
      <c r="K535" t="s">
        <v>138</v>
      </c>
      <c r="L535" t="s">
        <v>139</v>
      </c>
      <c r="M535" s="24">
        <v>6</v>
      </c>
      <c r="N535" s="25">
        <v>62488.22</v>
      </c>
      <c r="O535" s="25">
        <f t="shared" si="68"/>
        <v>374929.32</v>
      </c>
      <c r="P535" s="25">
        <v>43800</v>
      </c>
      <c r="Q535" s="25">
        <f t="shared" si="69"/>
        <v>262800</v>
      </c>
      <c r="R535" s="25">
        <f t="shared" si="70"/>
        <v>112129.32</v>
      </c>
      <c r="S535" s="26">
        <f t="shared" si="71"/>
        <v>0.29906788831558972</v>
      </c>
    </row>
    <row r="536" spans="1:19" ht="15" x14ac:dyDescent="0.2">
      <c r="A536" s="23">
        <v>45792</v>
      </c>
      <c r="B536">
        <f t="shared" si="64"/>
        <v>2025</v>
      </c>
      <c r="C536">
        <f t="shared" si="65"/>
        <v>5</v>
      </c>
      <c r="D536" t="str">
        <f t="shared" si="66"/>
        <v>Mayo</v>
      </c>
      <c r="E536" t="str">
        <f t="shared" si="67"/>
        <v>T2</v>
      </c>
      <c r="F536" t="s">
        <v>659</v>
      </c>
      <c r="G536" t="s">
        <v>100</v>
      </c>
      <c r="H536" t="s">
        <v>88</v>
      </c>
      <c r="I536" t="s">
        <v>101</v>
      </c>
      <c r="J536" t="s">
        <v>64</v>
      </c>
      <c r="K536" t="s">
        <v>96</v>
      </c>
      <c r="L536" t="s">
        <v>97</v>
      </c>
      <c r="M536" s="24">
        <v>30</v>
      </c>
      <c r="N536" s="25">
        <v>36295.269999999997</v>
      </c>
      <c r="O536" s="25">
        <f t="shared" si="68"/>
        <v>1088858.0999999999</v>
      </c>
      <c r="P536" s="25">
        <v>21336.71</v>
      </c>
      <c r="Q536" s="25">
        <f t="shared" si="69"/>
        <v>640101.29999999993</v>
      </c>
      <c r="R536" s="25">
        <f t="shared" si="70"/>
        <v>448756.79999999993</v>
      </c>
      <c r="S536" s="26">
        <f t="shared" si="71"/>
        <v>0.41213524517106498</v>
      </c>
    </row>
    <row r="537" spans="1:19" ht="15" x14ac:dyDescent="0.2">
      <c r="A537" s="23">
        <v>45792</v>
      </c>
      <c r="B537">
        <f t="shared" si="64"/>
        <v>2025</v>
      </c>
      <c r="C537">
        <f t="shared" si="65"/>
        <v>5</v>
      </c>
      <c r="D537" t="str">
        <f t="shared" si="66"/>
        <v>Mayo</v>
      </c>
      <c r="E537" t="str">
        <f t="shared" si="67"/>
        <v>T2</v>
      </c>
      <c r="F537" t="s">
        <v>660</v>
      </c>
      <c r="G537" t="s">
        <v>92</v>
      </c>
      <c r="H537" t="s">
        <v>93</v>
      </c>
      <c r="I537" t="s">
        <v>94</v>
      </c>
      <c r="J537" t="s">
        <v>125</v>
      </c>
      <c r="K537" t="s">
        <v>126</v>
      </c>
      <c r="L537" t="s">
        <v>131</v>
      </c>
      <c r="M537" s="24">
        <v>3</v>
      </c>
      <c r="N537" s="25">
        <v>18188.36</v>
      </c>
      <c r="O537" s="25">
        <f t="shared" si="68"/>
        <v>54565.08</v>
      </c>
      <c r="P537" s="25">
        <v>10921.82</v>
      </c>
      <c r="Q537" s="25">
        <f t="shared" si="69"/>
        <v>32765.46</v>
      </c>
      <c r="R537" s="25">
        <f t="shared" si="70"/>
        <v>21799.620000000003</v>
      </c>
      <c r="S537" s="26">
        <f t="shared" si="71"/>
        <v>0.39951595415969338</v>
      </c>
    </row>
    <row r="538" spans="1:19" ht="15" x14ac:dyDescent="0.2">
      <c r="A538" s="23">
        <v>45793</v>
      </c>
      <c r="B538">
        <f t="shared" si="64"/>
        <v>2025</v>
      </c>
      <c r="C538">
        <f t="shared" si="65"/>
        <v>5</v>
      </c>
      <c r="D538" t="str">
        <f t="shared" si="66"/>
        <v>Mayo</v>
      </c>
      <c r="E538" t="str">
        <f t="shared" si="67"/>
        <v>T2</v>
      </c>
      <c r="F538" t="s">
        <v>661</v>
      </c>
      <c r="G538" t="s">
        <v>54</v>
      </c>
      <c r="H538" t="s">
        <v>55</v>
      </c>
      <c r="I538" t="s">
        <v>56</v>
      </c>
      <c r="J538" t="s">
        <v>125</v>
      </c>
      <c r="K538" t="s">
        <v>126</v>
      </c>
      <c r="L538" t="s">
        <v>127</v>
      </c>
      <c r="M538" s="24">
        <v>6</v>
      </c>
      <c r="N538" s="25">
        <v>58862.62</v>
      </c>
      <c r="O538" s="25">
        <f t="shared" si="68"/>
        <v>353175.72000000003</v>
      </c>
      <c r="P538" s="25">
        <v>42157.279999999999</v>
      </c>
      <c r="Q538" s="25">
        <f t="shared" si="69"/>
        <v>252943.68</v>
      </c>
      <c r="R538" s="25">
        <f t="shared" si="70"/>
        <v>100232.04000000004</v>
      </c>
      <c r="S538" s="26">
        <f t="shared" si="71"/>
        <v>0.28380218209790875</v>
      </c>
    </row>
    <row r="539" spans="1:19" ht="15" x14ac:dyDescent="0.2">
      <c r="A539" s="23">
        <v>45793</v>
      </c>
      <c r="B539">
        <f t="shared" si="64"/>
        <v>2025</v>
      </c>
      <c r="C539">
        <f t="shared" si="65"/>
        <v>5</v>
      </c>
      <c r="D539" t="str">
        <f t="shared" si="66"/>
        <v>Mayo</v>
      </c>
      <c r="E539" t="str">
        <f t="shared" si="67"/>
        <v>T2</v>
      </c>
      <c r="F539" t="s">
        <v>662</v>
      </c>
      <c r="G539" t="s">
        <v>54</v>
      </c>
      <c r="H539" t="s">
        <v>55</v>
      </c>
      <c r="I539" t="s">
        <v>56</v>
      </c>
      <c r="J539" t="s">
        <v>70</v>
      </c>
      <c r="K539" t="s">
        <v>71</v>
      </c>
      <c r="L539" t="s">
        <v>72</v>
      </c>
      <c r="M539" s="24">
        <v>5</v>
      </c>
      <c r="N539" s="25">
        <v>52742.080000000002</v>
      </c>
      <c r="O539" s="25">
        <f t="shared" si="68"/>
        <v>263710.40000000002</v>
      </c>
      <c r="P539" s="25">
        <v>39856.15</v>
      </c>
      <c r="Q539" s="25">
        <f t="shared" si="69"/>
        <v>199280.75</v>
      </c>
      <c r="R539" s="25">
        <f t="shared" si="70"/>
        <v>64429.650000000023</v>
      </c>
      <c r="S539" s="26">
        <f t="shared" si="71"/>
        <v>0.2443197158701364</v>
      </c>
    </row>
    <row r="540" spans="1:19" ht="15" x14ac:dyDescent="0.2">
      <c r="A540" s="23">
        <v>45793</v>
      </c>
      <c r="B540">
        <f t="shared" si="64"/>
        <v>2025</v>
      </c>
      <c r="C540">
        <f t="shared" si="65"/>
        <v>5</v>
      </c>
      <c r="D540" t="str">
        <f t="shared" si="66"/>
        <v>Mayo</v>
      </c>
      <c r="E540" t="str">
        <f t="shared" si="67"/>
        <v>T2</v>
      </c>
      <c r="F540" t="s">
        <v>663</v>
      </c>
      <c r="G540" t="s">
        <v>110</v>
      </c>
      <c r="H540" t="s">
        <v>62</v>
      </c>
      <c r="I540" t="s">
        <v>69</v>
      </c>
      <c r="J540" t="s">
        <v>64</v>
      </c>
      <c r="K540" t="s">
        <v>65</v>
      </c>
      <c r="L540" t="s">
        <v>66</v>
      </c>
      <c r="M540" s="24">
        <v>96</v>
      </c>
      <c r="N540" s="25">
        <v>6451.55</v>
      </c>
      <c r="O540" s="25">
        <f t="shared" si="68"/>
        <v>619348.80000000005</v>
      </c>
      <c r="P540" s="25">
        <v>5417.26</v>
      </c>
      <c r="Q540" s="25">
        <f t="shared" si="69"/>
        <v>520056.96</v>
      </c>
      <c r="R540" s="25">
        <f t="shared" si="70"/>
        <v>99291.840000000026</v>
      </c>
      <c r="S540" s="26">
        <f t="shared" si="71"/>
        <v>0.16031651308600262</v>
      </c>
    </row>
    <row r="541" spans="1:19" ht="15" x14ac:dyDescent="0.2">
      <c r="A541" s="23">
        <v>45793</v>
      </c>
      <c r="B541">
        <f t="shared" si="64"/>
        <v>2025</v>
      </c>
      <c r="C541">
        <f t="shared" si="65"/>
        <v>5</v>
      </c>
      <c r="D541" t="str">
        <f t="shared" si="66"/>
        <v>Mayo</v>
      </c>
      <c r="E541" t="str">
        <f t="shared" si="67"/>
        <v>T2</v>
      </c>
      <c r="F541" t="s">
        <v>664</v>
      </c>
      <c r="G541" t="s">
        <v>68</v>
      </c>
      <c r="H541" t="s">
        <v>62</v>
      </c>
      <c r="I541" t="s">
        <v>69</v>
      </c>
      <c r="J541" t="s">
        <v>77</v>
      </c>
      <c r="K541" t="s">
        <v>78</v>
      </c>
      <c r="L541" t="s">
        <v>117</v>
      </c>
      <c r="M541" s="24">
        <v>78</v>
      </c>
      <c r="N541" s="25">
        <v>3229.27</v>
      </c>
      <c r="O541" s="25">
        <f t="shared" si="68"/>
        <v>251883.06</v>
      </c>
      <c r="P541" s="25">
        <v>2614.41</v>
      </c>
      <c r="Q541" s="25">
        <f t="shared" si="69"/>
        <v>203923.97999999998</v>
      </c>
      <c r="R541" s="25">
        <f t="shared" si="70"/>
        <v>47959.080000000016</v>
      </c>
      <c r="S541" s="26">
        <f t="shared" si="71"/>
        <v>0.19040216519522996</v>
      </c>
    </row>
    <row r="542" spans="1:19" ht="15" x14ac:dyDescent="0.2">
      <c r="A542" s="23">
        <v>45793</v>
      </c>
      <c r="B542">
        <f t="shared" si="64"/>
        <v>2025</v>
      </c>
      <c r="C542">
        <f t="shared" si="65"/>
        <v>5</v>
      </c>
      <c r="D542" t="str">
        <f t="shared" si="66"/>
        <v>Mayo</v>
      </c>
      <c r="E542" t="str">
        <f t="shared" si="67"/>
        <v>T2</v>
      </c>
      <c r="F542" t="s">
        <v>665</v>
      </c>
      <c r="G542" t="s">
        <v>110</v>
      </c>
      <c r="H542" t="s">
        <v>62</v>
      </c>
      <c r="I542" t="s">
        <v>69</v>
      </c>
      <c r="J542" t="s">
        <v>70</v>
      </c>
      <c r="K542" t="s">
        <v>84</v>
      </c>
      <c r="L542" t="s">
        <v>147</v>
      </c>
      <c r="M542" s="24">
        <v>49</v>
      </c>
      <c r="N542" s="25">
        <v>6368.51</v>
      </c>
      <c r="O542" s="25">
        <f t="shared" si="68"/>
        <v>312056.99</v>
      </c>
      <c r="P542" s="25">
        <v>5454.98</v>
      </c>
      <c r="Q542" s="25">
        <f t="shared" si="69"/>
        <v>267294.01999999996</v>
      </c>
      <c r="R542" s="25">
        <f t="shared" si="70"/>
        <v>44762.97000000003</v>
      </c>
      <c r="S542" s="26">
        <f t="shared" si="71"/>
        <v>0.14344485601812679</v>
      </c>
    </row>
    <row r="543" spans="1:19" ht="15" x14ac:dyDescent="0.2">
      <c r="A543" s="23">
        <v>45793</v>
      </c>
      <c r="B543">
        <f t="shared" si="64"/>
        <v>2025</v>
      </c>
      <c r="C543">
        <f t="shared" si="65"/>
        <v>5</v>
      </c>
      <c r="D543" t="str">
        <f t="shared" si="66"/>
        <v>Mayo</v>
      </c>
      <c r="E543" t="str">
        <f t="shared" si="67"/>
        <v>T2</v>
      </c>
      <c r="F543" t="s">
        <v>666</v>
      </c>
      <c r="G543" t="s">
        <v>74</v>
      </c>
      <c r="H543" t="s">
        <v>75</v>
      </c>
      <c r="I543" t="s">
        <v>76</v>
      </c>
      <c r="J543" t="s">
        <v>77</v>
      </c>
      <c r="K543" t="s">
        <v>107</v>
      </c>
      <c r="L543" t="s">
        <v>108</v>
      </c>
      <c r="M543" s="24">
        <v>11</v>
      </c>
      <c r="N543" s="25">
        <v>45103.42</v>
      </c>
      <c r="O543" s="25">
        <f t="shared" si="68"/>
        <v>496137.62</v>
      </c>
      <c r="P543" s="25">
        <v>29182.21</v>
      </c>
      <c r="Q543" s="25">
        <f t="shared" si="69"/>
        <v>321004.31</v>
      </c>
      <c r="R543" s="25">
        <f t="shared" si="70"/>
        <v>175133.31</v>
      </c>
      <c r="S543" s="26">
        <f t="shared" si="71"/>
        <v>0.35299340936895696</v>
      </c>
    </row>
    <row r="544" spans="1:19" ht="15" x14ac:dyDescent="0.2">
      <c r="A544" s="23">
        <v>45794</v>
      </c>
      <c r="B544">
        <f t="shared" si="64"/>
        <v>2025</v>
      </c>
      <c r="C544">
        <f t="shared" si="65"/>
        <v>5</v>
      </c>
      <c r="D544" t="str">
        <f t="shared" si="66"/>
        <v>Mayo</v>
      </c>
      <c r="E544" t="str">
        <f t="shared" si="67"/>
        <v>T2</v>
      </c>
      <c r="F544" t="s">
        <v>667</v>
      </c>
      <c r="G544" t="s">
        <v>54</v>
      </c>
      <c r="H544" t="s">
        <v>55</v>
      </c>
      <c r="I544" t="s">
        <v>56</v>
      </c>
      <c r="J544" t="s">
        <v>64</v>
      </c>
      <c r="K544" t="s">
        <v>65</v>
      </c>
      <c r="L544" t="s">
        <v>66</v>
      </c>
      <c r="M544" s="24">
        <v>18</v>
      </c>
      <c r="N544" s="25">
        <v>57828.21</v>
      </c>
      <c r="O544" s="25">
        <f t="shared" si="68"/>
        <v>1040907.78</v>
      </c>
      <c r="P544" s="25">
        <v>42071.45</v>
      </c>
      <c r="Q544" s="25">
        <f t="shared" si="69"/>
        <v>757286.1</v>
      </c>
      <c r="R544" s="25">
        <f t="shared" si="70"/>
        <v>283621.68000000005</v>
      </c>
      <c r="S544" s="26">
        <f t="shared" si="71"/>
        <v>0.27247531957153787</v>
      </c>
    </row>
    <row r="545" spans="1:19" ht="15" x14ac:dyDescent="0.2">
      <c r="A545" s="23">
        <v>45794</v>
      </c>
      <c r="B545">
        <f t="shared" si="64"/>
        <v>2025</v>
      </c>
      <c r="C545">
        <f t="shared" si="65"/>
        <v>5</v>
      </c>
      <c r="D545" t="str">
        <f t="shared" si="66"/>
        <v>Mayo</v>
      </c>
      <c r="E545" t="str">
        <f t="shared" si="67"/>
        <v>T2</v>
      </c>
      <c r="F545" t="s">
        <v>668</v>
      </c>
      <c r="G545" t="s">
        <v>68</v>
      </c>
      <c r="H545" t="s">
        <v>62</v>
      </c>
      <c r="I545" t="s">
        <v>69</v>
      </c>
      <c r="J545" t="s">
        <v>64</v>
      </c>
      <c r="K545" t="s">
        <v>96</v>
      </c>
      <c r="L545" t="s">
        <v>97</v>
      </c>
      <c r="M545" s="24">
        <v>212</v>
      </c>
      <c r="N545" s="25">
        <v>3100.02</v>
      </c>
      <c r="O545" s="25">
        <f t="shared" si="68"/>
        <v>657204.24</v>
      </c>
      <c r="P545" s="25">
        <v>2601.13</v>
      </c>
      <c r="Q545" s="25">
        <f t="shared" si="69"/>
        <v>551439.56000000006</v>
      </c>
      <c r="R545" s="25">
        <f t="shared" si="70"/>
        <v>105764.67999999993</v>
      </c>
      <c r="S545" s="26">
        <f t="shared" si="71"/>
        <v>0.16093121979858185</v>
      </c>
    </row>
    <row r="546" spans="1:19" ht="15" x14ac:dyDescent="0.2">
      <c r="A546" s="23">
        <v>45794</v>
      </c>
      <c r="B546">
        <f t="shared" si="64"/>
        <v>2025</v>
      </c>
      <c r="C546">
        <f t="shared" si="65"/>
        <v>5</v>
      </c>
      <c r="D546" t="str">
        <f t="shared" si="66"/>
        <v>Mayo</v>
      </c>
      <c r="E546" t="str">
        <f t="shared" si="67"/>
        <v>T2</v>
      </c>
      <c r="F546" t="s">
        <v>669</v>
      </c>
      <c r="G546" t="s">
        <v>105</v>
      </c>
      <c r="H546" t="s">
        <v>62</v>
      </c>
      <c r="I546" t="s">
        <v>106</v>
      </c>
      <c r="J546" t="s">
        <v>57</v>
      </c>
      <c r="K546" t="s">
        <v>81</v>
      </c>
      <c r="L546" t="s">
        <v>129</v>
      </c>
      <c r="M546" s="24">
        <v>170</v>
      </c>
      <c r="N546" s="25">
        <v>1848.98</v>
      </c>
      <c r="O546" s="25">
        <f t="shared" si="68"/>
        <v>314326.59999999998</v>
      </c>
      <c r="P546" s="25">
        <v>1499.51</v>
      </c>
      <c r="Q546" s="25">
        <f t="shared" si="69"/>
        <v>254916.7</v>
      </c>
      <c r="R546" s="25">
        <f t="shared" si="70"/>
        <v>59409.899999999965</v>
      </c>
      <c r="S546" s="26">
        <f t="shared" si="71"/>
        <v>0.1890069119190039</v>
      </c>
    </row>
    <row r="547" spans="1:19" ht="15" x14ac:dyDescent="0.2">
      <c r="A547" s="23">
        <v>45794</v>
      </c>
      <c r="B547">
        <f t="shared" si="64"/>
        <v>2025</v>
      </c>
      <c r="C547">
        <f t="shared" si="65"/>
        <v>5</v>
      </c>
      <c r="D547" t="str">
        <f t="shared" si="66"/>
        <v>Mayo</v>
      </c>
      <c r="E547" t="str">
        <f t="shared" si="67"/>
        <v>T2</v>
      </c>
      <c r="F547" t="s">
        <v>670</v>
      </c>
      <c r="G547" t="s">
        <v>144</v>
      </c>
      <c r="H547" t="s">
        <v>88</v>
      </c>
      <c r="I547" t="s">
        <v>145</v>
      </c>
      <c r="J547" t="s">
        <v>77</v>
      </c>
      <c r="K547" t="s">
        <v>107</v>
      </c>
      <c r="L547" t="s">
        <v>108</v>
      </c>
      <c r="M547" s="24">
        <v>48</v>
      </c>
      <c r="N547" s="25">
        <v>13605.35</v>
      </c>
      <c r="O547" s="25">
        <f t="shared" si="68"/>
        <v>653056.80000000005</v>
      </c>
      <c r="P547" s="25">
        <v>6933.79</v>
      </c>
      <c r="Q547" s="25">
        <f t="shared" si="69"/>
        <v>332821.92</v>
      </c>
      <c r="R547" s="25">
        <f t="shared" si="70"/>
        <v>320234.88000000006</v>
      </c>
      <c r="S547" s="26">
        <f t="shared" si="71"/>
        <v>0.49036298220920455</v>
      </c>
    </row>
    <row r="548" spans="1:19" ht="15" x14ac:dyDescent="0.2">
      <c r="A548" s="23">
        <v>45794</v>
      </c>
      <c r="B548">
        <f t="shared" si="64"/>
        <v>2025</v>
      </c>
      <c r="C548">
        <f t="shared" si="65"/>
        <v>5</v>
      </c>
      <c r="D548" t="str">
        <f t="shared" si="66"/>
        <v>Mayo</v>
      </c>
      <c r="E548" t="str">
        <f t="shared" si="67"/>
        <v>T2</v>
      </c>
      <c r="F548" t="s">
        <v>671</v>
      </c>
      <c r="G548" t="s">
        <v>100</v>
      </c>
      <c r="H548" t="s">
        <v>88</v>
      </c>
      <c r="I548" t="s">
        <v>101</v>
      </c>
      <c r="J548" t="s">
        <v>70</v>
      </c>
      <c r="K548" t="s">
        <v>84</v>
      </c>
      <c r="L548" t="s">
        <v>147</v>
      </c>
      <c r="M548" s="24">
        <v>6</v>
      </c>
      <c r="N548" s="25">
        <v>34702.07</v>
      </c>
      <c r="O548" s="25">
        <f t="shared" si="68"/>
        <v>208212.41999999998</v>
      </c>
      <c r="P548" s="25">
        <v>20486.68</v>
      </c>
      <c r="Q548" s="25">
        <f t="shared" si="69"/>
        <v>122920.08</v>
      </c>
      <c r="R548" s="25">
        <f t="shared" si="70"/>
        <v>85292.339999999982</v>
      </c>
      <c r="S548" s="26">
        <f t="shared" si="71"/>
        <v>0.40964098107115793</v>
      </c>
    </row>
    <row r="549" spans="1:19" ht="15" x14ac:dyDescent="0.2">
      <c r="A549" s="23">
        <v>45795</v>
      </c>
      <c r="B549">
        <f t="shared" si="64"/>
        <v>2025</v>
      </c>
      <c r="C549">
        <f t="shared" si="65"/>
        <v>5</v>
      </c>
      <c r="D549" t="str">
        <f t="shared" si="66"/>
        <v>Mayo</v>
      </c>
      <c r="E549" t="str">
        <f t="shared" si="67"/>
        <v>T2</v>
      </c>
      <c r="F549" t="s">
        <v>672</v>
      </c>
      <c r="G549" t="s">
        <v>121</v>
      </c>
      <c r="H549" t="s">
        <v>75</v>
      </c>
      <c r="I549" t="s">
        <v>122</v>
      </c>
      <c r="J549" t="s">
        <v>64</v>
      </c>
      <c r="K549" t="s">
        <v>65</v>
      </c>
      <c r="L549" t="s">
        <v>123</v>
      </c>
      <c r="M549" s="24">
        <v>2</v>
      </c>
      <c r="N549" s="25">
        <v>512525</v>
      </c>
      <c r="O549" s="25">
        <f t="shared" si="68"/>
        <v>1025050</v>
      </c>
      <c r="P549" s="25">
        <v>351316.95</v>
      </c>
      <c r="Q549" s="25">
        <f t="shared" si="69"/>
        <v>702633.9</v>
      </c>
      <c r="R549" s="25">
        <f t="shared" si="70"/>
        <v>322416.09999999998</v>
      </c>
      <c r="S549" s="26">
        <f t="shared" si="71"/>
        <v>0.31453694941710159</v>
      </c>
    </row>
    <row r="550" spans="1:19" ht="15" x14ac:dyDescent="0.2">
      <c r="A550" s="23">
        <v>45795</v>
      </c>
      <c r="B550">
        <f t="shared" si="64"/>
        <v>2025</v>
      </c>
      <c r="C550">
        <f t="shared" si="65"/>
        <v>5</v>
      </c>
      <c r="D550" t="str">
        <f t="shared" si="66"/>
        <v>Mayo</v>
      </c>
      <c r="E550" t="str">
        <f t="shared" si="67"/>
        <v>T2</v>
      </c>
      <c r="F550" t="s">
        <v>673</v>
      </c>
      <c r="G550" t="s">
        <v>74</v>
      </c>
      <c r="H550" t="s">
        <v>75</v>
      </c>
      <c r="I550" t="s">
        <v>76</v>
      </c>
      <c r="J550" t="s">
        <v>70</v>
      </c>
      <c r="K550" t="s">
        <v>84</v>
      </c>
      <c r="L550" t="s">
        <v>147</v>
      </c>
      <c r="M550" s="24">
        <v>7</v>
      </c>
      <c r="N550" s="25">
        <v>39118.39</v>
      </c>
      <c r="O550" s="25">
        <f t="shared" si="68"/>
        <v>273828.73</v>
      </c>
      <c r="P550" s="25">
        <v>27559.55</v>
      </c>
      <c r="Q550" s="25">
        <f t="shared" si="69"/>
        <v>192916.85</v>
      </c>
      <c r="R550" s="25">
        <f t="shared" si="70"/>
        <v>80911.879999999976</v>
      </c>
      <c r="S550" s="26">
        <f t="shared" si="71"/>
        <v>0.29548353089173651</v>
      </c>
    </row>
    <row r="551" spans="1:19" ht="15" x14ac:dyDescent="0.2">
      <c r="A551" s="23">
        <v>45795</v>
      </c>
      <c r="B551">
        <f t="shared" si="64"/>
        <v>2025</v>
      </c>
      <c r="C551">
        <f t="shared" si="65"/>
        <v>5</v>
      </c>
      <c r="D551" t="str">
        <f t="shared" si="66"/>
        <v>Mayo</v>
      </c>
      <c r="E551" t="str">
        <f t="shared" si="67"/>
        <v>T2</v>
      </c>
      <c r="F551" t="s">
        <v>674</v>
      </c>
      <c r="G551" t="s">
        <v>87</v>
      </c>
      <c r="H551" t="s">
        <v>88</v>
      </c>
      <c r="I551" t="s">
        <v>89</v>
      </c>
      <c r="J551" t="s">
        <v>77</v>
      </c>
      <c r="K551" t="s">
        <v>78</v>
      </c>
      <c r="L551" t="s">
        <v>117</v>
      </c>
      <c r="M551" s="24">
        <v>4</v>
      </c>
      <c r="N551" s="25">
        <v>57477.11</v>
      </c>
      <c r="O551" s="25">
        <f t="shared" si="68"/>
        <v>229908.44</v>
      </c>
      <c r="P551" s="25">
        <v>30107.78</v>
      </c>
      <c r="Q551" s="25">
        <f t="shared" si="69"/>
        <v>120431.12</v>
      </c>
      <c r="R551" s="25">
        <f t="shared" si="70"/>
        <v>109477.32</v>
      </c>
      <c r="S551" s="26">
        <f t="shared" si="71"/>
        <v>0.47617790804026161</v>
      </c>
    </row>
    <row r="552" spans="1:19" ht="15" x14ac:dyDescent="0.2">
      <c r="A552" s="23">
        <v>45795</v>
      </c>
      <c r="B552">
        <f t="shared" si="64"/>
        <v>2025</v>
      </c>
      <c r="C552">
        <f t="shared" si="65"/>
        <v>5</v>
      </c>
      <c r="D552" t="str">
        <f t="shared" si="66"/>
        <v>Mayo</v>
      </c>
      <c r="E552" t="str">
        <f t="shared" si="67"/>
        <v>T2</v>
      </c>
      <c r="F552" t="s">
        <v>675</v>
      </c>
      <c r="G552" t="s">
        <v>144</v>
      </c>
      <c r="H552" t="s">
        <v>88</v>
      </c>
      <c r="I552" t="s">
        <v>145</v>
      </c>
      <c r="J552" t="s">
        <v>70</v>
      </c>
      <c r="K552" t="s">
        <v>71</v>
      </c>
      <c r="L552" t="s">
        <v>72</v>
      </c>
      <c r="M552" s="24">
        <v>10</v>
      </c>
      <c r="N552" s="25">
        <v>11741.45</v>
      </c>
      <c r="O552" s="25">
        <f t="shared" si="68"/>
        <v>117414.5</v>
      </c>
      <c r="P552" s="25">
        <v>7094.89</v>
      </c>
      <c r="Q552" s="25">
        <f t="shared" si="69"/>
        <v>70948.900000000009</v>
      </c>
      <c r="R552" s="25">
        <f t="shared" si="70"/>
        <v>46465.599999999991</v>
      </c>
      <c r="S552" s="26">
        <f t="shared" si="71"/>
        <v>0.39573987880542855</v>
      </c>
    </row>
    <row r="553" spans="1:19" ht="15" x14ac:dyDescent="0.2">
      <c r="A553" s="23">
        <v>45796</v>
      </c>
      <c r="B553">
        <f t="shared" si="64"/>
        <v>2025</v>
      </c>
      <c r="C553">
        <f t="shared" si="65"/>
        <v>5</v>
      </c>
      <c r="D553" t="str">
        <f t="shared" si="66"/>
        <v>Mayo</v>
      </c>
      <c r="E553" t="str">
        <f t="shared" si="67"/>
        <v>T2</v>
      </c>
      <c r="F553" t="s">
        <v>676</v>
      </c>
      <c r="G553" t="s">
        <v>188</v>
      </c>
      <c r="H553" t="s">
        <v>88</v>
      </c>
      <c r="I553" t="s">
        <v>189</v>
      </c>
      <c r="J553" t="s">
        <v>77</v>
      </c>
      <c r="K553" t="s">
        <v>78</v>
      </c>
      <c r="L553" t="s">
        <v>79</v>
      </c>
      <c r="M553" s="24">
        <v>5</v>
      </c>
      <c r="N553" s="25">
        <v>70022.69</v>
      </c>
      <c r="O553" s="25">
        <f t="shared" si="68"/>
        <v>350113.45</v>
      </c>
      <c r="P553" s="25">
        <v>38098.47</v>
      </c>
      <c r="Q553" s="25">
        <f t="shared" si="69"/>
        <v>190492.35</v>
      </c>
      <c r="R553" s="25">
        <f t="shared" si="70"/>
        <v>159621.1</v>
      </c>
      <c r="S553" s="26">
        <f t="shared" si="71"/>
        <v>0.45591250493232982</v>
      </c>
    </row>
    <row r="554" spans="1:19" ht="15" x14ac:dyDescent="0.2">
      <c r="A554" s="23">
        <v>45796</v>
      </c>
      <c r="B554">
        <f t="shared" si="64"/>
        <v>2025</v>
      </c>
      <c r="C554">
        <f t="shared" si="65"/>
        <v>5</v>
      </c>
      <c r="D554" t="str">
        <f t="shared" si="66"/>
        <v>Mayo</v>
      </c>
      <c r="E554" t="str">
        <f t="shared" si="67"/>
        <v>T2</v>
      </c>
      <c r="F554" t="s">
        <v>677</v>
      </c>
      <c r="G554" t="s">
        <v>92</v>
      </c>
      <c r="H554" t="s">
        <v>93</v>
      </c>
      <c r="I554" t="s">
        <v>94</v>
      </c>
      <c r="J554" t="s">
        <v>77</v>
      </c>
      <c r="K554" t="s">
        <v>107</v>
      </c>
      <c r="L554" t="s">
        <v>112</v>
      </c>
      <c r="M554" s="24">
        <v>18</v>
      </c>
      <c r="N554" s="25">
        <v>21914.3</v>
      </c>
      <c r="O554" s="25">
        <f t="shared" si="68"/>
        <v>394457.39999999997</v>
      </c>
      <c r="P554" s="25">
        <v>11780.59</v>
      </c>
      <c r="Q554" s="25">
        <f t="shared" si="69"/>
        <v>212050.62</v>
      </c>
      <c r="R554" s="25">
        <f t="shared" si="70"/>
        <v>182406.77999999997</v>
      </c>
      <c r="S554" s="26">
        <f t="shared" si="71"/>
        <v>0.46242453557722579</v>
      </c>
    </row>
    <row r="555" spans="1:19" ht="15" x14ac:dyDescent="0.2">
      <c r="A555" s="23">
        <v>45796</v>
      </c>
      <c r="B555">
        <f t="shared" si="64"/>
        <v>2025</v>
      </c>
      <c r="C555">
        <f t="shared" si="65"/>
        <v>5</v>
      </c>
      <c r="D555" t="str">
        <f t="shared" si="66"/>
        <v>Mayo</v>
      </c>
      <c r="E555" t="str">
        <f t="shared" si="67"/>
        <v>T2</v>
      </c>
      <c r="F555" t="s">
        <v>678</v>
      </c>
      <c r="G555" t="s">
        <v>92</v>
      </c>
      <c r="H555" t="s">
        <v>93</v>
      </c>
      <c r="I555" t="s">
        <v>94</v>
      </c>
      <c r="J555" t="s">
        <v>57</v>
      </c>
      <c r="K555" t="s">
        <v>58</v>
      </c>
      <c r="L555" t="s">
        <v>59</v>
      </c>
      <c r="M555" s="24">
        <v>10</v>
      </c>
      <c r="N555" s="25">
        <v>19432</v>
      </c>
      <c r="O555" s="25">
        <f t="shared" si="68"/>
        <v>194320</v>
      </c>
      <c r="P555" s="25">
        <v>11457.29</v>
      </c>
      <c r="Q555" s="25">
        <f t="shared" si="69"/>
        <v>114572.90000000001</v>
      </c>
      <c r="R555" s="25">
        <f t="shared" si="70"/>
        <v>79747.099999999991</v>
      </c>
      <c r="S555" s="26">
        <f t="shared" si="71"/>
        <v>0.41039059283655821</v>
      </c>
    </row>
    <row r="556" spans="1:19" ht="15" x14ac:dyDescent="0.2">
      <c r="A556" s="23">
        <v>45797</v>
      </c>
      <c r="B556">
        <f t="shared" si="64"/>
        <v>2025</v>
      </c>
      <c r="C556">
        <f t="shared" si="65"/>
        <v>5</v>
      </c>
      <c r="D556" t="str">
        <f t="shared" si="66"/>
        <v>Mayo</v>
      </c>
      <c r="E556" t="str">
        <f t="shared" si="67"/>
        <v>T2</v>
      </c>
      <c r="F556" t="s">
        <v>679</v>
      </c>
      <c r="G556" t="s">
        <v>54</v>
      </c>
      <c r="H556" t="s">
        <v>55</v>
      </c>
      <c r="I556" t="s">
        <v>56</v>
      </c>
      <c r="J556" t="s">
        <v>77</v>
      </c>
      <c r="K556" t="s">
        <v>107</v>
      </c>
      <c r="L556" t="s">
        <v>108</v>
      </c>
      <c r="M556" s="24">
        <v>21</v>
      </c>
      <c r="N556" s="25">
        <v>60045.23</v>
      </c>
      <c r="O556" s="25">
        <f t="shared" si="68"/>
        <v>1260949.83</v>
      </c>
      <c r="P556" s="25">
        <v>41203.629999999997</v>
      </c>
      <c r="Q556" s="25">
        <f t="shared" si="69"/>
        <v>865276.23</v>
      </c>
      <c r="R556" s="25">
        <f t="shared" si="70"/>
        <v>395673.60000000009</v>
      </c>
      <c r="S556" s="26">
        <f t="shared" si="71"/>
        <v>0.31379012121362521</v>
      </c>
    </row>
    <row r="557" spans="1:19" ht="15" x14ac:dyDescent="0.2">
      <c r="A557" s="23">
        <v>45797</v>
      </c>
      <c r="B557">
        <f t="shared" si="64"/>
        <v>2025</v>
      </c>
      <c r="C557">
        <f t="shared" si="65"/>
        <v>5</v>
      </c>
      <c r="D557" t="str">
        <f t="shared" si="66"/>
        <v>Mayo</v>
      </c>
      <c r="E557" t="str">
        <f t="shared" si="67"/>
        <v>T2</v>
      </c>
      <c r="F557" t="s">
        <v>680</v>
      </c>
      <c r="G557" t="s">
        <v>74</v>
      </c>
      <c r="H557" t="s">
        <v>75</v>
      </c>
      <c r="I557" t="s">
        <v>76</v>
      </c>
      <c r="J557" t="s">
        <v>125</v>
      </c>
      <c r="K557" t="s">
        <v>138</v>
      </c>
      <c r="L557" t="s">
        <v>139</v>
      </c>
      <c r="M557" s="24">
        <v>1</v>
      </c>
      <c r="N557" s="25">
        <v>59233.16</v>
      </c>
      <c r="O557" s="25">
        <f t="shared" si="68"/>
        <v>59233.16</v>
      </c>
      <c r="P557" s="25">
        <v>38930.51</v>
      </c>
      <c r="Q557" s="25">
        <f t="shared" si="69"/>
        <v>38930.51</v>
      </c>
      <c r="R557" s="25">
        <f t="shared" si="70"/>
        <v>20302.650000000001</v>
      </c>
      <c r="S557" s="26">
        <f t="shared" si="71"/>
        <v>0.34275817802055469</v>
      </c>
    </row>
    <row r="558" spans="1:19" ht="15" x14ac:dyDescent="0.2">
      <c r="A558" s="23">
        <v>45797</v>
      </c>
      <c r="B558">
        <f t="shared" si="64"/>
        <v>2025</v>
      </c>
      <c r="C558">
        <f t="shared" si="65"/>
        <v>5</v>
      </c>
      <c r="D558" t="str">
        <f t="shared" si="66"/>
        <v>Mayo</v>
      </c>
      <c r="E558" t="str">
        <f t="shared" si="67"/>
        <v>T2</v>
      </c>
      <c r="F558" t="s">
        <v>681</v>
      </c>
      <c r="G558" t="s">
        <v>74</v>
      </c>
      <c r="H558" t="s">
        <v>75</v>
      </c>
      <c r="I558" t="s">
        <v>76</v>
      </c>
      <c r="J558" t="s">
        <v>125</v>
      </c>
      <c r="K558" t="s">
        <v>126</v>
      </c>
      <c r="L558" t="s">
        <v>127</v>
      </c>
      <c r="M558" s="24">
        <v>8</v>
      </c>
      <c r="N558" s="25">
        <v>39657.379999999997</v>
      </c>
      <c r="O558" s="25">
        <f t="shared" si="68"/>
        <v>317259.03999999998</v>
      </c>
      <c r="P558" s="25">
        <v>27006.38</v>
      </c>
      <c r="Q558" s="25">
        <f t="shared" si="69"/>
        <v>216051.04</v>
      </c>
      <c r="R558" s="25">
        <f t="shared" si="70"/>
        <v>101207.99999999997</v>
      </c>
      <c r="S558" s="26">
        <f t="shared" si="71"/>
        <v>0.31900745838479488</v>
      </c>
    </row>
    <row r="559" spans="1:19" ht="15" x14ac:dyDescent="0.2">
      <c r="A559" s="23">
        <v>45798</v>
      </c>
      <c r="B559">
        <f t="shared" si="64"/>
        <v>2025</v>
      </c>
      <c r="C559">
        <f t="shared" si="65"/>
        <v>5</v>
      </c>
      <c r="D559" t="str">
        <f t="shared" si="66"/>
        <v>Mayo</v>
      </c>
      <c r="E559" t="str">
        <f t="shared" si="67"/>
        <v>T2</v>
      </c>
      <c r="F559" t="s">
        <v>682</v>
      </c>
      <c r="G559" t="s">
        <v>61</v>
      </c>
      <c r="H559" t="s">
        <v>62</v>
      </c>
      <c r="I559" t="s">
        <v>63</v>
      </c>
      <c r="J559" t="s">
        <v>77</v>
      </c>
      <c r="K559" t="s">
        <v>107</v>
      </c>
      <c r="L559" t="s">
        <v>108</v>
      </c>
      <c r="M559" s="24">
        <v>115</v>
      </c>
      <c r="N559" s="25">
        <v>6186.54</v>
      </c>
      <c r="O559" s="25">
        <f t="shared" si="68"/>
        <v>711452.1</v>
      </c>
      <c r="P559" s="25">
        <v>4818.92</v>
      </c>
      <c r="Q559" s="25">
        <f t="shared" si="69"/>
        <v>554175.80000000005</v>
      </c>
      <c r="R559" s="25">
        <f t="shared" si="70"/>
        <v>157276.29999999993</v>
      </c>
      <c r="S559" s="26">
        <f t="shared" si="71"/>
        <v>0.22106379333197546</v>
      </c>
    </row>
    <row r="560" spans="1:19" ht="15" x14ac:dyDescent="0.2">
      <c r="A560" s="23">
        <v>45798</v>
      </c>
      <c r="B560">
        <f t="shared" si="64"/>
        <v>2025</v>
      </c>
      <c r="C560">
        <f t="shared" si="65"/>
        <v>5</v>
      </c>
      <c r="D560" t="str">
        <f t="shared" si="66"/>
        <v>Mayo</v>
      </c>
      <c r="E560" t="str">
        <f t="shared" si="67"/>
        <v>T2</v>
      </c>
      <c r="F560" t="s">
        <v>683</v>
      </c>
      <c r="G560" t="s">
        <v>100</v>
      </c>
      <c r="H560" t="s">
        <v>88</v>
      </c>
      <c r="I560" t="s">
        <v>101</v>
      </c>
      <c r="J560" t="s">
        <v>77</v>
      </c>
      <c r="K560" t="s">
        <v>107</v>
      </c>
      <c r="L560" t="s">
        <v>108</v>
      </c>
      <c r="M560" s="24">
        <v>3</v>
      </c>
      <c r="N560" s="25">
        <v>39931.279999999999</v>
      </c>
      <c r="O560" s="25">
        <f t="shared" si="68"/>
        <v>119793.84</v>
      </c>
      <c r="P560" s="25">
        <v>21358.43</v>
      </c>
      <c r="Q560" s="25">
        <f t="shared" si="69"/>
        <v>64075.29</v>
      </c>
      <c r="R560" s="25">
        <f t="shared" si="70"/>
        <v>55718.549999999996</v>
      </c>
      <c r="S560" s="26">
        <f t="shared" si="71"/>
        <v>0.46512032672130721</v>
      </c>
    </row>
    <row r="561" spans="1:19" ht="15" x14ac:dyDescent="0.2">
      <c r="A561" s="23">
        <v>45799</v>
      </c>
      <c r="B561">
        <f t="shared" si="64"/>
        <v>2025</v>
      </c>
      <c r="C561">
        <f t="shared" si="65"/>
        <v>5</v>
      </c>
      <c r="D561" t="str">
        <f t="shared" si="66"/>
        <v>Mayo</v>
      </c>
      <c r="E561" t="str">
        <f t="shared" si="67"/>
        <v>T2</v>
      </c>
      <c r="F561" t="s">
        <v>684</v>
      </c>
      <c r="G561" t="s">
        <v>144</v>
      </c>
      <c r="H561" t="s">
        <v>88</v>
      </c>
      <c r="I561" t="s">
        <v>145</v>
      </c>
      <c r="J561" t="s">
        <v>57</v>
      </c>
      <c r="K561" t="s">
        <v>58</v>
      </c>
      <c r="L561" t="s">
        <v>162</v>
      </c>
      <c r="M561" s="24">
        <v>34</v>
      </c>
      <c r="N561" s="25">
        <v>12079.1</v>
      </c>
      <c r="O561" s="25">
        <f t="shared" si="68"/>
        <v>410689.4</v>
      </c>
      <c r="P561" s="25">
        <v>6927.44</v>
      </c>
      <c r="Q561" s="25">
        <f t="shared" si="69"/>
        <v>235532.96</v>
      </c>
      <c r="R561" s="25">
        <f t="shared" si="70"/>
        <v>175156.44000000003</v>
      </c>
      <c r="S561" s="26">
        <f t="shared" si="71"/>
        <v>0.42649369572236345</v>
      </c>
    </row>
    <row r="562" spans="1:19" ht="15" x14ac:dyDescent="0.2">
      <c r="A562" s="23">
        <v>45799</v>
      </c>
      <c r="B562">
        <f t="shared" si="64"/>
        <v>2025</v>
      </c>
      <c r="C562">
        <f t="shared" si="65"/>
        <v>5</v>
      </c>
      <c r="D562" t="str">
        <f t="shared" si="66"/>
        <v>Mayo</v>
      </c>
      <c r="E562" t="str">
        <f t="shared" si="67"/>
        <v>T2</v>
      </c>
      <c r="F562" t="s">
        <v>685</v>
      </c>
      <c r="G562" t="s">
        <v>92</v>
      </c>
      <c r="H562" t="s">
        <v>93</v>
      </c>
      <c r="I562" t="s">
        <v>94</v>
      </c>
      <c r="J562" t="s">
        <v>125</v>
      </c>
      <c r="K562" t="s">
        <v>138</v>
      </c>
      <c r="L562" t="s">
        <v>139</v>
      </c>
      <c r="M562" s="24">
        <v>8</v>
      </c>
      <c r="N562" s="25">
        <v>20642.87</v>
      </c>
      <c r="O562" s="25">
        <f t="shared" si="68"/>
        <v>165142.96</v>
      </c>
      <c r="P562" s="25">
        <v>11677.09</v>
      </c>
      <c r="Q562" s="25">
        <f t="shared" si="69"/>
        <v>93416.72</v>
      </c>
      <c r="R562" s="25">
        <f t="shared" si="70"/>
        <v>71726.239999999991</v>
      </c>
      <c r="S562" s="26">
        <f t="shared" si="71"/>
        <v>0.43432817239075766</v>
      </c>
    </row>
    <row r="563" spans="1:19" ht="15" x14ac:dyDescent="0.2">
      <c r="A563" s="23">
        <v>45800</v>
      </c>
      <c r="B563">
        <f t="shared" si="64"/>
        <v>2025</v>
      </c>
      <c r="C563">
        <f t="shared" si="65"/>
        <v>5</v>
      </c>
      <c r="D563" t="str">
        <f t="shared" si="66"/>
        <v>Mayo</v>
      </c>
      <c r="E563" t="str">
        <f t="shared" si="67"/>
        <v>T2</v>
      </c>
      <c r="F563" t="s">
        <v>686</v>
      </c>
      <c r="G563" t="s">
        <v>54</v>
      </c>
      <c r="H563" t="s">
        <v>55</v>
      </c>
      <c r="I563" t="s">
        <v>56</v>
      </c>
      <c r="J563" t="s">
        <v>77</v>
      </c>
      <c r="K563" t="s">
        <v>107</v>
      </c>
      <c r="L563" t="s">
        <v>112</v>
      </c>
      <c r="M563" s="24">
        <v>4</v>
      </c>
      <c r="N563" s="25">
        <v>66496.63</v>
      </c>
      <c r="O563" s="25">
        <f t="shared" si="68"/>
        <v>265986.52</v>
      </c>
      <c r="P563" s="25">
        <v>45245.45</v>
      </c>
      <c r="Q563" s="25">
        <f t="shared" si="69"/>
        <v>180981.8</v>
      </c>
      <c r="R563" s="25">
        <f t="shared" si="70"/>
        <v>85004.72000000003</v>
      </c>
      <c r="S563" s="26">
        <f t="shared" si="71"/>
        <v>0.31958281194099619</v>
      </c>
    </row>
    <row r="564" spans="1:19" ht="15" x14ac:dyDescent="0.2">
      <c r="A564" s="23">
        <v>45800</v>
      </c>
      <c r="B564">
        <f t="shared" si="64"/>
        <v>2025</v>
      </c>
      <c r="C564">
        <f t="shared" si="65"/>
        <v>5</v>
      </c>
      <c r="D564" t="str">
        <f t="shared" si="66"/>
        <v>Mayo</v>
      </c>
      <c r="E564" t="str">
        <f t="shared" si="67"/>
        <v>T2</v>
      </c>
      <c r="F564" t="s">
        <v>687</v>
      </c>
      <c r="G564" t="s">
        <v>61</v>
      </c>
      <c r="H564" t="s">
        <v>62</v>
      </c>
      <c r="I564" t="s">
        <v>63</v>
      </c>
      <c r="J564" t="s">
        <v>77</v>
      </c>
      <c r="K564" t="s">
        <v>107</v>
      </c>
      <c r="L564" t="s">
        <v>108</v>
      </c>
      <c r="M564" s="24">
        <v>17</v>
      </c>
      <c r="N564" s="25">
        <v>6176.34</v>
      </c>
      <c r="O564" s="25">
        <f t="shared" si="68"/>
        <v>104997.78</v>
      </c>
      <c r="P564" s="25">
        <v>4821.03</v>
      </c>
      <c r="Q564" s="25">
        <f t="shared" si="69"/>
        <v>81957.509999999995</v>
      </c>
      <c r="R564" s="25">
        <f t="shared" si="70"/>
        <v>23040.270000000004</v>
      </c>
      <c r="S564" s="26">
        <f t="shared" si="71"/>
        <v>0.21943578235654129</v>
      </c>
    </row>
    <row r="565" spans="1:19" ht="15" x14ac:dyDescent="0.2">
      <c r="A565" s="23">
        <v>45800</v>
      </c>
      <c r="B565">
        <f t="shared" si="64"/>
        <v>2025</v>
      </c>
      <c r="C565">
        <f t="shared" si="65"/>
        <v>5</v>
      </c>
      <c r="D565" t="str">
        <f t="shared" si="66"/>
        <v>Mayo</v>
      </c>
      <c r="E565" t="str">
        <f t="shared" si="67"/>
        <v>T2</v>
      </c>
      <c r="F565" t="s">
        <v>688</v>
      </c>
      <c r="G565" t="s">
        <v>110</v>
      </c>
      <c r="H565" t="s">
        <v>62</v>
      </c>
      <c r="I565" t="s">
        <v>69</v>
      </c>
      <c r="J565" t="s">
        <v>57</v>
      </c>
      <c r="K565" t="s">
        <v>58</v>
      </c>
      <c r="L565" t="s">
        <v>162</v>
      </c>
      <c r="M565" s="24">
        <v>60</v>
      </c>
      <c r="N565" s="25">
        <v>6506</v>
      </c>
      <c r="O565" s="25">
        <f t="shared" si="68"/>
        <v>390360</v>
      </c>
      <c r="P565" s="25">
        <v>5368.18</v>
      </c>
      <c r="Q565" s="25">
        <f t="shared" si="69"/>
        <v>322090.80000000005</v>
      </c>
      <c r="R565" s="25">
        <f t="shared" si="70"/>
        <v>68269.199999999953</v>
      </c>
      <c r="S565" s="26">
        <f t="shared" si="71"/>
        <v>0.17488779588072537</v>
      </c>
    </row>
    <row r="566" spans="1:19" ht="15" x14ac:dyDescent="0.2">
      <c r="A566" s="23">
        <v>45801</v>
      </c>
      <c r="B566">
        <f t="shared" si="64"/>
        <v>2025</v>
      </c>
      <c r="C566">
        <f t="shared" si="65"/>
        <v>5</v>
      </c>
      <c r="D566" t="str">
        <f t="shared" si="66"/>
        <v>Mayo</v>
      </c>
      <c r="E566" t="str">
        <f t="shared" si="67"/>
        <v>T2</v>
      </c>
      <c r="F566" t="s">
        <v>689</v>
      </c>
      <c r="G566" t="s">
        <v>54</v>
      </c>
      <c r="H566" t="s">
        <v>55</v>
      </c>
      <c r="I566" t="s">
        <v>56</v>
      </c>
      <c r="J566" t="s">
        <v>77</v>
      </c>
      <c r="K566" t="s">
        <v>78</v>
      </c>
      <c r="L566" t="s">
        <v>79</v>
      </c>
      <c r="M566" s="24">
        <v>11</v>
      </c>
      <c r="N566" s="25">
        <v>62489.33</v>
      </c>
      <c r="O566" s="25">
        <f t="shared" si="68"/>
        <v>687382.63</v>
      </c>
      <c r="P566" s="25">
        <v>43373.440000000002</v>
      </c>
      <c r="Q566" s="25">
        <f t="shared" si="69"/>
        <v>477107.84</v>
      </c>
      <c r="R566" s="25">
        <f t="shared" si="70"/>
        <v>210274.78999999998</v>
      </c>
      <c r="S566" s="26">
        <f t="shared" si="71"/>
        <v>0.30590646435159408</v>
      </c>
    </row>
    <row r="567" spans="1:19" ht="15" x14ac:dyDescent="0.2">
      <c r="A567" s="23">
        <v>45801</v>
      </c>
      <c r="B567">
        <f t="shared" si="64"/>
        <v>2025</v>
      </c>
      <c r="C567">
        <f t="shared" si="65"/>
        <v>5</v>
      </c>
      <c r="D567" t="str">
        <f t="shared" si="66"/>
        <v>Mayo</v>
      </c>
      <c r="E567" t="str">
        <f t="shared" si="67"/>
        <v>T2</v>
      </c>
      <c r="F567" t="s">
        <v>690</v>
      </c>
      <c r="G567" t="s">
        <v>54</v>
      </c>
      <c r="H567" t="s">
        <v>55</v>
      </c>
      <c r="I567" t="s">
        <v>56</v>
      </c>
      <c r="J567" t="s">
        <v>70</v>
      </c>
      <c r="K567" t="s">
        <v>84</v>
      </c>
      <c r="L567" t="s">
        <v>147</v>
      </c>
      <c r="M567" s="24">
        <v>13</v>
      </c>
      <c r="N567" s="25">
        <v>57121.83</v>
      </c>
      <c r="O567" s="25">
        <f t="shared" si="68"/>
        <v>742583.79</v>
      </c>
      <c r="P567" s="25">
        <v>42835.66</v>
      </c>
      <c r="Q567" s="25">
        <f t="shared" si="69"/>
        <v>556863.58000000007</v>
      </c>
      <c r="R567" s="25">
        <f t="shared" si="70"/>
        <v>185720.20999999996</v>
      </c>
      <c r="S567" s="26">
        <f t="shared" si="71"/>
        <v>0.25010000554954204</v>
      </c>
    </row>
    <row r="568" spans="1:19" ht="15" x14ac:dyDescent="0.2">
      <c r="A568" s="23">
        <v>45801</v>
      </c>
      <c r="B568">
        <f t="shared" si="64"/>
        <v>2025</v>
      </c>
      <c r="C568">
        <f t="shared" si="65"/>
        <v>5</v>
      </c>
      <c r="D568" t="str">
        <f t="shared" si="66"/>
        <v>Mayo</v>
      </c>
      <c r="E568" t="str">
        <f t="shared" si="67"/>
        <v>T2</v>
      </c>
      <c r="F568" t="s">
        <v>691</v>
      </c>
      <c r="G568" t="s">
        <v>74</v>
      </c>
      <c r="H568" t="s">
        <v>75</v>
      </c>
      <c r="I568" t="s">
        <v>76</v>
      </c>
      <c r="J568" t="s">
        <v>57</v>
      </c>
      <c r="K568" t="s">
        <v>81</v>
      </c>
      <c r="L568" t="s">
        <v>129</v>
      </c>
      <c r="M568" s="24">
        <v>12</v>
      </c>
      <c r="N568" s="25">
        <v>40363.01</v>
      </c>
      <c r="O568" s="25">
        <f t="shared" si="68"/>
        <v>484356.12</v>
      </c>
      <c r="P568" s="25">
        <v>27747.72</v>
      </c>
      <c r="Q568" s="25">
        <f t="shared" si="69"/>
        <v>332972.64</v>
      </c>
      <c r="R568" s="25">
        <f t="shared" si="70"/>
        <v>151383.47999999998</v>
      </c>
      <c r="S568" s="26">
        <f t="shared" si="71"/>
        <v>0.31254581856011232</v>
      </c>
    </row>
    <row r="569" spans="1:19" ht="15" x14ac:dyDescent="0.2">
      <c r="A569" s="23">
        <v>45801</v>
      </c>
      <c r="B569">
        <f t="shared" si="64"/>
        <v>2025</v>
      </c>
      <c r="C569">
        <f t="shared" si="65"/>
        <v>5</v>
      </c>
      <c r="D569" t="str">
        <f t="shared" si="66"/>
        <v>Mayo</v>
      </c>
      <c r="E569" t="str">
        <f t="shared" si="67"/>
        <v>T2</v>
      </c>
      <c r="F569" t="s">
        <v>692</v>
      </c>
      <c r="G569" t="s">
        <v>74</v>
      </c>
      <c r="H569" t="s">
        <v>75</v>
      </c>
      <c r="I569" t="s">
        <v>76</v>
      </c>
      <c r="J569" t="s">
        <v>57</v>
      </c>
      <c r="K569" t="s">
        <v>58</v>
      </c>
      <c r="L569" t="s">
        <v>162</v>
      </c>
      <c r="M569" s="24">
        <v>7</v>
      </c>
      <c r="N569" s="25">
        <v>43815.35</v>
      </c>
      <c r="O569" s="25">
        <f t="shared" si="68"/>
        <v>306707.45</v>
      </c>
      <c r="P569" s="25">
        <v>29760.28</v>
      </c>
      <c r="Q569" s="25">
        <f t="shared" si="69"/>
        <v>208321.96</v>
      </c>
      <c r="R569" s="25">
        <f t="shared" si="70"/>
        <v>98385.49000000002</v>
      </c>
      <c r="S569" s="26">
        <f t="shared" si="71"/>
        <v>0.32077958980129118</v>
      </c>
    </row>
    <row r="570" spans="1:19" ht="15" x14ac:dyDescent="0.2">
      <c r="A570" s="23">
        <v>45801</v>
      </c>
      <c r="B570">
        <f t="shared" si="64"/>
        <v>2025</v>
      </c>
      <c r="C570">
        <f t="shared" si="65"/>
        <v>5</v>
      </c>
      <c r="D570" t="str">
        <f t="shared" si="66"/>
        <v>Mayo</v>
      </c>
      <c r="E570" t="str">
        <f t="shared" si="67"/>
        <v>T2</v>
      </c>
      <c r="F570" t="s">
        <v>693</v>
      </c>
      <c r="G570" t="s">
        <v>188</v>
      </c>
      <c r="H570" t="s">
        <v>88</v>
      </c>
      <c r="I570" t="s">
        <v>189</v>
      </c>
      <c r="J570" t="s">
        <v>70</v>
      </c>
      <c r="K570" t="s">
        <v>71</v>
      </c>
      <c r="L570" t="s">
        <v>72</v>
      </c>
      <c r="M570" s="24">
        <v>4</v>
      </c>
      <c r="N570" s="25">
        <v>71443.570000000007</v>
      </c>
      <c r="O570" s="25">
        <f t="shared" si="68"/>
        <v>285774.28000000003</v>
      </c>
      <c r="P570" s="25">
        <v>42229.82</v>
      </c>
      <c r="Q570" s="25">
        <f t="shared" si="69"/>
        <v>168919.28</v>
      </c>
      <c r="R570" s="25">
        <f t="shared" si="70"/>
        <v>116855.00000000003</v>
      </c>
      <c r="S570" s="26">
        <f t="shared" si="71"/>
        <v>0.40890663778419811</v>
      </c>
    </row>
    <row r="571" spans="1:19" ht="15" x14ac:dyDescent="0.2">
      <c r="A571" s="23">
        <v>45802</v>
      </c>
      <c r="B571">
        <f t="shared" si="64"/>
        <v>2025</v>
      </c>
      <c r="C571">
        <f t="shared" si="65"/>
        <v>5</v>
      </c>
      <c r="D571" t="str">
        <f t="shared" si="66"/>
        <v>Mayo</v>
      </c>
      <c r="E571" t="str">
        <f t="shared" si="67"/>
        <v>T2</v>
      </c>
      <c r="F571" t="s">
        <v>694</v>
      </c>
      <c r="G571" t="s">
        <v>105</v>
      </c>
      <c r="H571" t="s">
        <v>62</v>
      </c>
      <c r="I571" t="s">
        <v>106</v>
      </c>
      <c r="J571" t="s">
        <v>64</v>
      </c>
      <c r="K571" t="s">
        <v>65</v>
      </c>
      <c r="L571" t="s">
        <v>66</v>
      </c>
      <c r="M571" s="24">
        <v>966</v>
      </c>
      <c r="N571" s="25">
        <v>1810.8</v>
      </c>
      <c r="O571" s="25">
        <f t="shared" si="68"/>
        <v>1749232.8</v>
      </c>
      <c r="P571" s="25">
        <v>1499.32</v>
      </c>
      <c r="Q571" s="25">
        <f t="shared" si="69"/>
        <v>1448343.1199999999</v>
      </c>
      <c r="R571" s="25">
        <f t="shared" si="70"/>
        <v>300889.68000000017</v>
      </c>
      <c r="S571" s="26">
        <f t="shared" si="71"/>
        <v>0.17201237022310589</v>
      </c>
    </row>
    <row r="572" spans="1:19" ht="15" x14ac:dyDescent="0.2">
      <c r="A572" s="23">
        <v>45802</v>
      </c>
      <c r="B572">
        <f t="shared" si="64"/>
        <v>2025</v>
      </c>
      <c r="C572">
        <f t="shared" si="65"/>
        <v>5</v>
      </c>
      <c r="D572" t="str">
        <f t="shared" si="66"/>
        <v>Mayo</v>
      </c>
      <c r="E572" t="str">
        <f t="shared" si="67"/>
        <v>T2</v>
      </c>
      <c r="F572" t="s">
        <v>695</v>
      </c>
      <c r="G572" t="s">
        <v>105</v>
      </c>
      <c r="H572" t="s">
        <v>62</v>
      </c>
      <c r="I572" t="s">
        <v>106</v>
      </c>
      <c r="J572" t="s">
        <v>70</v>
      </c>
      <c r="K572" t="s">
        <v>71</v>
      </c>
      <c r="L572" t="s">
        <v>90</v>
      </c>
      <c r="M572" s="24">
        <v>220</v>
      </c>
      <c r="N572" s="25">
        <v>1735.01</v>
      </c>
      <c r="O572" s="25">
        <f t="shared" si="68"/>
        <v>381702.2</v>
      </c>
      <c r="P572" s="25">
        <v>1502.08</v>
      </c>
      <c r="Q572" s="25">
        <f t="shared" si="69"/>
        <v>330457.59999999998</v>
      </c>
      <c r="R572" s="25">
        <f t="shared" si="70"/>
        <v>51244.600000000035</v>
      </c>
      <c r="S572" s="26">
        <f t="shared" si="71"/>
        <v>0.13425282851395678</v>
      </c>
    </row>
    <row r="573" spans="1:19" ht="15" x14ac:dyDescent="0.2">
      <c r="A573" s="23">
        <v>45802</v>
      </c>
      <c r="B573">
        <f t="shared" si="64"/>
        <v>2025</v>
      </c>
      <c r="C573">
        <f t="shared" si="65"/>
        <v>5</v>
      </c>
      <c r="D573" t="str">
        <f t="shared" si="66"/>
        <v>Mayo</v>
      </c>
      <c r="E573" t="str">
        <f t="shared" si="67"/>
        <v>T2</v>
      </c>
      <c r="F573" t="s">
        <v>696</v>
      </c>
      <c r="G573" t="s">
        <v>114</v>
      </c>
      <c r="H573" t="s">
        <v>75</v>
      </c>
      <c r="I573" t="s">
        <v>115</v>
      </c>
      <c r="J573" t="s">
        <v>70</v>
      </c>
      <c r="K573" t="s">
        <v>84</v>
      </c>
      <c r="L573" t="s">
        <v>85</v>
      </c>
      <c r="M573" s="24">
        <v>3</v>
      </c>
      <c r="N573" s="25">
        <v>99059.44</v>
      </c>
      <c r="O573" s="25">
        <f t="shared" si="68"/>
        <v>297178.32</v>
      </c>
      <c r="P573" s="25">
        <v>70639.179999999993</v>
      </c>
      <c r="Q573" s="25">
        <f t="shared" si="69"/>
        <v>211917.53999999998</v>
      </c>
      <c r="R573" s="25">
        <f t="shared" si="70"/>
        <v>85260.780000000028</v>
      </c>
      <c r="S573" s="26">
        <f t="shared" si="71"/>
        <v>0.28690107676764587</v>
      </c>
    </row>
    <row r="574" spans="1:19" ht="15" x14ac:dyDescent="0.2">
      <c r="A574" s="23">
        <v>45802</v>
      </c>
      <c r="B574">
        <f t="shared" si="64"/>
        <v>2025</v>
      </c>
      <c r="C574">
        <f t="shared" si="65"/>
        <v>5</v>
      </c>
      <c r="D574" t="str">
        <f t="shared" si="66"/>
        <v>Mayo</v>
      </c>
      <c r="E574" t="str">
        <f t="shared" si="67"/>
        <v>T2</v>
      </c>
      <c r="F574" t="s">
        <v>697</v>
      </c>
      <c r="G574" t="s">
        <v>92</v>
      </c>
      <c r="H574" t="s">
        <v>93</v>
      </c>
      <c r="I574" t="s">
        <v>94</v>
      </c>
      <c r="J574" t="s">
        <v>70</v>
      </c>
      <c r="K574" t="s">
        <v>71</v>
      </c>
      <c r="L574" t="s">
        <v>72</v>
      </c>
      <c r="M574" s="24">
        <v>3</v>
      </c>
      <c r="N574" s="25">
        <v>16891.09</v>
      </c>
      <c r="O574" s="25">
        <f t="shared" si="68"/>
        <v>50673.270000000004</v>
      </c>
      <c r="P574" s="25">
        <v>10623.46</v>
      </c>
      <c r="Q574" s="25">
        <f t="shared" si="69"/>
        <v>31870.379999999997</v>
      </c>
      <c r="R574" s="25">
        <f t="shared" si="70"/>
        <v>18802.890000000007</v>
      </c>
      <c r="S574" s="26">
        <f t="shared" si="71"/>
        <v>0.37106131102255696</v>
      </c>
    </row>
    <row r="575" spans="1:19" ht="15" x14ac:dyDescent="0.2">
      <c r="A575" s="23">
        <v>45803</v>
      </c>
      <c r="B575">
        <f t="shared" si="64"/>
        <v>2025</v>
      </c>
      <c r="C575">
        <f t="shared" si="65"/>
        <v>5</v>
      </c>
      <c r="D575" t="str">
        <f t="shared" si="66"/>
        <v>Mayo</v>
      </c>
      <c r="E575" t="str">
        <f t="shared" si="67"/>
        <v>T2</v>
      </c>
      <c r="F575" t="s">
        <v>698</v>
      </c>
      <c r="G575" t="s">
        <v>54</v>
      </c>
      <c r="H575" t="s">
        <v>55</v>
      </c>
      <c r="I575" t="s">
        <v>56</v>
      </c>
      <c r="J575" t="s">
        <v>57</v>
      </c>
      <c r="K575" t="s">
        <v>81</v>
      </c>
      <c r="L575" t="s">
        <v>82</v>
      </c>
      <c r="M575" s="24">
        <v>9</v>
      </c>
      <c r="N575" s="25">
        <v>54858.91</v>
      </c>
      <c r="O575" s="25">
        <f t="shared" si="68"/>
        <v>493730.19000000006</v>
      </c>
      <c r="P575" s="25">
        <v>39795.18</v>
      </c>
      <c r="Q575" s="25">
        <f t="shared" si="69"/>
        <v>358156.62</v>
      </c>
      <c r="R575" s="25">
        <f t="shared" si="70"/>
        <v>135573.57000000007</v>
      </c>
      <c r="S575" s="26">
        <f t="shared" si="71"/>
        <v>0.27459039926239887</v>
      </c>
    </row>
    <row r="576" spans="1:19" ht="15" x14ac:dyDescent="0.2">
      <c r="A576" s="23">
        <v>45803</v>
      </c>
      <c r="B576">
        <f t="shared" si="64"/>
        <v>2025</v>
      </c>
      <c r="C576">
        <f t="shared" si="65"/>
        <v>5</v>
      </c>
      <c r="D576" t="str">
        <f t="shared" si="66"/>
        <v>Mayo</v>
      </c>
      <c r="E576" t="str">
        <f t="shared" si="67"/>
        <v>T2</v>
      </c>
      <c r="F576" t="s">
        <v>699</v>
      </c>
      <c r="G576" t="s">
        <v>74</v>
      </c>
      <c r="H576" t="s">
        <v>75</v>
      </c>
      <c r="I576" t="s">
        <v>76</v>
      </c>
      <c r="J576" t="s">
        <v>77</v>
      </c>
      <c r="K576" t="s">
        <v>107</v>
      </c>
      <c r="L576" t="s">
        <v>108</v>
      </c>
      <c r="M576" s="24">
        <v>20</v>
      </c>
      <c r="N576" s="25">
        <v>44418.8</v>
      </c>
      <c r="O576" s="25">
        <f t="shared" si="68"/>
        <v>888376</v>
      </c>
      <c r="P576" s="25">
        <v>28670.93</v>
      </c>
      <c r="Q576" s="25">
        <f t="shared" si="69"/>
        <v>573418.6</v>
      </c>
      <c r="R576" s="25">
        <f t="shared" si="70"/>
        <v>314957.40000000002</v>
      </c>
      <c r="S576" s="26">
        <f t="shared" si="71"/>
        <v>0.35453163975613933</v>
      </c>
    </row>
    <row r="577" spans="1:19" ht="15" x14ac:dyDescent="0.2">
      <c r="A577" s="23">
        <v>45803</v>
      </c>
      <c r="B577">
        <f t="shared" si="64"/>
        <v>2025</v>
      </c>
      <c r="C577">
        <f t="shared" si="65"/>
        <v>5</v>
      </c>
      <c r="D577" t="str">
        <f t="shared" si="66"/>
        <v>Mayo</v>
      </c>
      <c r="E577" t="str">
        <f t="shared" si="67"/>
        <v>T2</v>
      </c>
      <c r="F577" t="s">
        <v>700</v>
      </c>
      <c r="G577" t="s">
        <v>144</v>
      </c>
      <c r="H577" t="s">
        <v>88</v>
      </c>
      <c r="I577" t="s">
        <v>145</v>
      </c>
      <c r="J577" t="s">
        <v>64</v>
      </c>
      <c r="K577" t="s">
        <v>65</v>
      </c>
      <c r="L577" t="s">
        <v>66</v>
      </c>
      <c r="M577" s="24">
        <v>105</v>
      </c>
      <c r="N577" s="25">
        <v>12070.94</v>
      </c>
      <c r="O577" s="25">
        <f t="shared" si="68"/>
        <v>1267448.7</v>
      </c>
      <c r="P577" s="25">
        <v>7005.45</v>
      </c>
      <c r="Q577" s="25">
        <f t="shared" si="69"/>
        <v>735572.25</v>
      </c>
      <c r="R577" s="25">
        <f t="shared" si="70"/>
        <v>531876.44999999995</v>
      </c>
      <c r="S577" s="26">
        <f t="shared" si="71"/>
        <v>0.41964337491529241</v>
      </c>
    </row>
    <row r="578" spans="1:19" ht="15" x14ac:dyDescent="0.2">
      <c r="A578" s="23">
        <v>45804</v>
      </c>
      <c r="B578">
        <f t="shared" ref="B578:B641" si="72">YEAR($A578)</f>
        <v>2025</v>
      </c>
      <c r="C578">
        <f t="shared" ref="C578:C641" si="73">MONTH($A578)</f>
        <v>5</v>
      </c>
      <c r="D578" t="str">
        <f t="shared" ref="D578:D641" si="74">INDEX(lst_Meses,MONTH($A578))</f>
        <v>Mayo</v>
      </c>
      <c r="E578" t="str">
        <f t="shared" ref="E578:E641" si="75">"T"&amp;ROUNDUP(MONTH($A578)/3,0)</f>
        <v>T2</v>
      </c>
      <c r="F578" t="s">
        <v>701</v>
      </c>
      <c r="G578" t="s">
        <v>61</v>
      </c>
      <c r="H578" t="s">
        <v>62</v>
      </c>
      <c r="I578" t="s">
        <v>63</v>
      </c>
      <c r="J578" t="s">
        <v>125</v>
      </c>
      <c r="K578" t="s">
        <v>138</v>
      </c>
      <c r="L578" t="s">
        <v>142</v>
      </c>
      <c r="M578" s="24">
        <v>80</v>
      </c>
      <c r="N578" s="25">
        <v>5901.68</v>
      </c>
      <c r="O578" s="25">
        <f t="shared" ref="O578:O641" si="76">$M578*$N578</f>
        <v>472134.40000000002</v>
      </c>
      <c r="P578" s="25">
        <v>4791.78</v>
      </c>
      <c r="Q578" s="25">
        <f t="shared" ref="Q578:Q641" si="77">$M578*$P578</f>
        <v>383342.39999999997</v>
      </c>
      <c r="R578" s="25">
        <f t="shared" ref="R578:R641" si="78">$O578-$Q578</f>
        <v>88792.000000000058</v>
      </c>
      <c r="S578" s="26">
        <f t="shared" ref="S578:S641" si="79">IFERROR($R578/$O578,0)</f>
        <v>0.18806509332935717</v>
      </c>
    </row>
    <row r="579" spans="1:19" ht="15" x14ac:dyDescent="0.2">
      <c r="A579" s="23">
        <v>45805</v>
      </c>
      <c r="B579">
        <f t="shared" si="72"/>
        <v>2025</v>
      </c>
      <c r="C579">
        <f t="shared" si="73"/>
        <v>5</v>
      </c>
      <c r="D579" t="str">
        <f t="shared" si="74"/>
        <v>Mayo</v>
      </c>
      <c r="E579" t="str">
        <f t="shared" si="75"/>
        <v>T2</v>
      </c>
      <c r="F579" t="s">
        <v>702</v>
      </c>
      <c r="G579" t="s">
        <v>54</v>
      </c>
      <c r="H579" t="s">
        <v>55</v>
      </c>
      <c r="I579" t="s">
        <v>56</v>
      </c>
      <c r="J579" t="s">
        <v>70</v>
      </c>
      <c r="K579" t="s">
        <v>84</v>
      </c>
      <c r="L579" t="s">
        <v>147</v>
      </c>
      <c r="M579" s="24">
        <v>5</v>
      </c>
      <c r="N579" s="25">
        <v>56699.05</v>
      </c>
      <c r="O579" s="25">
        <f t="shared" si="76"/>
        <v>283495.25</v>
      </c>
      <c r="P579" s="25">
        <v>42519.58</v>
      </c>
      <c r="Q579" s="25">
        <f t="shared" si="77"/>
        <v>212597.90000000002</v>
      </c>
      <c r="R579" s="25">
        <f t="shared" si="78"/>
        <v>70897.349999999977</v>
      </c>
      <c r="S579" s="26">
        <f t="shared" si="79"/>
        <v>0.25008302608244753</v>
      </c>
    </row>
    <row r="580" spans="1:19" ht="15" x14ac:dyDescent="0.2">
      <c r="A580" s="23">
        <v>45805</v>
      </c>
      <c r="B580">
        <f t="shared" si="72"/>
        <v>2025</v>
      </c>
      <c r="C580">
        <f t="shared" si="73"/>
        <v>5</v>
      </c>
      <c r="D580" t="str">
        <f t="shared" si="74"/>
        <v>Mayo</v>
      </c>
      <c r="E580" t="str">
        <f t="shared" si="75"/>
        <v>T2</v>
      </c>
      <c r="F580" t="s">
        <v>703</v>
      </c>
      <c r="G580" t="s">
        <v>68</v>
      </c>
      <c r="H580" t="s">
        <v>62</v>
      </c>
      <c r="I580" t="s">
        <v>69</v>
      </c>
      <c r="J580" t="s">
        <v>125</v>
      </c>
      <c r="K580" t="s">
        <v>126</v>
      </c>
      <c r="L580" t="s">
        <v>127</v>
      </c>
      <c r="M580" s="24">
        <v>58</v>
      </c>
      <c r="N580" s="25">
        <v>3182.29</v>
      </c>
      <c r="O580" s="25">
        <f t="shared" si="76"/>
        <v>184572.82</v>
      </c>
      <c r="P580" s="25">
        <v>2622.34</v>
      </c>
      <c r="Q580" s="25">
        <f t="shared" si="77"/>
        <v>152095.72</v>
      </c>
      <c r="R580" s="25">
        <f t="shared" si="78"/>
        <v>32477.100000000006</v>
      </c>
      <c r="S580" s="26">
        <f t="shared" si="79"/>
        <v>0.17595819362785922</v>
      </c>
    </row>
    <row r="581" spans="1:19" ht="15" x14ac:dyDescent="0.2">
      <c r="A581" s="23">
        <v>45805</v>
      </c>
      <c r="B581">
        <f t="shared" si="72"/>
        <v>2025</v>
      </c>
      <c r="C581">
        <f t="shared" si="73"/>
        <v>5</v>
      </c>
      <c r="D581" t="str">
        <f t="shared" si="74"/>
        <v>Mayo</v>
      </c>
      <c r="E581" t="str">
        <f t="shared" si="75"/>
        <v>T2</v>
      </c>
      <c r="F581" t="s">
        <v>704</v>
      </c>
      <c r="G581" t="s">
        <v>114</v>
      </c>
      <c r="H581" t="s">
        <v>75</v>
      </c>
      <c r="I581" t="s">
        <v>115</v>
      </c>
      <c r="J581" t="s">
        <v>77</v>
      </c>
      <c r="K581" t="s">
        <v>78</v>
      </c>
      <c r="L581" t="s">
        <v>79</v>
      </c>
      <c r="M581" s="24">
        <v>6</v>
      </c>
      <c r="N581" s="25">
        <v>93371.83</v>
      </c>
      <c r="O581" s="25">
        <f t="shared" si="76"/>
        <v>560230.98</v>
      </c>
      <c r="P581" s="25">
        <v>61054.91</v>
      </c>
      <c r="Q581" s="25">
        <f t="shared" si="77"/>
        <v>366329.46</v>
      </c>
      <c r="R581" s="25">
        <f t="shared" si="78"/>
        <v>193901.51999999996</v>
      </c>
      <c r="S581" s="26">
        <f t="shared" si="79"/>
        <v>0.34610995628981456</v>
      </c>
    </row>
    <row r="582" spans="1:19" ht="15" x14ac:dyDescent="0.2">
      <c r="A582" s="23">
        <v>45805</v>
      </c>
      <c r="B582">
        <f t="shared" si="72"/>
        <v>2025</v>
      </c>
      <c r="C582">
        <f t="shared" si="73"/>
        <v>5</v>
      </c>
      <c r="D582" t="str">
        <f t="shared" si="74"/>
        <v>Mayo</v>
      </c>
      <c r="E582" t="str">
        <f t="shared" si="75"/>
        <v>T2</v>
      </c>
      <c r="F582" t="s">
        <v>705</v>
      </c>
      <c r="G582" t="s">
        <v>92</v>
      </c>
      <c r="H582" t="s">
        <v>93</v>
      </c>
      <c r="I582" t="s">
        <v>94</v>
      </c>
      <c r="J582" t="s">
        <v>70</v>
      </c>
      <c r="K582" t="s">
        <v>84</v>
      </c>
      <c r="L582" t="s">
        <v>85</v>
      </c>
      <c r="M582" s="24">
        <v>7</v>
      </c>
      <c r="N582" s="25">
        <v>18904.59</v>
      </c>
      <c r="O582" s="25">
        <f t="shared" si="76"/>
        <v>132332.13</v>
      </c>
      <c r="P582" s="25">
        <v>11761.97</v>
      </c>
      <c r="Q582" s="25">
        <f t="shared" si="77"/>
        <v>82333.789999999994</v>
      </c>
      <c r="R582" s="25">
        <f t="shared" si="78"/>
        <v>49998.340000000011</v>
      </c>
      <c r="S582" s="26">
        <f t="shared" si="79"/>
        <v>0.37782464470268867</v>
      </c>
    </row>
    <row r="583" spans="1:19" ht="15" x14ac:dyDescent="0.2">
      <c r="A583" s="23">
        <v>45809</v>
      </c>
      <c r="B583">
        <f t="shared" si="72"/>
        <v>2025</v>
      </c>
      <c r="C583">
        <f t="shared" si="73"/>
        <v>6</v>
      </c>
      <c r="D583" t="str">
        <f t="shared" si="74"/>
        <v>Junio</v>
      </c>
      <c r="E583" t="str">
        <f t="shared" si="75"/>
        <v>T2</v>
      </c>
      <c r="F583" t="s">
        <v>706</v>
      </c>
      <c r="G583" t="s">
        <v>282</v>
      </c>
      <c r="H583" t="s">
        <v>55</v>
      </c>
      <c r="I583" t="s">
        <v>56</v>
      </c>
      <c r="J583" t="s">
        <v>57</v>
      </c>
      <c r="K583" t="s">
        <v>81</v>
      </c>
      <c r="L583" t="s">
        <v>129</v>
      </c>
      <c r="M583" s="24">
        <v>3</v>
      </c>
      <c r="N583" s="25">
        <v>489208.82</v>
      </c>
      <c r="O583" s="25">
        <f t="shared" si="76"/>
        <v>1467626.46</v>
      </c>
      <c r="P583" s="25">
        <v>349225.91</v>
      </c>
      <c r="Q583" s="25">
        <f t="shared" si="77"/>
        <v>1047677.73</v>
      </c>
      <c r="R583" s="25">
        <f t="shared" si="78"/>
        <v>419948.73</v>
      </c>
      <c r="S583" s="26">
        <f t="shared" si="79"/>
        <v>0.28614142729478997</v>
      </c>
    </row>
    <row r="584" spans="1:19" ht="15" x14ac:dyDescent="0.2">
      <c r="A584" s="23">
        <v>45809</v>
      </c>
      <c r="B584">
        <f t="shared" si="72"/>
        <v>2025</v>
      </c>
      <c r="C584">
        <f t="shared" si="73"/>
        <v>6</v>
      </c>
      <c r="D584" t="str">
        <f t="shared" si="74"/>
        <v>Junio</v>
      </c>
      <c r="E584" t="str">
        <f t="shared" si="75"/>
        <v>T2</v>
      </c>
      <c r="F584" t="s">
        <v>707</v>
      </c>
      <c r="G584" t="s">
        <v>54</v>
      </c>
      <c r="H584" t="s">
        <v>55</v>
      </c>
      <c r="I584" t="s">
        <v>56</v>
      </c>
      <c r="J584" t="s">
        <v>57</v>
      </c>
      <c r="K584" t="s">
        <v>58</v>
      </c>
      <c r="L584" t="s">
        <v>59</v>
      </c>
      <c r="M584" s="24">
        <v>5</v>
      </c>
      <c r="N584" s="25">
        <v>55365.49</v>
      </c>
      <c r="O584" s="25">
        <f t="shared" si="76"/>
        <v>276827.45</v>
      </c>
      <c r="P584" s="25">
        <v>40953.629999999997</v>
      </c>
      <c r="Q584" s="25">
        <f t="shared" si="77"/>
        <v>204768.15</v>
      </c>
      <c r="R584" s="25">
        <f t="shared" si="78"/>
        <v>72059.300000000017</v>
      </c>
      <c r="S584" s="26">
        <f t="shared" si="79"/>
        <v>0.26030402693085536</v>
      </c>
    </row>
    <row r="585" spans="1:19" ht="15" x14ac:dyDescent="0.2">
      <c r="A585" s="23">
        <v>45809</v>
      </c>
      <c r="B585">
        <f t="shared" si="72"/>
        <v>2025</v>
      </c>
      <c r="C585">
        <f t="shared" si="73"/>
        <v>6</v>
      </c>
      <c r="D585" t="str">
        <f t="shared" si="74"/>
        <v>Junio</v>
      </c>
      <c r="E585" t="str">
        <f t="shared" si="75"/>
        <v>T2</v>
      </c>
      <c r="F585" t="s">
        <v>708</v>
      </c>
      <c r="G585" t="s">
        <v>61</v>
      </c>
      <c r="H585" t="s">
        <v>62</v>
      </c>
      <c r="I585" t="s">
        <v>63</v>
      </c>
      <c r="J585" t="s">
        <v>125</v>
      </c>
      <c r="K585" t="s">
        <v>126</v>
      </c>
      <c r="L585" t="s">
        <v>131</v>
      </c>
      <c r="M585" s="24">
        <v>26</v>
      </c>
      <c r="N585" s="25">
        <v>5846.16</v>
      </c>
      <c r="O585" s="25">
        <f t="shared" si="76"/>
        <v>152000.16</v>
      </c>
      <c r="P585" s="25">
        <v>4752.53</v>
      </c>
      <c r="Q585" s="25">
        <f t="shared" si="77"/>
        <v>123565.78</v>
      </c>
      <c r="R585" s="25">
        <f t="shared" si="78"/>
        <v>28434.380000000005</v>
      </c>
      <c r="S585" s="26">
        <f t="shared" si="79"/>
        <v>0.18706809255990259</v>
      </c>
    </row>
    <row r="586" spans="1:19" ht="15" x14ac:dyDescent="0.2">
      <c r="A586" s="23">
        <v>45810</v>
      </c>
      <c r="B586">
        <f t="shared" si="72"/>
        <v>2025</v>
      </c>
      <c r="C586">
        <f t="shared" si="73"/>
        <v>6</v>
      </c>
      <c r="D586" t="str">
        <f t="shared" si="74"/>
        <v>Junio</v>
      </c>
      <c r="E586" t="str">
        <f t="shared" si="75"/>
        <v>T2</v>
      </c>
      <c r="F586" t="s">
        <v>709</v>
      </c>
      <c r="G586" t="s">
        <v>54</v>
      </c>
      <c r="H586" t="s">
        <v>55</v>
      </c>
      <c r="I586" t="s">
        <v>56</v>
      </c>
      <c r="J586" t="s">
        <v>57</v>
      </c>
      <c r="K586" t="s">
        <v>58</v>
      </c>
      <c r="L586" t="s">
        <v>162</v>
      </c>
      <c r="M586" s="24">
        <v>9</v>
      </c>
      <c r="N586" s="25">
        <v>55709.81</v>
      </c>
      <c r="O586" s="25">
        <f t="shared" si="76"/>
        <v>501388.29</v>
      </c>
      <c r="P586" s="25">
        <v>40146.019999999997</v>
      </c>
      <c r="Q586" s="25">
        <f t="shared" si="77"/>
        <v>361314.18</v>
      </c>
      <c r="R586" s="25">
        <f t="shared" si="78"/>
        <v>140074.10999999999</v>
      </c>
      <c r="S586" s="26">
        <f t="shared" si="79"/>
        <v>0.2793725198488381</v>
      </c>
    </row>
    <row r="587" spans="1:19" ht="15" x14ac:dyDescent="0.2">
      <c r="A587" s="23">
        <v>45810</v>
      </c>
      <c r="B587">
        <f t="shared" si="72"/>
        <v>2025</v>
      </c>
      <c r="C587">
        <f t="shared" si="73"/>
        <v>6</v>
      </c>
      <c r="D587" t="str">
        <f t="shared" si="74"/>
        <v>Junio</v>
      </c>
      <c r="E587" t="str">
        <f t="shared" si="75"/>
        <v>T2</v>
      </c>
      <c r="F587" t="s">
        <v>710</v>
      </c>
      <c r="G587" t="s">
        <v>54</v>
      </c>
      <c r="H587" t="s">
        <v>55</v>
      </c>
      <c r="I587" t="s">
        <v>56</v>
      </c>
      <c r="J587" t="s">
        <v>70</v>
      </c>
      <c r="K587" t="s">
        <v>84</v>
      </c>
      <c r="L587" t="s">
        <v>85</v>
      </c>
      <c r="M587" s="24">
        <v>11</v>
      </c>
      <c r="N587" s="25">
        <v>55772.29</v>
      </c>
      <c r="O587" s="25">
        <f t="shared" si="76"/>
        <v>613495.19000000006</v>
      </c>
      <c r="P587" s="25">
        <v>42455.01</v>
      </c>
      <c r="Q587" s="25">
        <f t="shared" si="77"/>
        <v>467005.11000000004</v>
      </c>
      <c r="R587" s="25">
        <f t="shared" si="78"/>
        <v>146490.08000000002</v>
      </c>
      <c r="S587" s="26">
        <f t="shared" si="79"/>
        <v>0.23877950860543828</v>
      </c>
    </row>
    <row r="588" spans="1:19" ht="15" x14ac:dyDescent="0.2">
      <c r="A588" s="23">
        <v>45810</v>
      </c>
      <c r="B588">
        <f t="shared" si="72"/>
        <v>2025</v>
      </c>
      <c r="C588">
        <f t="shared" si="73"/>
        <v>6</v>
      </c>
      <c r="D588" t="str">
        <f t="shared" si="74"/>
        <v>Junio</v>
      </c>
      <c r="E588" t="str">
        <f t="shared" si="75"/>
        <v>T2</v>
      </c>
      <c r="F588" t="s">
        <v>711</v>
      </c>
      <c r="G588" t="s">
        <v>110</v>
      </c>
      <c r="H588" t="s">
        <v>62</v>
      </c>
      <c r="I588" t="s">
        <v>69</v>
      </c>
      <c r="J588" t="s">
        <v>77</v>
      </c>
      <c r="K588" t="s">
        <v>107</v>
      </c>
      <c r="L588" t="s">
        <v>108</v>
      </c>
      <c r="M588" s="24">
        <v>162</v>
      </c>
      <c r="N588" s="25">
        <v>6947.99</v>
      </c>
      <c r="O588" s="25">
        <f t="shared" si="76"/>
        <v>1125574.3799999999</v>
      </c>
      <c r="P588" s="25">
        <v>5402.5</v>
      </c>
      <c r="Q588" s="25">
        <f t="shared" si="77"/>
        <v>875205</v>
      </c>
      <c r="R588" s="25">
        <f t="shared" si="78"/>
        <v>250369.37999999989</v>
      </c>
      <c r="S588" s="26">
        <f t="shared" si="79"/>
        <v>0.22243699256907384</v>
      </c>
    </row>
    <row r="589" spans="1:19" ht="15" x14ac:dyDescent="0.2">
      <c r="A589" s="23">
        <v>45810</v>
      </c>
      <c r="B589">
        <f t="shared" si="72"/>
        <v>2025</v>
      </c>
      <c r="C589">
        <f t="shared" si="73"/>
        <v>6</v>
      </c>
      <c r="D589" t="str">
        <f t="shared" si="74"/>
        <v>Junio</v>
      </c>
      <c r="E589" t="str">
        <f t="shared" si="75"/>
        <v>T2</v>
      </c>
      <c r="F589" t="s">
        <v>712</v>
      </c>
      <c r="G589" t="s">
        <v>144</v>
      </c>
      <c r="H589" t="s">
        <v>88</v>
      </c>
      <c r="I589" t="s">
        <v>145</v>
      </c>
      <c r="J589" t="s">
        <v>77</v>
      </c>
      <c r="K589" t="s">
        <v>107</v>
      </c>
      <c r="L589" t="s">
        <v>112</v>
      </c>
      <c r="M589" s="24">
        <v>3</v>
      </c>
      <c r="N589" s="25">
        <v>15065.12</v>
      </c>
      <c r="O589" s="25">
        <f t="shared" si="76"/>
        <v>45195.360000000001</v>
      </c>
      <c r="P589" s="25">
        <v>7721.75</v>
      </c>
      <c r="Q589" s="25">
        <f t="shared" si="77"/>
        <v>23165.25</v>
      </c>
      <c r="R589" s="25">
        <f t="shared" si="78"/>
        <v>22030.11</v>
      </c>
      <c r="S589" s="26">
        <f t="shared" si="79"/>
        <v>0.48744185243794941</v>
      </c>
    </row>
    <row r="590" spans="1:19" ht="15" x14ac:dyDescent="0.2">
      <c r="A590" s="23">
        <v>45810</v>
      </c>
      <c r="B590">
        <f t="shared" si="72"/>
        <v>2025</v>
      </c>
      <c r="C590">
        <f t="shared" si="73"/>
        <v>6</v>
      </c>
      <c r="D590" t="str">
        <f t="shared" si="74"/>
        <v>Junio</v>
      </c>
      <c r="E590" t="str">
        <f t="shared" si="75"/>
        <v>T2</v>
      </c>
      <c r="F590" t="s">
        <v>713</v>
      </c>
      <c r="G590" t="s">
        <v>100</v>
      </c>
      <c r="H590" t="s">
        <v>88</v>
      </c>
      <c r="I590" t="s">
        <v>101</v>
      </c>
      <c r="J590" t="s">
        <v>125</v>
      </c>
      <c r="K590" t="s">
        <v>138</v>
      </c>
      <c r="L590" t="s">
        <v>139</v>
      </c>
      <c r="M590" s="24">
        <v>10</v>
      </c>
      <c r="N590" s="25">
        <v>37221.480000000003</v>
      </c>
      <c r="O590" s="25">
        <f t="shared" si="76"/>
        <v>372214.80000000005</v>
      </c>
      <c r="P590" s="25">
        <v>20891.75</v>
      </c>
      <c r="Q590" s="25">
        <f t="shared" si="77"/>
        <v>208917.5</v>
      </c>
      <c r="R590" s="25">
        <f t="shared" si="78"/>
        <v>163297.30000000005</v>
      </c>
      <c r="S590" s="26">
        <f t="shared" si="79"/>
        <v>0.43871791234523727</v>
      </c>
    </row>
    <row r="591" spans="1:19" ht="15" x14ac:dyDescent="0.2">
      <c r="A591" s="23">
        <v>45811</v>
      </c>
      <c r="B591">
        <f t="shared" si="72"/>
        <v>2025</v>
      </c>
      <c r="C591">
        <f t="shared" si="73"/>
        <v>6</v>
      </c>
      <c r="D591" t="str">
        <f t="shared" si="74"/>
        <v>Junio</v>
      </c>
      <c r="E591" t="str">
        <f t="shared" si="75"/>
        <v>T2</v>
      </c>
      <c r="F591" t="s">
        <v>714</v>
      </c>
      <c r="G591" t="s">
        <v>54</v>
      </c>
      <c r="H591" t="s">
        <v>55</v>
      </c>
      <c r="I591" t="s">
        <v>56</v>
      </c>
      <c r="J591" t="s">
        <v>57</v>
      </c>
      <c r="K591" t="s">
        <v>81</v>
      </c>
      <c r="L591" t="s">
        <v>129</v>
      </c>
      <c r="M591" s="24">
        <v>11</v>
      </c>
      <c r="N591" s="25">
        <v>57309.81</v>
      </c>
      <c r="O591" s="25">
        <f t="shared" si="76"/>
        <v>630407.90999999992</v>
      </c>
      <c r="P591" s="25">
        <v>41790.75</v>
      </c>
      <c r="Q591" s="25">
        <f t="shared" si="77"/>
        <v>459698.25</v>
      </c>
      <c r="R591" s="25">
        <f t="shared" si="78"/>
        <v>170709.65999999992</v>
      </c>
      <c r="S591" s="26">
        <f t="shared" si="79"/>
        <v>0.27079238266537603</v>
      </c>
    </row>
    <row r="592" spans="1:19" ht="15" x14ac:dyDescent="0.2">
      <c r="A592" s="23">
        <v>45811</v>
      </c>
      <c r="B592">
        <f t="shared" si="72"/>
        <v>2025</v>
      </c>
      <c r="C592">
        <f t="shared" si="73"/>
        <v>6</v>
      </c>
      <c r="D592" t="str">
        <f t="shared" si="74"/>
        <v>Junio</v>
      </c>
      <c r="E592" t="str">
        <f t="shared" si="75"/>
        <v>T2</v>
      </c>
      <c r="F592" t="s">
        <v>715</v>
      </c>
      <c r="G592" t="s">
        <v>61</v>
      </c>
      <c r="H592" t="s">
        <v>62</v>
      </c>
      <c r="I592" t="s">
        <v>63</v>
      </c>
      <c r="J592" t="s">
        <v>64</v>
      </c>
      <c r="K592" t="s">
        <v>65</v>
      </c>
      <c r="L592" t="s">
        <v>66</v>
      </c>
      <c r="M592" s="24">
        <v>135</v>
      </c>
      <c r="N592" s="25">
        <v>5817.49</v>
      </c>
      <c r="O592" s="25">
        <f t="shared" si="76"/>
        <v>785361.15</v>
      </c>
      <c r="P592" s="25">
        <v>4813.93</v>
      </c>
      <c r="Q592" s="25">
        <f t="shared" si="77"/>
        <v>649880.55000000005</v>
      </c>
      <c r="R592" s="25">
        <f t="shared" si="78"/>
        <v>135480.59999999998</v>
      </c>
      <c r="S592" s="26">
        <f t="shared" si="79"/>
        <v>0.17250738720650999</v>
      </c>
    </row>
    <row r="593" spans="1:19" ht="15" x14ac:dyDescent="0.2">
      <c r="A593" s="23">
        <v>45811</v>
      </c>
      <c r="B593">
        <f t="shared" si="72"/>
        <v>2025</v>
      </c>
      <c r="C593">
        <f t="shared" si="73"/>
        <v>6</v>
      </c>
      <c r="D593" t="str">
        <f t="shared" si="74"/>
        <v>Junio</v>
      </c>
      <c r="E593" t="str">
        <f t="shared" si="75"/>
        <v>T2</v>
      </c>
      <c r="F593" t="s">
        <v>716</v>
      </c>
      <c r="G593" t="s">
        <v>87</v>
      </c>
      <c r="H593" t="s">
        <v>88</v>
      </c>
      <c r="I593" t="s">
        <v>89</v>
      </c>
      <c r="J593" t="s">
        <v>64</v>
      </c>
      <c r="K593" t="s">
        <v>65</v>
      </c>
      <c r="L593" t="s">
        <v>66</v>
      </c>
      <c r="M593" s="24">
        <v>11</v>
      </c>
      <c r="N593" s="25">
        <v>56856.25</v>
      </c>
      <c r="O593" s="25">
        <f t="shared" si="76"/>
        <v>625418.75</v>
      </c>
      <c r="P593" s="25">
        <v>32452.42</v>
      </c>
      <c r="Q593" s="25">
        <f t="shared" si="77"/>
        <v>356976.62</v>
      </c>
      <c r="R593" s="25">
        <f t="shared" si="78"/>
        <v>268442.13</v>
      </c>
      <c r="S593" s="26">
        <f t="shared" si="79"/>
        <v>0.42921983071342201</v>
      </c>
    </row>
    <row r="594" spans="1:19" ht="15" x14ac:dyDescent="0.2">
      <c r="A594" s="23">
        <v>45811</v>
      </c>
      <c r="B594">
        <f t="shared" si="72"/>
        <v>2025</v>
      </c>
      <c r="C594">
        <f t="shared" si="73"/>
        <v>6</v>
      </c>
      <c r="D594" t="str">
        <f t="shared" si="74"/>
        <v>Junio</v>
      </c>
      <c r="E594" t="str">
        <f t="shared" si="75"/>
        <v>T2</v>
      </c>
      <c r="F594" t="s">
        <v>717</v>
      </c>
      <c r="G594" t="s">
        <v>144</v>
      </c>
      <c r="H594" t="s">
        <v>88</v>
      </c>
      <c r="I594" t="s">
        <v>145</v>
      </c>
      <c r="J594" t="s">
        <v>125</v>
      </c>
      <c r="K594" t="s">
        <v>126</v>
      </c>
      <c r="L594" t="s">
        <v>127</v>
      </c>
      <c r="M594" s="24">
        <v>19</v>
      </c>
      <c r="N594" s="25">
        <v>13330.79</v>
      </c>
      <c r="O594" s="25">
        <f t="shared" si="76"/>
        <v>253285.01</v>
      </c>
      <c r="P594" s="25">
        <v>7161.73</v>
      </c>
      <c r="Q594" s="25">
        <f t="shared" si="77"/>
        <v>136072.87</v>
      </c>
      <c r="R594" s="25">
        <f t="shared" si="78"/>
        <v>117212.14000000001</v>
      </c>
      <c r="S594" s="26">
        <f t="shared" si="79"/>
        <v>0.46276777295269078</v>
      </c>
    </row>
    <row r="595" spans="1:19" ht="15" x14ac:dyDescent="0.2">
      <c r="A595" s="23">
        <v>45811</v>
      </c>
      <c r="B595">
        <f t="shared" si="72"/>
        <v>2025</v>
      </c>
      <c r="C595">
        <f t="shared" si="73"/>
        <v>6</v>
      </c>
      <c r="D595" t="str">
        <f t="shared" si="74"/>
        <v>Junio</v>
      </c>
      <c r="E595" t="str">
        <f t="shared" si="75"/>
        <v>T2</v>
      </c>
      <c r="F595" t="s">
        <v>718</v>
      </c>
      <c r="G595" t="s">
        <v>149</v>
      </c>
      <c r="H595" t="s">
        <v>93</v>
      </c>
      <c r="I595" t="s">
        <v>150</v>
      </c>
      <c r="J595" t="s">
        <v>77</v>
      </c>
      <c r="K595" t="s">
        <v>78</v>
      </c>
      <c r="L595" t="s">
        <v>117</v>
      </c>
      <c r="M595" s="24">
        <v>5</v>
      </c>
      <c r="N595" s="25">
        <v>44475.9</v>
      </c>
      <c r="O595" s="25">
        <f t="shared" si="76"/>
        <v>222379.5</v>
      </c>
      <c r="P595" s="25">
        <v>25505.77</v>
      </c>
      <c r="Q595" s="25">
        <f t="shared" si="77"/>
        <v>127528.85</v>
      </c>
      <c r="R595" s="25">
        <f t="shared" si="78"/>
        <v>94850.65</v>
      </c>
      <c r="S595" s="26">
        <f t="shared" si="79"/>
        <v>0.42652605118727216</v>
      </c>
    </row>
    <row r="596" spans="1:19" ht="15" x14ac:dyDescent="0.2">
      <c r="A596" s="23">
        <v>45812</v>
      </c>
      <c r="B596">
        <f t="shared" si="72"/>
        <v>2025</v>
      </c>
      <c r="C596">
        <f t="shared" si="73"/>
        <v>6</v>
      </c>
      <c r="D596" t="str">
        <f t="shared" si="74"/>
        <v>Junio</v>
      </c>
      <c r="E596" t="str">
        <f t="shared" si="75"/>
        <v>T2</v>
      </c>
      <c r="F596" t="s">
        <v>719</v>
      </c>
      <c r="G596" t="s">
        <v>105</v>
      </c>
      <c r="H596" t="s">
        <v>62</v>
      </c>
      <c r="I596" t="s">
        <v>106</v>
      </c>
      <c r="J596" t="s">
        <v>70</v>
      </c>
      <c r="K596" t="s">
        <v>84</v>
      </c>
      <c r="L596" t="s">
        <v>85</v>
      </c>
      <c r="M596" s="24">
        <v>160</v>
      </c>
      <c r="N596" s="25">
        <v>1762.11</v>
      </c>
      <c r="O596" s="25">
        <f t="shared" si="76"/>
        <v>281937.59999999998</v>
      </c>
      <c r="P596" s="25">
        <v>1498.03</v>
      </c>
      <c r="Q596" s="25">
        <f t="shared" si="77"/>
        <v>239684.8</v>
      </c>
      <c r="R596" s="25">
        <f t="shared" si="78"/>
        <v>42252.799999999988</v>
      </c>
      <c r="S596" s="26">
        <f t="shared" si="79"/>
        <v>0.14986578590439867</v>
      </c>
    </row>
    <row r="597" spans="1:19" ht="15" x14ac:dyDescent="0.2">
      <c r="A597" s="23">
        <v>45812</v>
      </c>
      <c r="B597">
        <f t="shared" si="72"/>
        <v>2025</v>
      </c>
      <c r="C597">
        <f t="shared" si="73"/>
        <v>6</v>
      </c>
      <c r="D597" t="str">
        <f t="shared" si="74"/>
        <v>Junio</v>
      </c>
      <c r="E597" t="str">
        <f t="shared" si="75"/>
        <v>T2</v>
      </c>
      <c r="F597" t="s">
        <v>720</v>
      </c>
      <c r="G597" t="s">
        <v>74</v>
      </c>
      <c r="H597" t="s">
        <v>75</v>
      </c>
      <c r="I597" t="s">
        <v>76</v>
      </c>
      <c r="J597" t="s">
        <v>125</v>
      </c>
      <c r="K597" t="s">
        <v>138</v>
      </c>
      <c r="L597" t="s">
        <v>142</v>
      </c>
      <c r="M597" s="24">
        <v>14</v>
      </c>
      <c r="N597" s="25">
        <v>42284.32</v>
      </c>
      <c r="O597" s="25">
        <f t="shared" si="76"/>
        <v>591980.48</v>
      </c>
      <c r="P597" s="25">
        <v>28609.119999999999</v>
      </c>
      <c r="Q597" s="25">
        <f t="shared" si="77"/>
        <v>400527.68</v>
      </c>
      <c r="R597" s="25">
        <f t="shared" si="78"/>
        <v>191452.79999999999</v>
      </c>
      <c r="S597" s="26">
        <f t="shared" si="79"/>
        <v>0.32341066381107703</v>
      </c>
    </row>
    <row r="598" spans="1:19" ht="15" x14ac:dyDescent="0.2">
      <c r="A598" s="23">
        <v>45812</v>
      </c>
      <c r="B598">
        <f t="shared" si="72"/>
        <v>2025</v>
      </c>
      <c r="C598">
        <f t="shared" si="73"/>
        <v>6</v>
      </c>
      <c r="D598" t="str">
        <f t="shared" si="74"/>
        <v>Junio</v>
      </c>
      <c r="E598" t="str">
        <f t="shared" si="75"/>
        <v>T2</v>
      </c>
      <c r="F598" t="s">
        <v>721</v>
      </c>
      <c r="G598" t="s">
        <v>87</v>
      </c>
      <c r="H598" t="s">
        <v>88</v>
      </c>
      <c r="I598" t="s">
        <v>89</v>
      </c>
      <c r="J598" t="s">
        <v>64</v>
      </c>
      <c r="K598" t="s">
        <v>65</v>
      </c>
      <c r="L598" t="s">
        <v>66</v>
      </c>
      <c r="M598" s="24">
        <v>15</v>
      </c>
      <c r="N598" s="25">
        <v>56592.42</v>
      </c>
      <c r="O598" s="25">
        <f t="shared" si="76"/>
        <v>848886.29999999993</v>
      </c>
      <c r="P598" s="25">
        <v>32092.68</v>
      </c>
      <c r="Q598" s="25">
        <f t="shared" si="77"/>
        <v>481390.2</v>
      </c>
      <c r="R598" s="25">
        <f t="shared" si="78"/>
        <v>367496.09999999992</v>
      </c>
      <c r="S598" s="26">
        <f t="shared" si="79"/>
        <v>0.43291557420587418</v>
      </c>
    </row>
    <row r="599" spans="1:19" ht="15" x14ac:dyDescent="0.2">
      <c r="A599" s="23">
        <v>45813</v>
      </c>
      <c r="B599">
        <f t="shared" si="72"/>
        <v>2025</v>
      </c>
      <c r="C599">
        <f t="shared" si="73"/>
        <v>6</v>
      </c>
      <c r="D599" t="str">
        <f t="shared" si="74"/>
        <v>Junio</v>
      </c>
      <c r="E599" t="str">
        <f t="shared" si="75"/>
        <v>T2</v>
      </c>
      <c r="F599" t="s">
        <v>722</v>
      </c>
      <c r="G599" t="s">
        <v>74</v>
      </c>
      <c r="H599" t="s">
        <v>75</v>
      </c>
      <c r="I599" t="s">
        <v>76</v>
      </c>
      <c r="J599" t="s">
        <v>64</v>
      </c>
      <c r="K599" t="s">
        <v>65</v>
      </c>
      <c r="L599" t="s">
        <v>66</v>
      </c>
      <c r="M599" s="24">
        <v>19</v>
      </c>
      <c r="N599" s="25">
        <v>39752.21</v>
      </c>
      <c r="O599" s="25">
        <f t="shared" si="76"/>
        <v>755291.99</v>
      </c>
      <c r="P599" s="25">
        <v>27977.68</v>
      </c>
      <c r="Q599" s="25">
        <f t="shared" si="77"/>
        <v>531575.92000000004</v>
      </c>
      <c r="R599" s="25">
        <f t="shared" si="78"/>
        <v>223716.06999999995</v>
      </c>
      <c r="S599" s="26">
        <f t="shared" si="79"/>
        <v>0.29619812332446416</v>
      </c>
    </row>
    <row r="600" spans="1:19" ht="15" x14ac:dyDescent="0.2">
      <c r="A600" s="23">
        <v>45813</v>
      </c>
      <c r="B600">
        <f t="shared" si="72"/>
        <v>2025</v>
      </c>
      <c r="C600">
        <f t="shared" si="73"/>
        <v>6</v>
      </c>
      <c r="D600" t="str">
        <f t="shared" si="74"/>
        <v>Junio</v>
      </c>
      <c r="E600" t="str">
        <f t="shared" si="75"/>
        <v>T2</v>
      </c>
      <c r="F600" t="s">
        <v>723</v>
      </c>
      <c r="G600" t="s">
        <v>144</v>
      </c>
      <c r="H600" t="s">
        <v>88</v>
      </c>
      <c r="I600" t="s">
        <v>145</v>
      </c>
      <c r="J600" t="s">
        <v>77</v>
      </c>
      <c r="K600" t="s">
        <v>78</v>
      </c>
      <c r="L600" t="s">
        <v>117</v>
      </c>
      <c r="M600" s="24">
        <v>49</v>
      </c>
      <c r="N600" s="25">
        <v>13164.14</v>
      </c>
      <c r="O600" s="25">
        <f t="shared" si="76"/>
        <v>645042.86</v>
      </c>
      <c r="P600" s="25">
        <v>6951.98</v>
      </c>
      <c r="Q600" s="25">
        <f t="shared" si="77"/>
        <v>340647.01999999996</v>
      </c>
      <c r="R600" s="25">
        <f t="shared" si="78"/>
        <v>304395.84000000003</v>
      </c>
      <c r="S600" s="26">
        <f t="shared" si="79"/>
        <v>0.47190017729984646</v>
      </c>
    </row>
    <row r="601" spans="1:19" ht="15" x14ac:dyDescent="0.2">
      <c r="A601" s="23">
        <v>45813</v>
      </c>
      <c r="B601">
        <f t="shared" si="72"/>
        <v>2025</v>
      </c>
      <c r="C601">
        <f t="shared" si="73"/>
        <v>6</v>
      </c>
      <c r="D601" t="str">
        <f t="shared" si="74"/>
        <v>Junio</v>
      </c>
      <c r="E601" t="str">
        <f t="shared" si="75"/>
        <v>T2</v>
      </c>
      <c r="F601" t="s">
        <v>724</v>
      </c>
      <c r="G601" t="s">
        <v>92</v>
      </c>
      <c r="H601" t="s">
        <v>93</v>
      </c>
      <c r="I601" t="s">
        <v>94</v>
      </c>
      <c r="J601" t="s">
        <v>57</v>
      </c>
      <c r="K601" t="s">
        <v>58</v>
      </c>
      <c r="L601" t="s">
        <v>59</v>
      </c>
      <c r="M601" s="24">
        <v>4</v>
      </c>
      <c r="N601" s="25">
        <v>19747.95</v>
      </c>
      <c r="O601" s="25">
        <f t="shared" si="76"/>
        <v>78991.8</v>
      </c>
      <c r="P601" s="25">
        <v>11967.13</v>
      </c>
      <c r="Q601" s="25">
        <f t="shared" si="77"/>
        <v>47868.52</v>
      </c>
      <c r="R601" s="25">
        <f t="shared" si="78"/>
        <v>31123.280000000006</v>
      </c>
      <c r="S601" s="26">
        <f t="shared" si="79"/>
        <v>0.39400646649399057</v>
      </c>
    </row>
    <row r="602" spans="1:19" ht="15" x14ac:dyDescent="0.2">
      <c r="A602" s="23">
        <v>45814</v>
      </c>
      <c r="B602">
        <f t="shared" si="72"/>
        <v>2025</v>
      </c>
      <c r="C602">
        <f t="shared" si="73"/>
        <v>6</v>
      </c>
      <c r="D602" t="str">
        <f t="shared" si="74"/>
        <v>Junio</v>
      </c>
      <c r="E602" t="str">
        <f t="shared" si="75"/>
        <v>T2</v>
      </c>
      <c r="F602" t="s">
        <v>725</v>
      </c>
      <c r="G602" t="s">
        <v>54</v>
      </c>
      <c r="H602" t="s">
        <v>55</v>
      </c>
      <c r="I602" t="s">
        <v>56</v>
      </c>
      <c r="J602" t="s">
        <v>125</v>
      </c>
      <c r="K602" t="s">
        <v>138</v>
      </c>
      <c r="L602" t="s">
        <v>142</v>
      </c>
      <c r="M602" s="24">
        <v>17</v>
      </c>
      <c r="N602" s="25">
        <v>60658.99</v>
      </c>
      <c r="O602" s="25">
        <f t="shared" si="76"/>
        <v>1031202.83</v>
      </c>
      <c r="P602" s="25">
        <v>43052.99</v>
      </c>
      <c r="Q602" s="25">
        <f t="shared" si="77"/>
        <v>731900.83</v>
      </c>
      <c r="R602" s="25">
        <f t="shared" si="78"/>
        <v>299302</v>
      </c>
      <c r="S602" s="26">
        <f t="shared" si="79"/>
        <v>0.29024551843016183</v>
      </c>
    </row>
    <row r="603" spans="1:19" ht="15" x14ac:dyDescent="0.2">
      <c r="A603" s="23">
        <v>45814</v>
      </c>
      <c r="B603">
        <f t="shared" si="72"/>
        <v>2025</v>
      </c>
      <c r="C603">
        <f t="shared" si="73"/>
        <v>6</v>
      </c>
      <c r="D603" t="str">
        <f t="shared" si="74"/>
        <v>Junio</v>
      </c>
      <c r="E603" t="str">
        <f t="shared" si="75"/>
        <v>T2</v>
      </c>
      <c r="F603" t="s">
        <v>726</v>
      </c>
      <c r="G603" t="s">
        <v>74</v>
      </c>
      <c r="H603" t="s">
        <v>75</v>
      </c>
      <c r="I603" t="s">
        <v>76</v>
      </c>
      <c r="J603" t="s">
        <v>70</v>
      </c>
      <c r="K603" t="s">
        <v>71</v>
      </c>
      <c r="L603" t="s">
        <v>90</v>
      </c>
      <c r="M603" s="24">
        <v>5</v>
      </c>
      <c r="N603" s="25">
        <v>35870.75</v>
      </c>
      <c r="O603" s="25">
        <f t="shared" si="76"/>
        <v>179353.75</v>
      </c>
      <c r="P603" s="25">
        <v>26024.84</v>
      </c>
      <c r="Q603" s="25">
        <f t="shared" si="77"/>
        <v>130124.2</v>
      </c>
      <c r="R603" s="25">
        <f t="shared" si="78"/>
        <v>49229.55</v>
      </c>
      <c r="S603" s="26">
        <f t="shared" si="79"/>
        <v>0.27448297010795708</v>
      </c>
    </row>
    <row r="604" spans="1:19" ht="15" x14ac:dyDescent="0.2">
      <c r="A604" s="23">
        <v>45814</v>
      </c>
      <c r="B604">
        <f t="shared" si="72"/>
        <v>2025</v>
      </c>
      <c r="C604">
        <f t="shared" si="73"/>
        <v>6</v>
      </c>
      <c r="D604" t="str">
        <f t="shared" si="74"/>
        <v>Junio</v>
      </c>
      <c r="E604" t="str">
        <f t="shared" si="75"/>
        <v>T2</v>
      </c>
      <c r="F604" t="s">
        <v>727</v>
      </c>
      <c r="G604" t="s">
        <v>100</v>
      </c>
      <c r="H604" t="s">
        <v>88</v>
      </c>
      <c r="I604" t="s">
        <v>101</v>
      </c>
      <c r="J604" t="s">
        <v>77</v>
      </c>
      <c r="K604" t="s">
        <v>78</v>
      </c>
      <c r="L604" t="s">
        <v>79</v>
      </c>
      <c r="M604" s="24">
        <v>7</v>
      </c>
      <c r="N604" s="25">
        <v>39536.959999999999</v>
      </c>
      <c r="O604" s="25">
        <f t="shared" si="76"/>
        <v>276758.71999999997</v>
      </c>
      <c r="P604" s="25">
        <v>21289.919999999998</v>
      </c>
      <c r="Q604" s="25">
        <f t="shared" si="77"/>
        <v>149029.44</v>
      </c>
      <c r="R604" s="25">
        <f t="shared" si="78"/>
        <v>127729.27999999997</v>
      </c>
      <c r="S604" s="26">
        <f t="shared" si="79"/>
        <v>0.46151853860286673</v>
      </c>
    </row>
    <row r="605" spans="1:19" ht="15" x14ac:dyDescent="0.2">
      <c r="A605" s="23">
        <v>45815</v>
      </c>
      <c r="B605">
        <f t="shared" si="72"/>
        <v>2025</v>
      </c>
      <c r="C605">
        <f t="shared" si="73"/>
        <v>6</v>
      </c>
      <c r="D605" t="str">
        <f t="shared" si="74"/>
        <v>Junio</v>
      </c>
      <c r="E605" t="str">
        <f t="shared" si="75"/>
        <v>T2</v>
      </c>
      <c r="F605" t="s">
        <v>728</v>
      </c>
      <c r="G605" t="s">
        <v>110</v>
      </c>
      <c r="H605" t="s">
        <v>62</v>
      </c>
      <c r="I605" t="s">
        <v>69</v>
      </c>
      <c r="J605" t="s">
        <v>64</v>
      </c>
      <c r="K605" t="s">
        <v>65</v>
      </c>
      <c r="L605" t="s">
        <v>123</v>
      </c>
      <c r="M605" s="24">
        <v>146</v>
      </c>
      <c r="N605" s="25">
        <v>6542.61</v>
      </c>
      <c r="O605" s="25">
        <f t="shared" si="76"/>
        <v>955221.05999999994</v>
      </c>
      <c r="P605" s="25">
        <v>5417.99</v>
      </c>
      <c r="Q605" s="25">
        <f t="shared" si="77"/>
        <v>791026.53999999992</v>
      </c>
      <c r="R605" s="25">
        <f t="shared" si="78"/>
        <v>164194.52000000002</v>
      </c>
      <c r="S605" s="26">
        <f t="shared" si="79"/>
        <v>0.17189164568880005</v>
      </c>
    </row>
    <row r="606" spans="1:19" ht="15" x14ac:dyDescent="0.2">
      <c r="A606" s="23">
        <v>45815</v>
      </c>
      <c r="B606">
        <f t="shared" si="72"/>
        <v>2025</v>
      </c>
      <c r="C606">
        <f t="shared" si="73"/>
        <v>6</v>
      </c>
      <c r="D606" t="str">
        <f t="shared" si="74"/>
        <v>Junio</v>
      </c>
      <c r="E606" t="str">
        <f t="shared" si="75"/>
        <v>T2</v>
      </c>
      <c r="F606" t="s">
        <v>729</v>
      </c>
      <c r="G606" t="s">
        <v>74</v>
      </c>
      <c r="H606" t="s">
        <v>75</v>
      </c>
      <c r="I606" t="s">
        <v>76</v>
      </c>
      <c r="J606" t="s">
        <v>64</v>
      </c>
      <c r="K606" t="s">
        <v>65</v>
      </c>
      <c r="L606" t="s">
        <v>123</v>
      </c>
      <c r="M606" s="24">
        <v>30</v>
      </c>
      <c r="N606" s="25">
        <v>41167.85</v>
      </c>
      <c r="O606" s="25">
        <f t="shared" si="76"/>
        <v>1235035.5</v>
      </c>
      <c r="P606" s="25">
        <v>28281.22</v>
      </c>
      <c r="Q606" s="25">
        <f t="shared" si="77"/>
        <v>848436.60000000009</v>
      </c>
      <c r="R606" s="25">
        <f t="shared" si="78"/>
        <v>386598.89999999991</v>
      </c>
      <c r="S606" s="26">
        <f t="shared" si="79"/>
        <v>0.31302654862957374</v>
      </c>
    </row>
    <row r="607" spans="1:19" ht="15" x14ac:dyDescent="0.2">
      <c r="A607" s="23">
        <v>45815</v>
      </c>
      <c r="B607">
        <f t="shared" si="72"/>
        <v>2025</v>
      </c>
      <c r="C607">
        <f t="shared" si="73"/>
        <v>6</v>
      </c>
      <c r="D607" t="str">
        <f t="shared" si="74"/>
        <v>Junio</v>
      </c>
      <c r="E607" t="str">
        <f t="shared" si="75"/>
        <v>T2</v>
      </c>
      <c r="F607" t="s">
        <v>730</v>
      </c>
      <c r="G607" t="s">
        <v>74</v>
      </c>
      <c r="H607" t="s">
        <v>75</v>
      </c>
      <c r="I607" t="s">
        <v>76</v>
      </c>
      <c r="J607" t="s">
        <v>77</v>
      </c>
      <c r="K607" t="s">
        <v>78</v>
      </c>
      <c r="L607" t="s">
        <v>117</v>
      </c>
      <c r="M607" s="24">
        <v>14</v>
      </c>
      <c r="N607" s="25">
        <v>40128.57</v>
      </c>
      <c r="O607" s="25">
        <f t="shared" si="76"/>
        <v>561799.98</v>
      </c>
      <c r="P607" s="25">
        <v>27062.26</v>
      </c>
      <c r="Q607" s="25">
        <f t="shared" si="77"/>
        <v>378871.63999999996</v>
      </c>
      <c r="R607" s="25">
        <f t="shared" si="78"/>
        <v>182928.34000000003</v>
      </c>
      <c r="S607" s="26">
        <f t="shared" si="79"/>
        <v>0.32561115434713978</v>
      </c>
    </row>
    <row r="608" spans="1:19" ht="15" x14ac:dyDescent="0.2">
      <c r="A608" s="23">
        <v>45815</v>
      </c>
      <c r="B608">
        <f t="shared" si="72"/>
        <v>2025</v>
      </c>
      <c r="C608">
        <f t="shared" si="73"/>
        <v>6</v>
      </c>
      <c r="D608" t="str">
        <f t="shared" si="74"/>
        <v>Junio</v>
      </c>
      <c r="E608" t="str">
        <f t="shared" si="75"/>
        <v>T2</v>
      </c>
      <c r="F608" t="s">
        <v>731</v>
      </c>
      <c r="G608" t="s">
        <v>188</v>
      </c>
      <c r="H608" t="s">
        <v>88</v>
      </c>
      <c r="I608" t="s">
        <v>189</v>
      </c>
      <c r="J608" t="s">
        <v>77</v>
      </c>
      <c r="K608" t="s">
        <v>107</v>
      </c>
      <c r="L608" t="s">
        <v>108</v>
      </c>
      <c r="M608" s="24">
        <v>5</v>
      </c>
      <c r="N608" s="25">
        <v>88594.9</v>
      </c>
      <c r="O608" s="25">
        <f t="shared" si="76"/>
        <v>442974.5</v>
      </c>
      <c r="P608" s="25">
        <v>44740.959999999999</v>
      </c>
      <c r="Q608" s="25">
        <f t="shared" si="77"/>
        <v>223704.8</v>
      </c>
      <c r="R608" s="25">
        <f t="shared" si="78"/>
        <v>219269.7</v>
      </c>
      <c r="S608" s="26">
        <f t="shared" si="79"/>
        <v>0.4949939556340151</v>
      </c>
    </row>
    <row r="609" spans="1:19" ht="15" x14ac:dyDescent="0.2">
      <c r="A609" s="23">
        <v>45815</v>
      </c>
      <c r="B609">
        <f t="shared" si="72"/>
        <v>2025</v>
      </c>
      <c r="C609">
        <f t="shared" si="73"/>
        <v>6</v>
      </c>
      <c r="D609" t="str">
        <f t="shared" si="74"/>
        <v>Junio</v>
      </c>
      <c r="E609" t="str">
        <f t="shared" si="75"/>
        <v>T2</v>
      </c>
      <c r="F609" t="s">
        <v>732</v>
      </c>
      <c r="G609" t="s">
        <v>149</v>
      </c>
      <c r="H609" t="s">
        <v>93</v>
      </c>
      <c r="I609" t="s">
        <v>150</v>
      </c>
      <c r="J609" t="s">
        <v>64</v>
      </c>
      <c r="K609" t="s">
        <v>65</v>
      </c>
      <c r="L609" t="s">
        <v>66</v>
      </c>
      <c r="M609" s="24">
        <v>12</v>
      </c>
      <c r="N609" s="25">
        <v>44090.47</v>
      </c>
      <c r="O609" s="25">
        <f t="shared" si="76"/>
        <v>529085.64</v>
      </c>
      <c r="P609" s="25">
        <v>26075.73</v>
      </c>
      <c r="Q609" s="25">
        <f t="shared" si="77"/>
        <v>312908.76</v>
      </c>
      <c r="R609" s="25">
        <f t="shared" si="78"/>
        <v>216176.88</v>
      </c>
      <c r="S609" s="26">
        <f t="shared" si="79"/>
        <v>0.40858580096787356</v>
      </c>
    </row>
    <row r="610" spans="1:19" ht="15" x14ac:dyDescent="0.2">
      <c r="A610" s="23">
        <v>45816</v>
      </c>
      <c r="B610">
        <f t="shared" si="72"/>
        <v>2025</v>
      </c>
      <c r="C610">
        <f t="shared" si="73"/>
        <v>6</v>
      </c>
      <c r="D610" t="str">
        <f t="shared" si="74"/>
        <v>Junio</v>
      </c>
      <c r="E610" t="str">
        <f t="shared" si="75"/>
        <v>T2</v>
      </c>
      <c r="F610" t="s">
        <v>733</v>
      </c>
      <c r="G610" t="s">
        <v>110</v>
      </c>
      <c r="H610" t="s">
        <v>62</v>
      </c>
      <c r="I610" t="s">
        <v>69</v>
      </c>
      <c r="J610" t="s">
        <v>70</v>
      </c>
      <c r="K610" t="s">
        <v>84</v>
      </c>
      <c r="L610" t="s">
        <v>85</v>
      </c>
      <c r="M610" s="24">
        <v>42</v>
      </c>
      <c r="N610" s="25">
        <v>6400.45</v>
      </c>
      <c r="O610" s="25">
        <f t="shared" si="76"/>
        <v>268818.89999999997</v>
      </c>
      <c r="P610" s="25">
        <v>5447.56</v>
      </c>
      <c r="Q610" s="25">
        <f t="shared" si="77"/>
        <v>228797.52000000002</v>
      </c>
      <c r="R610" s="25">
        <f t="shared" si="78"/>
        <v>40021.379999999946</v>
      </c>
      <c r="S610" s="26">
        <f t="shared" si="79"/>
        <v>0.14887859447382587</v>
      </c>
    </row>
    <row r="611" spans="1:19" ht="15" x14ac:dyDescent="0.2">
      <c r="A611" s="23">
        <v>45816</v>
      </c>
      <c r="B611">
        <f t="shared" si="72"/>
        <v>2025</v>
      </c>
      <c r="C611">
        <f t="shared" si="73"/>
        <v>6</v>
      </c>
      <c r="D611" t="str">
        <f t="shared" si="74"/>
        <v>Junio</v>
      </c>
      <c r="E611" t="str">
        <f t="shared" si="75"/>
        <v>T2</v>
      </c>
      <c r="F611" t="s">
        <v>734</v>
      </c>
      <c r="G611" t="s">
        <v>188</v>
      </c>
      <c r="H611" t="s">
        <v>88</v>
      </c>
      <c r="I611" t="s">
        <v>189</v>
      </c>
      <c r="J611" t="s">
        <v>70</v>
      </c>
      <c r="K611" t="s">
        <v>71</v>
      </c>
      <c r="L611" t="s">
        <v>72</v>
      </c>
      <c r="M611" s="24">
        <v>4</v>
      </c>
      <c r="N611" s="25">
        <v>77795.06</v>
      </c>
      <c r="O611" s="25">
        <f t="shared" si="76"/>
        <v>311180.24</v>
      </c>
      <c r="P611" s="25">
        <v>45599.839999999997</v>
      </c>
      <c r="Q611" s="25">
        <f t="shared" si="77"/>
        <v>182399.35999999999</v>
      </c>
      <c r="R611" s="25">
        <f t="shared" si="78"/>
        <v>128780.88</v>
      </c>
      <c r="S611" s="26">
        <f t="shared" si="79"/>
        <v>0.4138465861457013</v>
      </c>
    </row>
    <row r="612" spans="1:19" ht="15" x14ac:dyDescent="0.2">
      <c r="A612" s="23">
        <v>45817</v>
      </c>
      <c r="B612">
        <f t="shared" si="72"/>
        <v>2025</v>
      </c>
      <c r="C612">
        <f t="shared" si="73"/>
        <v>6</v>
      </c>
      <c r="D612" t="str">
        <f t="shared" si="74"/>
        <v>Junio</v>
      </c>
      <c r="E612" t="str">
        <f t="shared" si="75"/>
        <v>T2</v>
      </c>
      <c r="F612" t="s">
        <v>735</v>
      </c>
      <c r="G612" t="s">
        <v>74</v>
      </c>
      <c r="H612" t="s">
        <v>75</v>
      </c>
      <c r="I612" t="s">
        <v>76</v>
      </c>
      <c r="J612" t="s">
        <v>70</v>
      </c>
      <c r="K612" t="s">
        <v>84</v>
      </c>
      <c r="L612" t="s">
        <v>85</v>
      </c>
      <c r="M612" s="24">
        <v>4</v>
      </c>
      <c r="N612" s="25">
        <v>36900.04</v>
      </c>
      <c r="O612" s="25">
        <f t="shared" si="76"/>
        <v>147600.16</v>
      </c>
      <c r="P612" s="25">
        <v>25971.48</v>
      </c>
      <c r="Q612" s="25">
        <f t="shared" si="77"/>
        <v>103885.92</v>
      </c>
      <c r="R612" s="25">
        <f t="shared" si="78"/>
        <v>43714.240000000005</v>
      </c>
      <c r="S612" s="26">
        <f t="shared" si="79"/>
        <v>0.2961666166215538</v>
      </c>
    </row>
    <row r="613" spans="1:19" ht="15" x14ac:dyDescent="0.2">
      <c r="A613" s="23">
        <v>45817</v>
      </c>
      <c r="B613">
        <f t="shared" si="72"/>
        <v>2025</v>
      </c>
      <c r="C613">
        <f t="shared" si="73"/>
        <v>6</v>
      </c>
      <c r="D613" t="str">
        <f t="shared" si="74"/>
        <v>Junio</v>
      </c>
      <c r="E613" t="str">
        <f t="shared" si="75"/>
        <v>T2</v>
      </c>
      <c r="F613" t="s">
        <v>736</v>
      </c>
      <c r="G613" t="s">
        <v>87</v>
      </c>
      <c r="H613" t="s">
        <v>88</v>
      </c>
      <c r="I613" t="s">
        <v>89</v>
      </c>
      <c r="J613" t="s">
        <v>64</v>
      </c>
      <c r="K613" t="s">
        <v>96</v>
      </c>
      <c r="L613" t="s">
        <v>103</v>
      </c>
      <c r="M613" s="24">
        <v>10</v>
      </c>
      <c r="N613" s="25">
        <v>55690.25</v>
      </c>
      <c r="O613" s="25">
        <f t="shared" si="76"/>
        <v>556902.5</v>
      </c>
      <c r="P613" s="25">
        <v>31803.05</v>
      </c>
      <c r="Q613" s="25">
        <f t="shared" si="77"/>
        <v>318030.5</v>
      </c>
      <c r="R613" s="25">
        <f t="shared" si="78"/>
        <v>238872</v>
      </c>
      <c r="S613" s="26">
        <f t="shared" si="79"/>
        <v>0.42892966003923488</v>
      </c>
    </row>
    <row r="614" spans="1:19" ht="15" x14ac:dyDescent="0.2">
      <c r="A614" s="23">
        <v>45817</v>
      </c>
      <c r="B614">
        <f t="shared" si="72"/>
        <v>2025</v>
      </c>
      <c r="C614">
        <f t="shared" si="73"/>
        <v>6</v>
      </c>
      <c r="D614" t="str">
        <f t="shared" si="74"/>
        <v>Junio</v>
      </c>
      <c r="E614" t="str">
        <f t="shared" si="75"/>
        <v>T2</v>
      </c>
      <c r="F614" t="s">
        <v>737</v>
      </c>
      <c r="G614" t="s">
        <v>149</v>
      </c>
      <c r="H614" t="s">
        <v>93</v>
      </c>
      <c r="I614" t="s">
        <v>150</v>
      </c>
      <c r="J614" t="s">
        <v>64</v>
      </c>
      <c r="K614" t="s">
        <v>96</v>
      </c>
      <c r="L614" t="s">
        <v>103</v>
      </c>
      <c r="M614" s="24">
        <v>7</v>
      </c>
      <c r="N614" s="25">
        <v>42113.7</v>
      </c>
      <c r="O614" s="25">
        <f t="shared" si="76"/>
        <v>294795.89999999997</v>
      </c>
      <c r="P614" s="25">
        <v>26048.11</v>
      </c>
      <c r="Q614" s="25">
        <f t="shared" si="77"/>
        <v>182336.77000000002</v>
      </c>
      <c r="R614" s="25">
        <f t="shared" si="78"/>
        <v>112459.12999999995</v>
      </c>
      <c r="S614" s="26">
        <f t="shared" si="79"/>
        <v>0.38148132317986772</v>
      </c>
    </row>
    <row r="615" spans="1:19" ht="15" x14ac:dyDescent="0.2">
      <c r="A615" s="23">
        <v>45818</v>
      </c>
      <c r="B615">
        <f t="shared" si="72"/>
        <v>2025</v>
      </c>
      <c r="C615">
        <f t="shared" si="73"/>
        <v>6</v>
      </c>
      <c r="D615" t="str">
        <f t="shared" si="74"/>
        <v>Junio</v>
      </c>
      <c r="E615" t="str">
        <f t="shared" si="75"/>
        <v>T2</v>
      </c>
      <c r="F615" t="s">
        <v>738</v>
      </c>
      <c r="G615" t="s">
        <v>54</v>
      </c>
      <c r="H615" t="s">
        <v>55</v>
      </c>
      <c r="I615" t="s">
        <v>56</v>
      </c>
      <c r="J615" t="s">
        <v>125</v>
      </c>
      <c r="K615" t="s">
        <v>138</v>
      </c>
      <c r="L615" t="s">
        <v>139</v>
      </c>
      <c r="M615" s="24">
        <v>11</v>
      </c>
      <c r="N615" s="25">
        <v>60504.93</v>
      </c>
      <c r="O615" s="25">
        <f t="shared" si="76"/>
        <v>665554.23</v>
      </c>
      <c r="P615" s="25">
        <v>43268.76</v>
      </c>
      <c r="Q615" s="25">
        <f t="shared" si="77"/>
        <v>475956.36000000004</v>
      </c>
      <c r="R615" s="25">
        <f t="shared" si="78"/>
        <v>189597.86999999994</v>
      </c>
      <c r="S615" s="26">
        <f t="shared" si="79"/>
        <v>0.28487215835139373</v>
      </c>
    </row>
    <row r="616" spans="1:19" ht="15" x14ac:dyDescent="0.2">
      <c r="A616" s="23">
        <v>45818</v>
      </c>
      <c r="B616">
        <f t="shared" si="72"/>
        <v>2025</v>
      </c>
      <c r="C616">
        <f t="shared" si="73"/>
        <v>6</v>
      </c>
      <c r="D616" t="str">
        <f t="shared" si="74"/>
        <v>Junio</v>
      </c>
      <c r="E616" t="str">
        <f t="shared" si="75"/>
        <v>T2</v>
      </c>
      <c r="F616" t="s">
        <v>739</v>
      </c>
      <c r="G616" t="s">
        <v>61</v>
      </c>
      <c r="H616" t="s">
        <v>62</v>
      </c>
      <c r="I616" t="s">
        <v>63</v>
      </c>
      <c r="J616" t="s">
        <v>57</v>
      </c>
      <c r="K616" t="s">
        <v>81</v>
      </c>
      <c r="L616" t="s">
        <v>129</v>
      </c>
      <c r="M616" s="24">
        <v>53</v>
      </c>
      <c r="N616" s="25">
        <v>5822.18</v>
      </c>
      <c r="O616" s="25">
        <f t="shared" si="76"/>
        <v>308575.54000000004</v>
      </c>
      <c r="P616" s="25">
        <v>4794.7299999999996</v>
      </c>
      <c r="Q616" s="25">
        <f t="shared" si="77"/>
        <v>254120.68999999997</v>
      </c>
      <c r="R616" s="25">
        <f t="shared" si="78"/>
        <v>54454.850000000064</v>
      </c>
      <c r="S616" s="26">
        <f t="shared" si="79"/>
        <v>0.17647169960392861</v>
      </c>
    </row>
    <row r="617" spans="1:19" ht="15" x14ac:dyDescent="0.2">
      <c r="A617" s="23">
        <v>45818</v>
      </c>
      <c r="B617">
        <f t="shared" si="72"/>
        <v>2025</v>
      </c>
      <c r="C617">
        <f t="shared" si="73"/>
        <v>6</v>
      </c>
      <c r="D617" t="str">
        <f t="shared" si="74"/>
        <v>Junio</v>
      </c>
      <c r="E617" t="str">
        <f t="shared" si="75"/>
        <v>T2</v>
      </c>
      <c r="F617" t="s">
        <v>740</v>
      </c>
      <c r="G617" t="s">
        <v>74</v>
      </c>
      <c r="H617" t="s">
        <v>75</v>
      </c>
      <c r="I617" t="s">
        <v>76</v>
      </c>
      <c r="J617" t="s">
        <v>125</v>
      </c>
      <c r="K617" t="s">
        <v>126</v>
      </c>
      <c r="L617" t="s">
        <v>127</v>
      </c>
      <c r="M617" s="24">
        <v>4</v>
      </c>
      <c r="N617" s="25">
        <v>44145.29</v>
      </c>
      <c r="O617" s="25">
        <f t="shared" si="76"/>
        <v>176581.16</v>
      </c>
      <c r="P617" s="25">
        <v>29965.74</v>
      </c>
      <c r="Q617" s="25">
        <f t="shared" si="77"/>
        <v>119862.96</v>
      </c>
      <c r="R617" s="25">
        <f t="shared" si="78"/>
        <v>56718.2</v>
      </c>
      <c r="S617" s="26">
        <f t="shared" si="79"/>
        <v>0.32120187680271212</v>
      </c>
    </row>
    <row r="618" spans="1:19" ht="15" x14ac:dyDescent="0.2">
      <c r="A618" s="23">
        <v>45818</v>
      </c>
      <c r="B618">
        <f t="shared" si="72"/>
        <v>2025</v>
      </c>
      <c r="C618">
        <f t="shared" si="73"/>
        <v>6</v>
      </c>
      <c r="D618" t="str">
        <f t="shared" si="74"/>
        <v>Junio</v>
      </c>
      <c r="E618" t="str">
        <f t="shared" si="75"/>
        <v>T2</v>
      </c>
      <c r="F618" t="s">
        <v>741</v>
      </c>
      <c r="G618" t="s">
        <v>144</v>
      </c>
      <c r="H618" t="s">
        <v>88</v>
      </c>
      <c r="I618" t="s">
        <v>145</v>
      </c>
      <c r="J618" t="s">
        <v>64</v>
      </c>
      <c r="K618" t="s">
        <v>96</v>
      </c>
      <c r="L618" t="s">
        <v>97</v>
      </c>
      <c r="M618" s="24">
        <v>96</v>
      </c>
      <c r="N618" s="25">
        <v>12474.87</v>
      </c>
      <c r="O618" s="25">
        <f t="shared" si="76"/>
        <v>1197587.52</v>
      </c>
      <c r="P618" s="25">
        <v>7016.53</v>
      </c>
      <c r="Q618" s="25">
        <f t="shared" si="77"/>
        <v>673586.88</v>
      </c>
      <c r="R618" s="25">
        <f t="shared" si="78"/>
        <v>524000.64</v>
      </c>
      <c r="S618" s="26">
        <f t="shared" si="79"/>
        <v>0.43754684417553047</v>
      </c>
    </row>
    <row r="619" spans="1:19" ht="15" x14ac:dyDescent="0.2">
      <c r="A619" s="23">
        <v>45818</v>
      </c>
      <c r="B619">
        <f t="shared" si="72"/>
        <v>2025</v>
      </c>
      <c r="C619">
        <f t="shared" si="73"/>
        <v>6</v>
      </c>
      <c r="D619" t="str">
        <f t="shared" si="74"/>
        <v>Junio</v>
      </c>
      <c r="E619" t="str">
        <f t="shared" si="75"/>
        <v>T2</v>
      </c>
      <c r="F619" t="s">
        <v>742</v>
      </c>
      <c r="G619" t="s">
        <v>92</v>
      </c>
      <c r="H619" t="s">
        <v>93</v>
      </c>
      <c r="I619" t="s">
        <v>94</v>
      </c>
      <c r="J619" t="s">
        <v>70</v>
      </c>
      <c r="K619" t="s">
        <v>84</v>
      </c>
      <c r="L619" t="s">
        <v>85</v>
      </c>
      <c r="M619" s="24">
        <v>1</v>
      </c>
      <c r="N619" s="25">
        <v>17876.28</v>
      </c>
      <c r="O619" s="25">
        <f t="shared" si="76"/>
        <v>17876.28</v>
      </c>
      <c r="P619" s="25">
        <v>11245.82</v>
      </c>
      <c r="Q619" s="25">
        <f t="shared" si="77"/>
        <v>11245.82</v>
      </c>
      <c r="R619" s="25">
        <f t="shared" si="78"/>
        <v>6630.4599999999991</v>
      </c>
      <c r="S619" s="26">
        <f t="shared" si="79"/>
        <v>0.37090826503053204</v>
      </c>
    </row>
    <row r="620" spans="1:19" ht="15" x14ac:dyDescent="0.2">
      <c r="A620" s="23">
        <v>45819</v>
      </c>
      <c r="B620">
        <f t="shared" si="72"/>
        <v>2025</v>
      </c>
      <c r="C620">
        <f t="shared" si="73"/>
        <v>6</v>
      </c>
      <c r="D620" t="str">
        <f t="shared" si="74"/>
        <v>Junio</v>
      </c>
      <c r="E620" t="str">
        <f t="shared" si="75"/>
        <v>T2</v>
      </c>
      <c r="F620" t="s">
        <v>743</v>
      </c>
      <c r="G620" t="s">
        <v>68</v>
      </c>
      <c r="H620" t="s">
        <v>62</v>
      </c>
      <c r="I620" t="s">
        <v>69</v>
      </c>
      <c r="J620" t="s">
        <v>70</v>
      </c>
      <c r="K620" t="s">
        <v>71</v>
      </c>
      <c r="L620" t="s">
        <v>72</v>
      </c>
      <c r="M620" s="24">
        <v>81</v>
      </c>
      <c r="N620" s="25">
        <v>3008.4</v>
      </c>
      <c r="O620" s="25">
        <f t="shared" si="76"/>
        <v>243680.4</v>
      </c>
      <c r="P620" s="25">
        <v>2609.31</v>
      </c>
      <c r="Q620" s="25">
        <f t="shared" si="77"/>
        <v>211354.11</v>
      </c>
      <c r="R620" s="25">
        <f t="shared" si="78"/>
        <v>32326.290000000008</v>
      </c>
      <c r="S620" s="26">
        <f t="shared" si="79"/>
        <v>0.13265855604307941</v>
      </c>
    </row>
    <row r="621" spans="1:19" ht="15" x14ac:dyDescent="0.2">
      <c r="A621" s="23">
        <v>45819</v>
      </c>
      <c r="B621">
        <f t="shared" si="72"/>
        <v>2025</v>
      </c>
      <c r="C621">
        <f t="shared" si="73"/>
        <v>6</v>
      </c>
      <c r="D621" t="str">
        <f t="shared" si="74"/>
        <v>Junio</v>
      </c>
      <c r="E621" t="str">
        <f t="shared" si="75"/>
        <v>T2</v>
      </c>
      <c r="F621" t="s">
        <v>744</v>
      </c>
      <c r="G621" t="s">
        <v>74</v>
      </c>
      <c r="H621" t="s">
        <v>75</v>
      </c>
      <c r="I621" t="s">
        <v>76</v>
      </c>
      <c r="J621" t="s">
        <v>64</v>
      </c>
      <c r="K621" t="s">
        <v>96</v>
      </c>
      <c r="L621" t="s">
        <v>97</v>
      </c>
      <c r="M621" s="24">
        <v>14</v>
      </c>
      <c r="N621" s="25">
        <v>39389.050000000003</v>
      </c>
      <c r="O621" s="25">
        <f t="shared" si="76"/>
        <v>551446.70000000007</v>
      </c>
      <c r="P621" s="25">
        <v>27105.8</v>
      </c>
      <c r="Q621" s="25">
        <f t="shared" si="77"/>
        <v>379481.2</v>
      </c>
      <c r="R621" s="25">
        <f t="shared" si="78"/>
        <v>171965.50000000006</v>
      </c>
      <c r="S621" s="26">
        <f t="shared" si="79"/>
        <v>0.3118442815960274</v>
      </c>
    </row>
    <row r="622" spans="1:19" ht="15" x14ac:dyDescent="0.2">
      <c r="A622" s="23">
        <v>45819</v>
      </c>
      <c r="B622">
        <f t="shared" si="72"/>
        <v>2025</v>
      </c>
      <c r="C622">
        <f t="shared" si="73"/>
        <v>6</v>
      </c>
      <c r="D622" t="str">
        <f t="shared" si="74"/>
        <v>Junio</v>
      </c>
      <c r="E622" t="str">
        <f t="shared" si="75"/>
        <v>T2</v>
      </c>
      <c r="F622" t="s">
        <v>745</v>
      </c>
      <c r="G622" t="s">
        <v>87</v>
      </c>
      <c r="H622" t="s">
        <v>88</v>
      </c>
      <c r="I622" t="s">
        <v>89</v>
      </c>
      <c r="J622" t="s">
        <v>57</v>
      </c>
      <c r="K622" t="s">
        <v>81</v>
      </c>
      <c r="L622" t="s">
        <v>129</v>
      </c>
      <c r="M622" s="24">
        <v>16</v>
      </c>
      <c r="N622" s="25">
        <v>60687.05</v>
      </c>
      <c r="O622" s="25">
        <f t="shared" si="76"/>
        <v>970992.8</v>
      </c>
      <c r="P622" s="25">
        <v>33899.97</v>
      </c>
      <c r="Q622" s="25">
        <f t="shared" si="77"/>
        <v>542399.52</v>
      </c>
      <c r="R622" s="25">
        <f t="shared" si="78"/>
        <v>428593.28</v>
      </c>
      <c r="S622" s="26">
        <f t="shared" si="79"/>
        <v>0.44139697019380575</v>
      </c>
    </row>
    <row r="623" spans="1:19" ht="15" x14ac:dyDescent="0.2">
      <c r="A623" s="23">
        <v>45819</v>
      </c>
      <c r="B623">
        <f t="shared" si="72"/>
        <v>2025</v>
      </c>
      <c r="C623">
        <f t="shared" si="73"/>
        <v>6</v>
      </c>
      <c r="D623" t="str">
        <f t="shared" si="74"/>
        <v>Junio</v>
      </c>
      <c r="E623" t="str">
        <f t="shared" si="75"/>
        <v>T2</v>
      </c>
      <c r="F623" t="s">
        <v>746</v>
      </c>
      <c r="G623" t="s">
        <v>149</v>
      </c>
      <c r="H623" t="s">
        <v>93</v>
      </c>
      <c r="I623" t="s">
        <v>150</v>
      </c>
      <c r="J623" t="s">
        <v>125</v>
      </c>
      <c r="K623" t="s">
        <v>138</v>
      </c>
      <c r="L623" t="s">
        <v>142</v>
      </c>
      <c r="M623" s="24">
        <v>4</v>
      </c>
      <c r="N623" s="25">
        <v>48439.74</v>
      </c>
      <c r="O623" s="25">
        <f t="shared" si="76"/>
        <v>193758.96</v>
      </c>
      <c r="P623" s="25">
        <v>28788.9</v>
      </c>
      <c r="Q623" s="25">
        <f t="shared" si="77"/>
        <v>115155.6</v>
      </c>
      <c r="R623" s="25">
        <f t="shared" si="78"/>
        <v>78603.359999999986</v>
      </c>
      <c r="S623" s="26">
        <f t="shared" si="79"/>
        <v>0.40567600073823679</v>
      </c>
    </row>
    <row r="624" spans="1:19" ht="15" x14ac:dyDescent="0.2">
      <c r="A624" s="23">
        <v>45819</v>
      </c>
      <c r="B624">
        <f t="shared" si="72"/>
        <v>2025</v>
      </c>
      <c r="C624">
        <f t="shared" si="73"/>
        <v>6</v>
      </c>
      <c r="D624" t="str">
        <f t="shared" si="74"/>
        <v>Junio</v>
      </c>
      <c r="E624" t="str">
        <f t="shared" si="75"/>
        <v>T2</v>
      </c>
      <c r="F624" t="s">
        <v>747</v>
      </c>
      <c r="G624" t="s">
        <v>92</v>
      </c>
      <c r="H624" t="s">
        <v>93</v>
      </c>
      <c r="I624" t="s">
        <v>94</v>
      </c>
      <c r="J624" t="s">
        <v>125</v>
      </c>
      <c r="K624" t="s">
        <v>126</v>
      </c>
      <c r="L624" t="s">
        <v>127</v>
      </c>
      <c r="M624" s="24">
        <v>7</v>
      </c>
      <c r="N624" s="25">
        <v>21275.7</v>
      </c>
      <c r="O624" s="25">
        <f t="shared" si="76"/>
        <v>148929.9</v>
      </c>
      <c r="P624" s="25">
        <v>12171.86</v>
      </c>
      <c r="Q624" s="25">
        <f t="shared" si="77"/>
        <v>85203.02</v>
      </c>
      <c r="R624" s="25">
        <f t="shared" si="78"/>
        <v>63726.87999999999</v>
      </c>
      <c r="S624" s="26">
        <f t="shared" si="79"/>
        <v>0.42789849452661954</v>
      </c>
    </row>
    <row r="625" spans="1:19" ht="15" x14ac:dyDescent="0.2">
      <c r="A625" s="23">
        <v>45820</v>
      </c>
      <c r="B625">
        <f t="shared" si="72"/>
        <v>2025</v>
      </c>
      <c r="C625">
        <f t="shared" si="73"/>
        <v>6</v>
      </c>
      <c r="D625" t="str">
        <f t="shared" si="74"/>
        <v>Junio</v>
      </c>
      <c r="E625" t="str">
        <f t="shared" si="75"/>
        <v>T2</v>
      </c>
      <c r="F625" t="s">
        <v>748</v>
      </c>
      <c r="G625" t="s">
        <v>61</v>
      </c>
      <c r="H625" t="s">
        <v>62</v>
      </c>
      <c r="I625" t="s">
        <v>63</v>
      </c>
      <c r="J625" t="s">
        <v>57</v>
      </c>
      <c r="K625" t="s">
        <v>58</v>
      </c>
      <c r="L625" t="s">
        <v>162</v>
      </c>
      <c r="M625" s="24">
        <v>69</v>
      </c>
      <c r="N625" s="25">
        <v>5852.2</v>
      </c>
      <c r="O625" s="25">
        <f t="shared" si="76"/>
        <v>403801.8</v>
      </c>
      <c r="P625" s="25">
        <v>4819.41</v>
      </c>
      <c r="Q625" s="25">
        <f t="shared" si="77"/>
        <v>332539.28999999998</v>
      </c>
      <c r="R625" s="25">
        <f t="shared" si="78"/>
        <v>71262.510000000009</v>
      </c>
      <c r="S625" s="26">
        <f t="shared" si="79"/>
        <v>0.17647893100030759</v>
      </c>
    </row>
    <row r="626" spans="1:19" ht="15" x14ac:dyDescent="0.2">
      <c r="A626" s="23">
        <v>45820</v>
      </c>
      <c r="B626">
        <f t="shared" si="72"/>
        <v>2025</v>
      </c>
      <c r="C626">
        <f t="shared" si="73"/>
        <v>6</v>
      </c>
      <c r="D626" t="str">
        <f t="shared" si="74"/>
        <v>Junio</v>
      </c>
      <c r="E626" t="str">
        <f t="shared" si="75"/>
        <v>T2</v>
      </c>
      <c r="F626" t="s">
        <v>749</v>
      </c>
      <c r="G626" t="s">
        <v>61</v>
      </c>
      <c r="H626" t="s">
        <v>62</v>
      </c>
      <c r="I626" t="s">
        <v>63</v>
      </c>
      <c r="J626" t="s">
        <v>125</v>
      </c>
      <c r="K626" t="s">
        <v>138</v>
      </c>
      <c r="L626" t="s">
        <v>142</v>
      </c>
      <c r="M626" s="24">
        <v>15</v>
      </c>
      <c r="N626" s="25">
        <v>5832.85</v>
      </c>
      <c r="O626" s="25">
        <f t="shared" si="76"/>
        <v>87492.75</v>
      </c>
      <c r="P626" s="25">
        <v>4681.26</v>
      </c>
      <c r="Q626" s="25">
        <f t="shared" si="77"/>
        <v>70218.900000000009</v>
      </c>
      <c r="R626" s="25">
        <f t="shared" si="78"/>
        <v>17273.849999999991</v>
      </c>
      <c r="S626" s="26">
        <f t="shared" si="79"/>
        <v>0.19743178720522547</v>
      </c>
    </row>
    <row r="627" spans="1:19" ht="15" x14ac:dyDescent="0.2">
      <c r="A627" s="23">
        <v>45820</v>
      </c>
      <c r="B627">
        <f t="shared" si="72"/>
        <v>2025</v>
      </c>
      <c r="C627">
        <f t="shared" si="73"/>
        <v>6</v>
      </c>
      <c r="D627" t="str">
        <f t="shared" si="74"/>
        <v>Junio</v>
      </c>
      <c r="E627" t="str">
        <f t="shared" si="75"/>
        <v>T2</v>
      </c>
      <c r="F627" t="s">
        <v>750</v>
      </c>
      <c r="G627" t="s">
        <v>114</v>
      </c>
      <c r="H627" t="s">
        <v>75</v>
      </c>
      <c r="I627" t="s">
        <v>115</v>
      </c>
      <c r="J627" t="s">
        <v>77</v>
      </c>
      <c r="K627" t="s">
        <v>107</v>
      </c>
      <c r="L627" t="s">
        <v>112</v>
      </c>
      <c r="M627" s="24">
        <v>4</v>
      </c>
      <c r="N627" s="25">
        <v>108456.58</v>
      </c>
      <c r="O627" s="25">
        <f t="shared" si="76"/>
        <v>433826.32</v>
      </c>
      <c r="P627" s="25">
        <v>67972.88</v>
      </c>
      <c r="Q627" s="25">
        <f t="shared" si="77"/>
        <v>271891.52</v>
      </c>
      <c r="R627" s="25">
        <f t="shared" si="78"/>
        <v>161934.79999999999</v>
      </c>
      <c r="S627" s="26">
        <f t="shared" si="79"/>
        <v>0.37327103620637858</v>
      </c>
    </row>
    <row r="628" spans="1:19" ht="15" x14ac:dyDescent="0.2">
      <c r="A628" s="23">
        <v>45820</v>
      </c>
      <c r="B628">
        <f t="shared" si="72"/>
        <v>2025</v>
      </c>
      <c r="C628">
        <f t="shared" si="73"/>
        <v>6</v>
      </c>
      <c r="D628" t="str">
        <f t="shared" si="74"/>
        <v>Junio</v>
      </c>
      <c r="E628" t="str">
        <f t="shared" si="75"/>
        <v>T2</v>
      </c>
      <c r="F628" t="s">
        <v>751</v>
      </c>
      <c r="G628" t="s">
        <v>87</v>
      </c>
      <c r="H628" t="s">
        <v>88</v>
      </c>
      <c r="I628" t="s">
        <v>89</v>
      </c>
      <c r="J628" t="s">
        <v>70</v>
      </c>
      <c r="K628" t="s">
        <v>84</v>
      </c>
      <c r="L628" t="s">
        <v>85</v>
      </c>
      <c r="M628" s="24">
        <v>4</v>
      </c>
      <c r="N628" s="25">
        <v>48410.94</v>
      </c>
      <c r="O628" s="25">
        <f t="shared" si="76"/>
        <v>193643.76</v>
      </c>
      <c r="P628" s="25">
        <v>29139.34</v>
      </c>
      <c r="Q628" s="25">
        <f t="shared" si="77"/>
        <v>116557.36</v>
      </c>
      <c r="R628" s="25">
        <f t="shared" si="78"/>
        <v>77086.400000000009</v>
      </c>
      <c r="S628" s="26">
        <f t="shared" si="79"/>
        <v>0.39808357367157093</v>
      </c>
    </row>
    <row r="629" spans="1:19" ht="15" x14ac:dyDescent="0.2">
      <c r="A629" s="23">
        <v>45820</v>
      </c>
      <c r="B629">
        <f t="shared" si="72"/>
        <v>2025</v>
      </c>
      <c r="C629">
        <f t="shared" si="73"/>
        <v>6</v>
      </c>
      <c r="D629" t="str">
        <f t="shared" si="74"/>
        <v>Junio</v>
      </c>
      <c r="E629" t="str">
        <f t="shared" si="75"/>
        <v>T2</v>
      </c>
      <c r="F629" t="s">
        <v>752</v>
      </c>
      <c r="G629" t="s">
        <v>149</v>
      </c>
      <c r="H629" t="s">
        <v>93</v>
      </c>
      <c r="I629" t="s">
        <v>150</v>
      </c>
      <c r="J629" t="s">
        <v>64</v>
      </c>
      <c r="K629" t="s">
        <v>96</v>
      </c>
      <c r="L629" t="s">
        <v>103</v>
      </c>
      <c r="M629" s="24">
        <v>10</v>
      </c>
      <c r="N629" s="25">
        <v>44194.55</v>
      </c>
      <c r="O629" s="25">
        <f t="shared" si="76"/>
        <v>441945.5</v>
      </c>
      <c r="P629" s="25">
        <v>27056.65</v>
      </c>
      <c r="Q629" s="25">
        <f t="shared" si="77"/>
        <v>270566.5</v>
      </c>
      <c r="R629" s="25">
        <f t="shared" si="78"/>
        <v>171379</v>
      </c>
      <c r="S629" s="26">
        <f t="shared" si="79"/>
        <v>0.38778310900325946</v>
      </c>
    </row>
    <row r="630" spans="1:19" ht="15" x14ac:dyDescent="0.2">
      <c r="A630" s="23">
        <v>45821</v>
      </c>
      <c r="B630">
        <f t="shared" si="72"/>
        <v>2025</v>
      </c>
      <c r="C630">
        <f t="shared" si="73"/>
        <v>6</v>
      </c>
      <c r="D630" t="str">
        <f t="shared" si="74"/>
        <v>Junio</v>
      </c>
      <c r="E630" t="str">
        <f t="shared" si="75"/>
        <v>T2</v>
      </c>
      <c r="F630" t="s">
        <v>753</v>
      </c>
      <c r="G630" t="s">
        <v>183</v>
      </c>
      <c r="H630" t="s">
        <v>55</v>
      </c>
      <c r="I630" t="s">
        <v>184</v>
      </c>
      <c r="J630" t="s">
        <v>64</v>
      </c>
      <c r="K630" t="s">
        <v>96</v>
      </c>
      <c r="L630" t="s">
        <v>103</v>
      </c>
      <c r="M630" s="24">
        <v>3</v>
      </c>
      <c r="N630" s="25">
        <v>387430.28</v>
      </c>
      <c r="O630" s="25">
        <f t="shared" si="76"/>
        <v>1162290.8400000001</v>
      </c>
      <c r="P630" s="25">
        <v>292030.81</v>
      </c>
      <c r="Q630" s="25">
        <f t="shared" si="77"/>
        <v>876092.42999999993</v>
      </c>
      <c r="R630" s="25">
        <f t="shared" si="78"/>
        <v>286198.41000000015</v>
      </c>
      <c r="S630" s="26">
        <f t="shared" si="79"/>
        <v>0.24623648414883845</v>
      </c>
    </row>
    <row r="631" spans="1:19" ht="15" x14ac:dyDescent="0.2">
      <c r="A631" s="23">
        <v>45821</v>
      </c>
      <c r="B631">
        <f t="shared" si="72"/>
        <v>2025</v>
      </c>
      <c r="C631">
        <f t="shared" si="73"/>
        <v>6</v>
      </c>
      <c r="D631" t="str">
        <f t="shared" si="74"/>
        <v>Junio</v>
      </c>
      <c r="E631" t="str">
        <f t="shared" si="75"/>
        <v>T2</v>
      </c>
      <c r="F631" t="s">
        <v>754</v>
      </c>
      <c r="G631" t="s">
        <v>74</v>
      </c>
      <c r="H631" t="s">
        <v>75</v>
      </c>
      <c r="I631" t="s">
        <v>76</v>
      </c>
      <c r="J631" t="s">
        <v>57</v>
      </c>
      <c r="K631" t="s">
        <v>81</v>
      </c>
      <c r="L631" t="s">
        <v>129</v>
      </c>
      <c r="M631" s="24">
        <v>10</v>
      </c>
      <c r="N631" s="25">
        <v>40589.18</v>
      </c>
      <c r="O631" s="25">
        <f t="shared" si="76"/>
        <v>405891.8</v>
      </c>
      <c r="P631" s="25">
        <v>27089.07</v>
      </c>
      <c r="Q631" s="25">
        <f t="shared" si="77"/>
        <v>270890.7</v>
      </c>
      <c r="R631" s="25">
        <f t="shared" si="78"/>
        <v>135001.09999999998</v>
      </c>
      <c r="S631" s="26">
        <f t="shared" si="79"/>
        <v>0.33260366432630561</v>
      </c>
    </row>
    <row r="632" spans="1:19" ht="15" x14ac:dyDescent="0.2">
      <c r="A632" s="23">
        <v>45821</v>
      </c>
      <c r="B632">
        <f t="shared" si="72"/>
        <v>2025</v>
      </c>
      <c r="C632">
        <f t="shared" si="73"/>
        <v>6</v>
      </c>
      <c r="D632" t="str">
        <f t="shared" si="74"/>
        <v>Junio</v>
      </c>
      <c r="E632" t="str">
        <f t="shared" si="75"/>
        <v>T2</v>
      </c>
      <c r="F632" t="s">
        <v>755</v>
      </c>
      <c r="G632" t="s">
        <v>74</v>
      </c>
      <c r="H632" t="s">
        <v>75</v>
      </c>
      <c r="I632" t="s">
        <v>76</v>
      </c>
      <c r="J632" t="s">
        <v>70</v>
      </c>
      <c r="K632" t="s">
        <v>71</v>
      </c>
      <c r="L632" t="s">
        <v>72</v>
      </c>
      <c r="M632" s="24">
        <v>6</v>
      </c>
      <c r="N632" s="25">
        <v>41640.71</v>
      </c>
      <c r="O632" s="25">
        <f t="shared" si="76"/>
        <v>249844.26</v>
      </c>
      <c r="P632" s="25">
        <v>29890.35</v>
      </c>
      <c r="Q632" s="25">
        <f t="shared" si="77"/>
        <v>179342.09999999998</v>
      </c>
      <c r="R632" s="25">
        <f t="shared" si="78"/>
        <v>70502.160000000033</v>
      </c>
      <c r="S632" s="26">
        <f t="shared" si="79"/>
        <v>0.28218442961227136</v>
      </c>
    </row>
    <row r="633" spans="1:19" ht="15" x14ac:dyDescent="0.2">
      <c r="A633" s="23">
        <v>45821</v>
      </c>
      <c r="B633">
        <f t="shared" si="72"/>
        <v>2025</v>
      </c>
      <c r="C633">
        <f t="shared" si="73"/>
        <v>6</v>
      </c>
      <c r="D633" t="str">
        <f t="shared" si="74"/>
        <v>Junio</v>
      </c>
      <c r="E633" t="str">
        <f t="shared" si="75"/>
        <v>T2</v>
      </c>
      <c r="F633" t="s">
        <v>756</v>
      </c>
      <c r="G633" t="s">
        <v>87</v>
      </c>
      <c r="H633" t="s">
        <v>88</v>
      </c>
      <c r="I633" t="s">
        <v>89</v>
      </c>
      <c r="J633" t="s">
        <v>70</v>
      </c>
      <c r="K633" t="s">
        <v>84</v>
      </c>
      <c r="L633" t="s">
        <v>147</v>
      </c>
      <c r="M633" s="24">
        <v>7</v>
      </c>
      <c r="N633" s="25">
        <v>55884.75</v>
      </c>
      <c r="O633" s="25">
        <f t="shared" si="76"/>
        <v>391193.25</v>
      </c>
      <c r="P633" s="25">
        <v>32706.62</v>
      </c>
      <c r="Q633" s="25">
        <f t="shared" si="77"/>
        <v>228946.34</v>
      </c>
      <c r="R633" s="25">
        <f t="shared" si="78"/>
        <v>162246.91</v>
      </c>
      <c r="S633" s="26">
        <f t="shared" si="79"/>
        <v>0.41474874630377701</v>
      </c>
    </row>
    <row r="634" spans="1:19" ht="15" x14ac:dyDescent="0.2">
      <c r="A634" s="23">
        <v>45821</v>
      </c>
      <c r="B634">
        <f t="shared" si="72"/>
        <v>2025</v>
      </c>
      <c r="C634">
        <f t="shared" si="73"/>
        <v>6</v>
      </c>
      <c r="D634" t="str">
        <f t="shared" si="74"/>
        <v>Junio</v>
      </c>
      <c r="E634" t="str">
        <f t="shared" si="75"/>
        <v>T2</v>
      </c>
      <c r="F634" t="s">
        <v>757</v>
      </c>
      <c r="G634" t="s">
        <v>149</v>
      </c>
      <c r="H634" t="s">
        <v>93</v>
      </c>
      <c r="I634" t="s">
        <v>150</v>
      </c>
      <c r="J634" t="s">
        <v>77</v>
      </c>
      <c r="K634" t="s">
        <v>78</v>
      </c>
      <c r="L634" t="s">
        <v>117</v>
      </c>
      <c r="M634" s="24">
        <v>4</v>
      </c>
      <c r="N634" s="25">
        <v>44614.69</v>
      </c>
      <c r="O634" s="25">
        <f t="shared" si="76"/>
        <v>178458.76</v>
      </c>
      <c r="P634" s="25">
        <v>25186.91</v>
      </c>
      <c r="Q634" s="25">
        <f t="shared" si="77"/>
        <v>100747.64</v>
      </c>
      <c r="R634" s="25">
        <f t="shared" si="78"/>
        <v>77711.12000000001</v>
      </c>
      <c r="S634" s="26">
        <f t="shared" si="79"/>
        <v>0.4354570209946545</v>
      </c>
    </row>
    <row r="635" spans="1:19" ht="15" x14ac:dyDescent="0.2">
      <c r="A635" s="23">
        <v>45822</v>
      </c>
      <c r="B635">
        <f t="shared" si="72"/>
        <v>2025</v>
      </c>
      <c r="C635">
        <f t="shared" si="73"/>
        <v>6</v>
      </c>
      <c r="D635" t="str">
        <f t="shared" si="74"/>
        <v>Junio</v>
      </c>
      <c r="E635" t="str">
        <f t="shared" si="75"/>
        <v>T2</v>
      </c>
      <c r="F635" t="s">
        <v>758</v>
      </c>
      <c r="G635" t="s">
        <v>282</v>
      </c>
      <c r="H635" t="s">
        <v>55</v>
      </c>
      <c r="I635" t="s">
        <v>56</v>
      </c>
      <c r="J635" t="s">
        <v>64</v>
      </c>
      <c r="K635" t="s">
        <v>65</v>
      </c>
      <c r="L635" t="s">
        <v>123</v>
      </c>
      <c r="M635" s="24">
        <v>4</v>
      </c>
      <c r="N635" s="25">
        <v>560306.02</v>
      </c>
      <c r="O635" s="25">
        <f t="shared" si="76"/>
        <v>2241224.08</v>
      </c>
      <c r="P635" s="25">
        <v>419763.49</v>
      </c>
      <c r="Q635" s="25">
        <f t="shared" si="77"/>
        <v>1679053.96</v>
      </c>
      <c r="R635" s="25">
        <f t="shared" si="78"/>
        <v>562170.12000000011</v>
      </c>
      <c r="S635" s="26">
        <f t="shared" si="79"/>
        <v>0.25083173298762707</v>
      </c>
    </row>
    <row r="636" spans="1:19" ht="15" x14ac:dyDescent="0.2">
      <c r="A636" s="23">
        <v>45822</v>
      </c>
      <c r="B636">
        <f t="shared" si="72"/>
        <v>2025</v>
      </c>
      <c r="C636">
        <f t="shared" si="73"/>
        <v>6</v>
      </c>
      <c r="D636" t="str">
        <f t="shared" si="74"/>
        <v>Junio</v>
      </c>
      <c r="E636" t="str">
        <f t="shared" si="75"/>
        <v>T2</v>
      </c>
      <c r="F636" t="s">
        <v>759</v>
      </c>
      <c r="G636" t="s">
        <v>110</v>
      </c>
      <c r="H636" t="s">
        <v>62</v>
      </c>
      <c r="I636" t="s">
        <v>69</v>
      </c>
      <c r="J636" t="s">
        <v>77</v>
      </c>
      <c r="K636" t="s">
        <v>78</v>
      </c>
      <c r="L636" t="s">
        <v>117</v>
      </c>
      <c r="M636" s="24">
        <v>56</v>
      </c>
      <c r="N636" s="25">
        <v>6671.93</v>
      </c>
      <c r="O636" s="25">
        <f t="shared" si="76"/>
        <v>373628.08</v>
      </c>
      <c r="P636" s="25">
        <v>5393.8</v>
      </c>
      <c r="Q636" s="25">
        <f t="shared" si="77"/>
        <v>302052.8</v>
      </c>
      <c r="R636" s="25">
        <f t="shared" si="78"/>
        <v>71575.280000000028</v>
      </c>
      <c r="S636" s="26">
        <f t="shared" si="79"/>
        <v>0.19156825686120815</v>
      </c>
    </row>
    <row r="637" spans="1:19" ht="15" x14ac:dyDescent="0.2">
      <c r="A637" s="23">
        <v>45822</v>
      </c>
      <c r="B637">
        <f t="shared" si="72"/>
        <v>2025</v>
      </c>
      <c r="C637">
        <f t="shared" si="73"/>
        <v>6</v>
      </c>
      <c r="D637" t="str">
        <f t="shared" si="74"/>
        <v>Junio</v>
      </c>
      <c r="E637" t="str">
        <f t="shared" si="75"/>
        <v>T2</v>
      </c>
      <c r="F637" t="s">
        <v>760</v>
      </c>
      <c r="G637" t="s">
        <v>61</v>
      </c>
      <c r="H637" t="s">
        <v>62</v>
      </c>
      <c r="I637" t="s">
        <v>63</v>
      </c>
      <c r="J637" t="s">
        <v>70</v>
      </c>
      <c r="K637" t="s">
        <v>71</v>
      </c>
      <c r="L637" t="s">
        <v>90</v>
      </c>
      <c r="M637" s="24">
        <v>44</v>
      </c>
      <c r="N637" s="25">
        <v>5572.64</v>
      </c>
      <c r="O637" s="25">
        <f t="shared" si="76"/>
        <v>245196.16</v>
      </c>
      <c r="P637" s="25">
        <v>4820.82</v>
      </c>
      <c r="Q637" s="25">
        <f t="shared" si="77"/>
        <v>212116.08</v>
      </c>
      <c r="R637" s="25">
        <f t="shared" si="78"/>
        <v>33080.080000000016</v>
      </c>
      <c r="S637" s="26">
        <f t="shared" si="79"/>
        <v>0.13491271641448224</v>
      </c>
    </row>
    <row r="638" spans="1:19" ht="15" x14ac:dyDescent="0.2">
      <c r="A638" s="23">
        <v>45822</v>
      </c>
      <c r="B638">
        <f t="shared" si="72"/>
        <v>2025</v>
      </c>
      <c r="C638">
        <f t="shared" si="73"/>
        <v>6</v>
      </c>
      <c r="D638" t="str">
        <f t="shared" si="74"/>
        <v>Junio</v>
      </c>
      <c r="E638" t="str">
        <f t="shared" si="75"/>
        <v>T2</v>
      </c>
      <c r="F638" t="s">
        <v>761</v>
      </c>
      <c r="G638" t="s">
        <v>87</v>
      </c>
      <c r="H638" t="s">
        <v>88</v>
      </c>
      <c r="I638" t="s">
        <v>89</v>
      </c>
      <c r="J638" t="s">
        <v>125</v>
      </c>
      <c r="K638" t="s">
        <v>138</v>
      </c>
      <c r="L638" t="s">
        <v>142</v>
      </c>
      <c r="M638" s="24">
        <v>6</v>
      </c>
      <c r="N638" s="25">
        <v>61594.21</v>
      </c>
      <c r="O638" s="25">
        <f t="shared" si="76"/>
        <v>369565.26</v>
      </c>
      <c r="P638" s="25">
        <v>33317.57</v>
      </c>
      <c r="Q638" s="25">
        <f t="shared" si="77"/>
        <v>199905.41999999998</v>
      </c>
      <c r="R638" s="25">
        <f t="shared" si="78"/>
        <v>169659.84000000003</v>
      </c>
      <c r="S638" s="26">
        <f t="shared" si="79"/>
        <v>0.45907951412965609</v>
      </c>
    </row>
    <row r="639" spans="1:19" ht="15" x14ac:dyDescent="0.2">
      <c r="A639" s="23">
        <v>45823</v>
      </c>
      <c r="B639">
        <f t="shared" si="72"/>
        <v>2025</v>
      </c>
      <c r="C639">
        <f t="shared" si="73"/>
        <v>6</v>
      </c>
      <c r="D639" t="str">
        <f t="shared" si="74"/>
        <v>Junio</v>
      </c>
      <c r="E639" t="str">
        <f t="shared" si="75"/>
        <v>T2</v>
      </c>
      <c r="F639" t="s">
        <v>762</v>
      </c>
      <c r="G639" t="s">
        <v>68</v>
      </c>
      <c r="H639" t="s">
        <v>62</v>
      </c>
      <c r="I639" t="s">
        <v>69</v>
      </c>
      <c r="J639" t="s">
        <v>70</v>
      </c>
      <c r="K639" t="s">
        <v>84</v>
      </c>
      <c r="L639" t="s">
        <v>147</v>
      </c>
      <c r="M639" s="24">
        <v>62</v>
      </c>
      <c r="N639" s="25">
        <v>3074.25</v>
      </c>
      <c r="O639" s="25">
        <f t="shared" si="76"/>
        <v>190603.5</v>
      </c>
      <c r="P639" s="25">
        <v>2612.14</v>
      </c>
      <c r="Q639" s="25">
        <f t="shared" si="77"/>
        <v>161952.68</v>
      </c>
      <c r="R639" s="25">
        <f t="shared" si="78"/>
        <v>28650.820000000007</v>
      </c>
      <c r="S639" s="26">
        <f t="shared" si="79"/>
        <v>0.15031633731804508</v>
      </c>
    </row>
    <row r="640" spans="1:19" ht="15" x14ac:dyDescent="0.2">
      <c r="A640" s="23">
        <v>45823</v>
      </c>
      <c r="B640">
        <f t="shared" si="72"/>
        <v>2025</v>
      </c>
      <c r="C640">
        <f t="shared" si="73"/>
        <v>6</v>
      </c>
      <c r="D640" t="str">
        <f t="shared" si="74"/>
        <v>Junio</v>
      </c>
      <c r="E640" t="str">
        <f t="shared" si="75"/>
        <v>T2</v>
      </c>
      <c r="F640" t="s">
        <v>763</v>
      </c>
      <c r="G640" t="s">
        <v>206</v>
      </c>
      <c r="H640" t="s">
        <v>93</v>
      </c>
      <c r="I640" t="s">
        <v>207</v>
      </c>
      <c r="J640" t="s">
        <v>64</v>
      </c>
      <c r="K640" t="s">
        <v>65</v>
      </c>
      <c r="L640" t="s">
        <v>66</v>
      </c>
      <c r="M640" s="24">
        <v>3</v>
      </c>
      <c r="N640" s="25">
        <v>124205.67</v>
      </c>
      <c r="O640" s="25">
        <f t="shared" si="76"/>
        <v>372617.01</v>
      </c>
      <c r="P640" s="25">
        <v>74060.289999999994</v>
      </c>
      <c r="Q640" s="25">
        <f t="shared" si="77"/>
        <v>222180.87</v>
      </c>
      <c r="R640" s="25">
        <f t="shared" si="78"/>
        <v>150436.14000000001</v>
      </c>
      <c r="S640" s="26">
        <f t="shared" si="79"/>
        <v>0.40372858984618015</v>
      </c>
    </row>
    <row r="641" spans="1:19" ht="15" x14ac:dyDescent="0.2">
      <c r="A641" s="23">
        <v>45824</v>
      </c>
      <c r="B641">
        <f t="shared" si="72"/>
        <v>2025</v>
      </c>
      <c r="C641">
        <f t="shared" si="73"/>
        <v>6</v>
      </c>
      <c r="D641" t="str">
        <f t="shared" si="74"/>
        <v>Junio</v>
      </c>
      <c r="E641" t="str">
        <f t="shared" si="75"/>
        <v>T2</v>
      </c>
      <c r="F641" t="s">
        <v>764</v>
      </c>
      <c r="G641" t="s">
        <v>54</v>
      </c>
      <c r="H641" t="s">
        <v>55</v>
      </c>
      <c r="I641" t="s">
        <v>56</v>
      </c>
      <c r="J641" t="s">
        <v>77</v>
      </c>
      <c r="K641" t="s">
        <v>78</v>
      </c>
      <c r="L641" t="s">
        <v>117</v>
      </c>
      <c r="M641" s="24">
        <v>21</v>
      </c>
      <c r="N641" s="25">
        <v>59464.45</v>
      </c>
      <c r="O641" s="25">
        <f t="shared" si="76"/>
        <v>1248753.45</v>
      </c>
      <c r="P641" s="25">
        <v>41789.980000000003</v>
      </c>
      <c r="Q641" s="25">
        <f t="shared" si="77"/>
        <v>877589.58000000007</v>
      </c>
      <c r="R641" s="25">
        <f t="shared" si="78"/>
        <v>371163.86999999988</v>
      </c>
      <c r="S641" s="26">
        <f t="shared" si="79"/>
        <v>0.29722750315524643</v>
      </c>
    </row>
    <row r="642" spans="1:19" ht="15" x14ac:dyDescent="0.2">
      <c r="A642" s="23">
        <v>45824</v>
      </c>
      <c r="B642">
        <f t="shared" ref="B642:B705" si="80">YEAR($A642)</f>
        <v>2025</v>
      </c>
      <c r="C642">
        <f t="shared" ref="C642:C705" si="81">MONTH($A642)</f>
        <v>6</v>
      </c>
      <c r="D642" t="str">
        <f t="shared" ref="D642:D705" si="82">INDEX(lst_Meses,MONTH($A642))</f>
        <v>Junio</v>
      </c>
      <c r="E642" t="str">
        <f t="shared" ref="E642:E705" si="83">"T"&amp;ROUNDUP(MONTH($A642)/3,0)</f>
        <v>T2</v>
      </c>
      <c r="F642" t="s">
        <v>765</v>
      </c>
      <c r="G642" t="s">
        <v>114</v>
      </c>
      <c r="H642" t="s">
        <v>75</v>
      </c>
      <c r="I642" t="s">
        <v>115</v>
      </c>
      <c r="J642" t="s">
        <v>57</v>
      </c>
      <c r="K642" t="s">
        <v>58</v>
      </c>
      <c r="L642" t="s">
        <v>59</v>
      </c>
      <c r="M642" s="24">
        <v>5</v>
      </c>
      <c r="N642" s="25">
        <v>88645.16</v>
      </c>
      <c r="O642" s="25">
        <f t="shared" ref="O642:O705" si="84">$M642*$N642</f>
        <v>443225.80000000005</v>
      </c>
      <c r="P642" s="25">
        <v>60324.69</v>
      </c>
      <c r="Q642" s="25">
        <f t="shared" ref="Q642:Q705" si="85">$M642*$P642</f>
        <v>301623.45</v>
      </c>
      <c r="R642" s="25">
        <f t="shared" ref="R642:R705" si="86">$O642-$Q642</f>
        <v>141602.35000000003</v>
      </c>
      <c r="S642" s="26">
        <f t="shared" ref="S642:S705" si="87">IFERROR($R642/$O642,0)</f>
        <v>0.31948128922097951</v>
      </c>
    </row>
    <row r="643" spans="1:19" ht="15" x14ac:dyDescent="0.2">
      <c r="A643" s="23">
        <v>45824</v>
      </c>
      <c r="B643">
        <f t="shared" si="80"/>
        <v>2025</v>
      </c>
      <c r="C643">
        <f t="shared" si="81"/>
        <v>6</v>
      </c>
      <c r="D643" t="str">
        <f t="shared" si="82"/>
        <v>Junio</v>
      </c>
      <c r="E643" t="str">
        <f t="shared" si="83"/>
        <v>T2</v>
      </c>
      <c r="F643" t="s">
        <v>766</v>
      </c>
      <c r="G643" t="s">
        <v>188</v>
      </c>
      <c r="H643" t="s">
        <v>88</v>
      </c>
      <c r="I643" t="s">
        <v>189</v>
      </c>
      <c r="J643" t="s">
        <v>57</v>
      </c>
      <c r="K643" t="s">
        <v>81</v>
      </c>
      <c r="L643" t="s">
        <v>129</v>
      </c>
      <c r="M643" s="24">
        <v>5</v>
      </c>
      <c r="N643" s="25">
        <v>77658.48</v>
      </c>
      <c r="O643" s="25">
        <f t="shared" si="84"/>
        <v>388292.39999999997</v>
      </c>
      <c r="P643" s="25">
        <v>43421.88</v>
      </c>
      <c r="Q643" s="25">
        <f t="shared" si="85"/>
        <v>217109.4</v>
      </c>
      <c r="R643" s="25">
        <f t="shared" si="86"/>
        <v>171182.99999999997</v>
      </c>
      <c r="S643" s="26">
        <f t="shared" si="87"/>
        <v>0.44086106243645251</v>
      </c>
    </row>
    <row r="644" spans="1:19" ht="15" x14ac:dyDescent="0.2">
      <c r="A644" s="23">
        <v>45825</v>
      </c>
      <c r="B644">
        <f t="shared" si="80"/>
        <v>2025</v>
      </c>
      <c r="C644">
        <f t="shared" si="81"/>
        <v>6</v>
      </c>
      <c r="D644" t="str">
        <f t="shared" si="82"/>
        <v>Junio</v>
      </c>
      <c r="E644" t="str">
        <f t="shared" si="83"/>
        <v>T2</v>
      </c>
      <c r="F644" t="s">
        <v>767</v>
      </c>
      <c r="G644" t="s">
        <v>54</v>
      </c>
      <c r="H644" t="s">
        <v>55</v>
      </c>
      <c r="I644" t="s">
        <v>56</v>
      </c>
      <c r="J644" t="s">
        <v>70</v>
      </c>
      <c r="K644" t="s">
        <v>71</v>
      </c>
      <c r="L644" t="s">
        <v>72</v>
      </c>
      <c r="M644" s="24">
        <v>10</v>
      </c>
      <c r="N644" s="25">
        <v>55595.76</v>
      </c>
      <c r="O644" s="25">
        <f t="shared" si="84"/>
        <v>555957.6</v>
      </c>
      <c r="P644" s="25">
        <v>42666.38</v>
      </c>
      <c r="Q644" s="25">
        <f t="shared" si="85"/>
        <v>426663.8</v>
      </c>
      <c r="R644" s="25">
        <f t="shared" si="86"/>
        <v>129293.79999999999</v>
      </c>
      <c r="S644" s="26">
        <f t="shared" si="87"/>
        <v>0.23256054058798728</v>
      </c>
    </row>
    <row r="645" spans="1:19" ht="15" x14ac:dyDescent="0.2">
      <c r="A645" s="23">
        <v>45825</v>
      </c>
      <c r="B645">
        <f t="shared" si="80"/>
        <v>2025</v>
      </c>
      <c r="C645">
        <f t="shared" si="81"/>
        <v>6</v>
      </c>
      <c r="D645" t="str">
        <f t="shared" si="82"/>
        <v>Junio</v>
      </c>
      <c r="E645" t="str">
        <f t="shared" si="83"/>
        <v>T2</v>
      </c>
      <c r="F645" t="s">
        <v>768</v>
      </c>
      <c r="G645" t="s">
        <v>68</v>
      </c>
      <c r="H645" t="s">
        <v>62</v>
      </c>
      <c r="I645" t="s">
        <v>69</v>
      </c>
      <c r="J645" t="s">
        <v>64</v>
      </c>
      <c r="K645" t="s">
        <v>96</v>
      </c>
      <c r="L645" t="s">
        <v>97</v>
      </c>
      <c r="M645" s="24">
        <v>287</v>
      </c>
      <c r="N645" s="25">
        <v>3084.91</v>
      </c>
      <c r="O645" s="25">
        <f t="shared" si="84"/>
        <v>885369.16999999993</v>
      </c>
      <c r="P645" s="25">
        <v>2601.6999999999998</v>
      </c>
      <c r="Q645" s="25">
        <f t="shared" si="85"/>
        <v>746687.89999999991</v>
      </c>
      <c r="R645" s="25">
        <f t="shared" si="86"/>
        <v>138681.27000000002</v>
      </c>
      <c r="S645" s="26">
        <f t="shared" si="87"/>
        <v>0.15663666038879581</v>
      </c>
    </row>
    <row r="646" spans="1:19" ht="15" x14ac:dyDescent="0.2">
      <c r="A646" s="23">
        <v>45825</v>
      </c>
      <c r="B646">
        <f t="shared" si="80"/>
        <v>2025</v>
      </c>
      <c r="C646">
        <f t="shared" si="81"/>
        <v>6</v>
      </c>
      <c r="D646" t="str">
        <f t="shared" si="82"/>
        <v>Junio</v>
      </c>
      <c r="E646" t="str">
        <f t="shared" si="83"/>
        <v>T2</v>
      </c>
      <c r="F646" t="s">
        <v>769</v>
      </c>
      <c r="G646" t="s">
        <v>110</v>
      </c>
      <c r="H646" t="s">
        <v>62</v>
      </c>
      <c r="I646" t="s">
        <v>69</v>
      </c>
      <c r="J646" t="s">
        <v>57</v>
      </c>
      <c r="K646" t="s">
        <v>81</v>
      </c>
      <c r="L646" t="s">
        <v>129</v>
      </c>
      <c r="M646" s="24">
        <v>95</v>
      </c>
      <c r="N646" s="25">
        <v>6610.98</v>
      </c>
      <c r="O646" s="25">
        <f t="shared" si="84"/>
        <v>628043.1</v>
      </c>
      <c r="P646" s="25">
        <v>5389.62</v>
      </c>
      <c r="Q646" s="25">
        <f t="shared" si="85"/>
        <v>512013.89999999997</v>
      </c>
      <c r="R646" s="25">
        <f t="shared" si="86"/>
        <v>116029.20000000001</v>
      </c>
      <c r="S646" s="26">
        <f t="shared" si="87"/>
        <v>0.1847471933056824</v>
      </c>
    </row>
    <row r="647" spans="1:19" ht="15" x14ac:dyDescent="0.2">
      <c r="A647" s="23">
        <v>45825</v>
      </c>
      <c r="B647">
        <f t="shared" si="80"/>
        <v>2025</v>
      </c>
      <c r="C647">
        <f t="shared" si="81"/>
        <v>6</v>
      </c>
      <c r="D647" t="str">
        <f t="shared" si="82"/>
        <v>Junio</v>
      </c>
      <c r="E647" t="str">
        <f t="shared" si="83"/>
        <v>T2</v>
      </c>
      <c r="F647" t="s">
        <v>770</v>
      </c>
      <c r="G647" t="s">
        <v>110</v>
      </c>
      <c r="H647" t="s">
        <v>62</v>
      </c>
      <c r="I647" t="s">
        <v>69</v>
      </c>
      <c r="J647" t="s">
        <v>57</v>
      </c>
      <c r="K647" t="s">
        <v>58</v>
      </c>
      <c r="L647" t="s">
        <v>59</v>
      </c>
      <c r="M647" s="24">
        <v>70</v>
      </c>
      <c r="N647" s="25">
        <v>6474.31</v>
      </c>
      <c r="O647" s="25">
        <f t="shared" si="84"/>
        <v>453201.7</v>
      </c>
      <c r="P647" s="25">
        <v>5371.94</v>
      </c>
      <c r="Q647" s="25">
        <f t="shared" si="85"/>
        <v>376035.8</v>
      </c>
      <c r="R647" s="25">
        <f t="shared" si="86"/>
        <v>77165.900000000023</v>
      </c>
      <c r="S647" s="26">
        <f t="shared" si="87"/>
        <v>0.17026833747534492</v>
      </c>
    </row>
    <row r="648" spans="1:19" ht="15" x14ac:dyDescent="0.2">
      <c r="A648" s="23">
        <v>45825</v>
      </c>
      <c r="B648">
        <f t="shared" si="80"/>
        <v>2025</v>
      </c>
      <c r="C648">
        <f t="shared" si="81"/>
        <v>6</v>
      </c>
      <c r="D648" t="str">
        <f t="shared" si="82"/>
        <v>Junio</v>
      </c>
      <c r="E648" t="str">
        <f t="shared" si="83"/>
        <v>T2</v>
      </c>
      <c r="F648" t="s">
        <v>771</v>
      </c>
      <c r="G648" t="s">
        <v>100</v>
      </c>
      <c r="H648" t="s">
        <v>88</v>
      </c>
      <c r="I648" t="s">
        <v>101</v>
      </c>
      <c r="J648" t="s">
        <v>64</v>
      </c>
      <c r="K648" t="s">
        <v>65</v>
      </c>
      <c r="L648" t="s">
        <v>66</v>
      </c>
      <c r="M648" s="24">
        <v>23</v>
      </c>
      <c r="N648" s="25">
        <v>36037.550000000003</v>
      </c>
      <c r="O648" s="25">
        <f t="shared" si="84"/>
        <v>828863.65</v>
      </c>
      <c r="P648" s="25">
        <v>20777.240000000002</v>
      </c>
      <c r="Q648" s="25">
        <f t="shared" si="85"/>
        <v>477876.52</v>
      </c>
      <c r="R648" s="25">
        <f t="shared" si="86"/>
        <v>350987.13</v>
      </c>
      <c r="S648" s="26">
        <f t="shared" si="87"/>
        <v>0.42345581206269572</v>
      </c>
    </row>
    <row r="649" spans="1:19" ht="15" x14ac:dyDescent="0.2">
      <c r="A649" s="23">
        <v>45825</v>
      </c>
      <c r="B649">
        <f t="shared" si="80"/>
        <v>2025</v>
      </c>
      <c r="C649">
        <f t="shared" si="81"/>
        <v>6</v>
      </c>
      <c r="D649" t="str">
        <f t="shared" si="82"/>
        <v>Junio</v>
      </c>
      <c r="E649" t="str">
        <f t="shared" si="83"/>
        <v>T2</v>
      </c>
      <c r="F649" t="s">
        <v>772</v>
      </c>
      <c r="G649" t="s">
        <v>144</v>
      </c>
      <c r="H649" t="s">
        <v>88</v>
      </c>
      <c r="I649" t="s">
        <v>145</v>
      </c>
      <c r="J649" t="s">
        <v>77</v>
      </c>
      <c r="K649" t="s">
        <v>107</v>
      </c>
      <c r="L649" t="s">
        <v>112</v>
      </c>
      <c r="M649" s="24">
        <v>68</v>
      </c>
      <c r="N649" s="25">
        <v>13698.25</v>
      </c>
      <c r="O649" s="25">
        <f t="shared" si="84"/>
        <v>931481</v>
      </c>
      <c r="P649" s="25">
        <v>6994.27</v>
      </c>
      <c r="Q649" s="25">
        <f t="shared" si="85"/>
        <v>475610.36000000004</v>
      </c>
      <c r="R649" s="25">
        <f t="shared" si="86"/>
        <v>455870.63999999996</v>
      </c>
      <c r="S649" s="26">
        <f t="shared" si="87"/>
        <v>0.4894041209643567</v>
      </c>
    </row>
    <row r="650" spans="1:19" ht="15" x14ac:dyDescent="0.2">
      <c r="A650" s="23">
        <v>45826</v>
      </c>
      <c r="B650">
        <f t="shared" si="80"/>
        <v>2025</v>
      </c>
      <c r="C650">
        <f t="shared" si="81"/>
        <v>6</v>
      </c>
      <c r="D650" t="str">
        <f t="shared" si="82"/>
        <v>Junio</v>
      </c>
      <c r="E650" t="str">
        <f t="shared" si="83"/>
        <v>T2</v>
      </c>
      <c r="F650" t="s">
        <v>773</v>
      </c>
      <c r="G650" t="s">
        <v>54</v>
      </c>
      <c r="H650" t="s">
        <v>55</v>
      </c>
      <c r="I650" t="s">
        <v>56</v>
      </c>
      <c r="J650" t="s">
        <v>70</v>
      </c>
      <c r="K650" t="s">
        <v>71</v>
      </c>
      <c r="L650" t="s">
        <v>72</v>
      </c>
      <c r="M650" s="24">
        <v>4</v>
      </c>
      <c r="N650" s="25">
        <v>56811.98</v>
      </c>
      <c r="O650" s="25">
        <f t="shared" si="84"/>
        <v>227247.92</v>
      </c>
      <c r="P650" s="25">
        <v>43710.69</v>
      </c>
      <c r="Q650" s="25">
        <f t="shared" si="85"/>
        <v>174842.76</v>
      </c>
      <c r="R650" s="25">
        <f t="shared" si="86"/>
        <v>52405.16</v>
      </c>
      <c r="S650" s="26">
        <f t="shared" si="87"/>
        <v>0.23060787531080593</v>
      </c>
    </row>
    <row r="651" spans="1:19" ht="15" x14ac:dyDescent="0.2">
      <c r="A651" s="23">
        <v>45826</v>
      </c>
      <c r="B651">
        <f t="shared" si="80"/>
        <v>2025</v>
      </c>
      <c r="C651">
        <f t="shared" si="81"/>
        <v>6</v>
      </c>
      <c r="D651" t="str">
        <f t="shared" si="82"/>
        <v>Junio</v>
      </c>
      <c r="E651" t="str">
        <f t="shared" si="83"/>
        <v>T2</v>
      </c>
      <c r="F651" t="s">
        <v>774</v>
      </c>
      <c r="G651" t="s">
        <v>92</v>
      </c>
      <c r="H651" t="s">
        <v>93</v>
      </c>
      <c r="I651" t="s">
        <v>94</v>
      </c>
      <c r="J651" t="s">
        <v>70</v>
      </c>
      <c r="K651" t="s">
        <v>84</v>
      </c>
      <c r="L651" t="s">
        <v>147</v>
      </c>
      <c r="M651" s="24">
        <v>4</v>
      </c>
      <c r="N651" s="25">
        <v>18079.2</v>
      </c>
      <c r="O651" s="25">
        <f t="shared" si="84"/>
        <v>72316.800000000003</v>
      </c>
      <c r="P651" s="25">
        <v>11486.66</v>
      </c>
      <c r="Q651" s="25">
        <f t="shared" si="85"/>
        <v>45946.64</v>
      </c>
      <c r="R651" s="25">
        <f t="shared" si="86"/>
        <v>26370.160000000003</v>
      </c>
      <c r="S651" s="26">
        <f t="shared" si="87"/>
        <v>0.3646477720253109</v>
      </c>
    </row>
    <row r="652" spans="1:19" ht="15" x14ac:dyDescent="0.2">
      <c r="A652" s="23">
        <v>45827</v>
      </c>
      <c r="B652">
        <f t="shared" si="80"/>
        <v>2025</v>
      </c>
      <c r="C652">
        <f t="shared" si="81"/>
        <v>6</v>
      </c>
      <c r="D652" t="str">
        <f t="shared" si="82"/>
        <v>Junio</v>
      </c>
      <c r="E652" t="str">
        <f t="shared" si="83"/>
        <v>T2</v>
      </c>
      <c r="F652" t="s">
        <v>775</v>
      </c>
      <c r="G652" t="s">
        <v>114</v>
      </c>
      <c r="H652" t="s">
        <v>75</v>
      </c>
      <c r="I652" t="s">
        <v>115</v>
      </c>
      <c r="J652" t="s">
        <v>64</v>
      </c>
      <c r="K652" t="s">
        <v>96</v>
      </c>
      <c r="L652" t="s">
        <v>97</v>
      </c>
      <c r="M652" s="24">
        <v>13</v>
      </c>
      <c r="N652" s="25">
        <v>94808.95</v>
      </c>
      <c r="O652" s="25">
        <f t="shared" si="84"/>
        <v>1232516.3499999999</v>
      </c>
      <c r="P652" s="25">
        <v>65174.58</v>
      </c>
      <c r="Q652" s="25">
        <f t="shared" si="85"/>
        <v>847269.54</v>
      </c>
      <c r="R652" s="25">
        <f t="shared" si="86"/>
        <v>385246.80999999982</v>
      </c>
      <c r="S652" s="26">
        <f t="shared" si="87"/>
        <v>0.31256933021618727</v>
      </c>
    </row>
    <row r="653" spans="1:19" ht="15" x14ac:dyDescent="0.2">
      <c r="A653" s="23">
        <v>45827</v>
      </c>
      <c r="B653">
        <f t="shared" si="80"/>
        <v>2025</v>
      </c>
      <c r="C653">
        <f t="shared" si="81"/>
        <v>6</v>
      </c>
      <c r="D653" t="str">
        <f t="shared" si="82"/>
        <v>Junio</v>
      </c>
      <c r="E653" t="str">
        <f t="shared" si="83"/>
        <v>T2</v>
      </c>
      <c r="F653" t="s">
        <v>776</v>
      </c>
      <c r="G653" t="s">
        <v>114</v>
      </c>
      <c r="H653" t="s">
        <v>75</v>
      </c>
      <c r="I653" t="s">
        <v>115</v>
      </c>
      <c r="J653" t="s">
        <v>57</v>
      </c>
      <c r="K653" t="s">
        <v>81</v>
      </c>
      <c r="L653" t="s">
        <v>129</v>
      </c>
      <c r="M653" s="24">
        <v>3</v>
      </c>
      <c r="N653" s="25">
        <v>93605.68</v>
      </c>
      <c r="O653" s="25">
        <f t="shared" si="84"/>
        <v>280817.03999999998</v>
      </c>
      <c r="P653" s="25">
        <v>64182.17</v>
      </c>
      <c r="Q653" s="25">
        <f t="shared" si="85"/>
        <v>192546.51</v>
      </c>
      <c r="R653" s="25">
        <f t="shared" si="86"/>
        <v>88270.52999999997</v>
      </c>
      <c r="S653" s="26">
        <f t="shared" si="87"/>
        <v>0.31433466430669582</v>
      </c>
    </row>
    <row r="654" spans="1:19" ht="15" x14ac:dyDescent="0.2">
      <c r="A654" s="23">
        <v>45827</v>
      </c>
      <c r="B654">
        <f t="shared" si="80"/>
        <v>2025</v>
      </c>
      <c r="C654">
        <f t="shared" si="81"/>
        <v>6</v>
      </c>
      <c r="D654" t="str">
        <f t="shared" si="82"/>
        <v>Junio</v>
      </c>
      <c r="E654" t="str">
        <f t="shared" si="83"/>
        <v>T2</v>
      </c>
      <c r="F654" t="s">
        <v>777</v>
      </c>
      <c r="G654" t="s">
        <v>74</v>
      </c>
      <c r="H654" t="s">
        <v>75</v>
      </c>
      <c r="I654" t="s">
        <v>76</v>
      </c>
      <c r="J654" t="s">
        <v>125</v>
      </c>
      <c r="K654" t="s">
        <v>126</v>
      </c>
      <c r="L654" t="s">
        <v>131</v>
      </c>
      <c r="M654" s="24">
        <v>2</v>
      </c>
      <c r="N654" s="25">
        <v>43779.32</v>
      </c>
      <c r="O654" s="25">
        <f t="shared" si="84"/>
        <v>87558.64</v>
      </c>
      <c r="P654" s="25">
        <v>29486.53</v>
      </c>
      <c r="Q654" s="25">
        <f t="shared" si="85"/>
        <v>58973.06</v>
      </c>
      <c r="R654" s="25">
        <f t="shared" si="86"/>
        <v>28585.58</v>
      </c>
      <c r="S654" s="26">
        <f t="shared" si="87"/>
        <v>0.32647354961200864</v>
      </c>
    </row>
    <row r="655" spans="1:19" ht="15" x14ac:dyDescent="0.2">
      <c r="A655" s="23">
        <v>45827</v>
      </c>
      <c r="B655">
        <f t="shared" si="80"/>
        <v>2025</v>
      </c>
      <c r="C655">
        <f t="shared" si="81"/>
        <v>6</v>
      </c>
      <c r="D655" t="str">
        <f t="shared" si="82"/>
        <v>Junio</v>
      </c>
      <c r="E655" t="str">
        <f t="shared" si="83"/>
        <v>T2</v>
      </c>
      <c r="F655" t="s">
        <v>778</v>
      </c>
      <c r="G655" t="s">
        <v>74</v>
      </c>
      <c r="H655" t="s">
        <v>75</v>
      </c>
      <c r="I655" t="s">
        <v>76</v>
      </c>
      <c r="J655" t="s">
        <v>70</v>
      </c>
      <c r="K655" t="s">
        <v>84</v>
      </c>
      <c r="L655" t="s">
        <v>147</v>
      </c>
      <c r="M655" s="24">
        <v>9</v>
      </c>
      <c r="N655" s="25">
        <v>37267.120000000003</v>
      </c>
      <c r="O655" s="25">
        <f t="shared" si="84"/>
        <v>335404.08</v>
      </c>
      <c r="P655" s="25">
        <v>26660.18</v>
      </c>
      <c r="Q655" s="25">
        <f t="shared" si="85"/>
        <v>239941.62</v>
      </c>
      <c r="R655" s="25">
        <f t="shared" si="86"/>
        <v>95462.460000000021</v>
      </c>
      <c r="S655" s="26">
        <f t="shared" si="87"/>
        <v>0.28461925686771616</v>
      </c>
    </row>
    <row r="656" spans="1:19" ht="15" x14ac:dyDescent="0.2">
      <c r="A656" s="23">
        <v>45827</v>
      </c>
      <c r="B656">
        <f t="shared" si="80"/>
        <v>2025</v>
      </c>
      <c r="C656">
        <f t="shared" si="81"/>
        <v>6</v>
      </c>
      <c r="D656" t="str">
        <f t="shared" si="82"/>
        <v>Junio</v>
      </c>
      <c r="E656" t="str">
        <f t="shared" si="83"/>
        <v>T2</v>
      </c>
      <c r="F656" t="s">
        <v>779</v>
      </c>
      <c r="G656" t="s">
        <v>92</v>
      </c>
      <c r="H656" t="s">
        <v>93</v>
      </c>
      <c r="I656" t="s">
        <v>94</v>
      </c>
      <c r="J656" t="s">
        <v>77</v>
      </c>
      <c r="K656" t="s">
        <v>107</v>
      </c>
      <c r="L656" t="s">
        <v>112</v>
      </c>
      <c r="M656" s="24">
        <v>6</v>
      </c>
      <c r="N656" s="25">
        <v>22606.77</v>
      </c>
      <c r="O656" s="25">
        <f t="shared" si="84"/>
        <v>135640.62</v>
      </c>
      <c r="P656" s="25">
        <v>12306.92</v>
      </c>
      <c r="Q656" s="25">
        <f t="shared" si="85"/>
        <v>73841.52</v>
      </c>
      <c r="R656" s="25">
        <f t="shared" si="86"/>
        <v>61799.099999999991</v>
      </c>
      <c r="S656" s="26">
        <f t="shared" si="87"/>
        <v>0.4556090940899562</v>
      </c>
    </row>
    <row r="657" spans="1:19" ht="15" x14ac:dyDescent="0.2">
      <c r="A657" s="23">
        <v>45827</v>
      </c>
      <c r="B657">
        <f t="shared" si="80"/>
        <v>2025</v>
      </c>
      <c r="C657">
        <f t="shared" si="81"/>
        <v>6</v>
      </c>
      <c r="D657" t="str">
        <f t="shared" si="82"/>
        <v>Junio</v>
      </c>
      <c r="E657" t="str">
        <f t="shared" si="83"/>
        <v>T2</v>
      </c>
      <c r="F657" t="s">
        <v>780</v>
      </c>
      <c r="G657" t="s">
        <v>206</v>
      </c>
      <c r="H657" t="s">
        <v>93</v>
      </c>
      <c r="I657" t="s">
        <v>207</v>
      </c>
      <c r="J657" t="s">
        <v>57</v>
      </c>
      <c r="K657" t="s">
        <v>58</v>
      </c>
      <c r="L657" t="s">
        <v>59</v>
      </c>
      <c r="M657" s="24">
        <v>2</v>
      </c>
      <c r="N657" s="25">
        <v>115058.16</v>
      </c>
      <c r="O657" s="25">
        <f t="shared" si="84"/>
        <v>230116.32</v>
      </c>
      <c r="P657" s="25">
        <v>69461.53</v>
      </c>
      <c r="Q657" s="25">
        <f t="shared" si="85"/>
        <v>138923.06</v>
      </c>
      <c r="R657" s="25">
        <f t="shared" si="86"/>
        <v>91193.260000000009</v>
      </c>
      <c r="S657" s="26">
        <f t="shared" si="87"/>
        <v>0.39629201440384587</v>
      </c>
    </row>
    <row r="658" spans="1:19" ht="15" x14ac:dyDescent="0.2">
      <c r="A658" s="23">
        <v>45827</v>
      </c>
      <c r="B658">
        <f t="shared" si="80"/>
        <v>2025</v>
      </c>
      <c r="C658">
        <f t="shared" si="81"/>
        <v>6</v>
      </c>
      <c r="D658" t="str">
        <f t="shared" si="82"/>
        <v>Junio</v>
      </c>
      <c r="E658" t="str">
        <f t="shared" si="83"/>
        <v>T2</v>
      </c>
      <c r="F658" t="s">
        <v>781</v>
      </c>
      <c r="G658" t="s">
        <v>92</v>
      </c>
      <c r="H658" t="s">
        <v>93</v>
      </c>
      <c r="I658" t="s">
        <v>94</v>
      </c>
      <c r="J658" t="s">
        <v>70</v>
      </c>
      <c r="K658" t="s">
        <v>71</v>
      </c>
      <c r="L658" t="s">
        <v>90</v>
      </c>
      <c r="M658" s="24">
        <v>4</v>
      </c>
      <c r="N658" s="25">
        <v>18073.54</v>
      </c>
      <c r="O658" s="25">
        <f t="shared" si="84"/>
        <v>72294.16</v>
      </c>
      <c r="P658" s="25">
        <v>11672.37</v>
      </c>
      <c r="Q658" s="25">
        <f t="shared" si="85"/>
        <v>46689.48</v>
      </c>
      <c r="R658" s="25">
        <f t="shared" si="86"/>
        <v>25604.68</v>
      </c>
      <c r="S658" s="26">
        <f t="shared" si="87"/>
        <v>0.35417355980068099</v>
      </c>
    </row>
    <row r="659" spans="1:19" ht="15" x14ac:dyDescent="0.2">
      <c r="A659" s="23">
        <v>45828</v>
      </c>
      <c r="B659">
        <f t="shared" si="80"/>
        <v>2025</v>
      </c>
      <c r="C659">
        <f t="shared" si="81"/>
        <v>6</v>
      </c>
      <c r="D659" t="str">
        <f t="shared" si="82"/>
        <v>Junio</v>
      </c>
      <c r="E659" t="str">
        <f t="shared" si="83"/>
        <v>T2</v>
      </c>
      <c r="F659" t="s">
        <v>782</v>
      </c>
      <c r="G659" t="s">
        <v>54</v>
      </c>
      <c r="H659" t="s">
        <v>55</v>
      </c>
      <c r="I659" t="s">
        <v>56</v>
      </c>
      <c r="J659" t="s">
        <v>64</v>
      </c>
      <c r="K659" t="s">
        <v>65</v>
      </c>
      <c r="L659" t="s">
        <v>66</v>
      </c>
      <c r="M659" s="24">
        <v>9</v>
      </c>
      <c r="N659" s="25">
        <v>52964.97</v>
      </c>
      <c r="O659" s="25">
        <f t="shared" si="84"/>
        <v>476684.73</v>
      </c>
      <c r="P659" s="25">
        <v>39723.129999999997</v>
      </c>
      <c r="Q659" s="25">
        <f t="shared" si="85"/>
        <v>357508.17</v>
      </c>
      <c r="R659" s="25">
        <f t="shared" si="86"/>
        <v>119176.56</v>
      </c>
      <c r="S659" s="26">
        <f t="shared" si="87"/>
        <v>0.25001128104103526</v>
      </c>
    </row>
    <row r="660" spans="1:19" ht="15" x14ac:dyDescent="0.2">
      <c r="A660" s="23">
        <v>45828</v>
      </c>
      <c r="B660">
        <f t="shared" si="80"/>
        <v>2025</v>
      </c>
      <c r="C660">
        <f t="shared" si="81"/>
        <v>6</v>
      </c>
      <c r="D660" t="str">
        <f t="shared" si="82"/>
        <v>Junio</v>
      </c>
      <c r="E660" t="str">
        <f t="shared" si="83"/>
        <v>T2</v>
      </c>
      <c r="F660" t="s">
        <v>783</v>
      </c>
      <c r="G660" t="s">
        <v>61</v>
      </c>
      <c r="H660" t="s">
        <v>62</v>
      </c>
      <c r="I660" t="s">
        <v>63</v>
      </c>
      <c r="J660" t="s">
        <v>125</v>
      </c>
      <c r="K660" t="s">
        <v>138</v>
      </c>
      <c r="L660" t="s">
        <v>142</v>
      </c>
      <c r="M660" s="24">
        <v>46</v>
      </c>
      <c r="N660" s="25">
        <v>5976.03</v>
      </c>
      <c r="O660" s="25">
        <f t="shared" si="84"/>
        <v>274897.38</v>
      </c>
      <c r="P660" s="25">
        <v>4844.97</v>
      </c>
      <c r="Q660" s="25">
        <f t="shared" si="85"/>
        <v>222868.62000000002</v>
      </c>
      <c r="R660" s="25">
        <f t="shared" si="86"/>
        <v>52028.75999999998</v>
      </c>
      <c r="S660" s="26">
        <f t="shared" si="87"/>
        <v>0.18926611814197714</v>
      </c>
    </row>
    <row r="661" spans="1:19" ht="15" x14ac:dyDescent="0.2">
      <c r="A661" s="23">
        <v>45828</v>
      </c>
      <c r="B661">
        <f t="shared" si="80"/>
        <v>2025</v>
      </c>
      <c r="C661">
        <f t="shared" si="81"/>
        <v>6</v>
      </c>
      <c r="D661" t="str">
        <f t="shared" si="82"/>
        <v>Junio</v>
      </c>
      <c r="E661" t="str">
        <f t="shared" si="83"/>
        <v>T2</v>
      </c>
      <c r="F661" t="s">
        <v>784</v>
      </c>
      <c r="G661" t="s">
        <v>74</v>
      </c>
      <c r="H661" t="s">
        <v>75</v>
      </c>
      <c r="I661" t="s">
        <v>76</v>
      </c>
      <c r="J661" t="s">
        <v>125</v>
      </c>
      <c r="K661" t="s">
        <v>126</v>
      </c>
      <c r="L661" t="s">
        <v>131</v>
      </c>
      <c r="M661" s="24">
        <v>6</v>
      </c>
      <c r="N661" s="25">
        <v>38694.959999999999</v>
      </c>
      <c r="O661" s="25">
        <f t="shared" si="84"/>
        <v>232169.76</v>
      </c>
      <c r="P661" s="25">
        <v>26372.1</v>
      </c>
      <c r="Q661" s="25">
        <f t="shared" si="85"/>
        <v>158232.59999999998</v>
      </c>
      <c r="R661" s="25">
        <f t="shared" si="86"/>
        <v>73937.160000000033</v>
      </c>
      <c r="S661" s="26">
        <f t="shared" si="87"/>
        <v>0.31846162911138826</v>
      </c>
    </row>
    <row r="662" spans="1:19" ht="15" x14ac:dyDescent="0.2">
      <c r="A662" s="23">
        <v>45828</v>
      </c>
      <c r="B662">
        <f t="shared" si="80"/>
        <v>2025</v>
      </c>
      <c r="C662">
        <f t="shared" si="81"/>
        <v>6</v>
      </c>
      <c r="D662" t="str">
        <f t="shared" si="82"/>
        <v>Junio</v>
      </c>
      <c r="E662" t="str">
        <f t="shared" si="83"/>
        <v>T2</v>
      </c>
      <c r="F662" t="s">
        <v>785</v>
      </c>
      <c r="G662" t="s">
        <v>144</v>
      </c>
      <c r="H662" t="s">
        <v>88</v>
      </c>
      <c r="I662" t="s">
        <v>145</v>
      </c>
      <c r="J662" t="s">
        <v>70</v>
      </c>
      <c r="K662" t="s">
        <v>71</v>
      </c>
      <c r="L662" t="s">
        <v>90</v>
      </c>
      <c r="M662" s="24">
        <v>12</v>
      </c>
      <c r="N662" s="25">
        <v>11481.4</v>
      </c>
      <c r="O662" s="25">
        <f t="shared" si="84"/>
        <v>137776.79999999999</v>
      </c>
      <c r="P662" s="25">
        <v>6775.64</v>
      </c>
      <c r="Q662" s="25">
        <f t="shared" si="85"/>
        <v>81307.680000000008</v>
      </c>
      <c r="R662" s="25">
        <f t="shared" si="86"/>
        <v>56469.119999999981</v>
      </c>
      <c r="S662" s="26">
        <f t="shared" si="87"/>
        <v>0.40985942480882109</v>
      </c>
    </row>
    <row r="663" spans="1:19" ht="15" x14ac:dyDescent="0.2">
      <c r="A663" s="23">
        <v>45829</v>
      </c>
      <c r="B663">
        <f t="shared" si="80"/>
        <v>2025</v>
      </c>
      <c r="C663">
        <f t="shared" si="81"/>
        <v>6</v>
      </c>
      <c r="D663" t="str">
        <f t="shared" si="82"/>
        <v>Junio</v>
      </c>
      <c r="E663" t="str">
        <f t="shared" si="83"/>
        <v>T2</v>
      </c>
      <c r="F663" t="s">
        <v>786</v>
      </c>
      <c r="G663" t="s">
        <v>54</v>
      </c>
      <c r="H663" t="s">
        <v>55</v>
      </c>
      <c r="I663" t="s">
        <v>56</v>
      </c>
      <c r="J663" t="s">
        <v>77</v>
      </c>
      <c r="K663" t="s">
        <v>78</v>
      </c>
      <c r="L663" t="s">
        <v>79</v>
      </c>
      <c r="M663" s="24">
        <v>8</v>
      </c>
      <c r="N663" s="25">
        <v>59690.11</v>
      </c>
      <c r="O663" s="25">
        <f t="shared" si="84"/>
        <v>477520.88</v>
      </c>
      <c r="P663" s="25">
        <v>42880.9</v>
      </c>
      <c r="Q663" s="25">
        <f t="shared" si="85"/>
        <v>343047.2</v>
      </c>
      <c r="R663" s="25">
        <f t="shared" si="86"/>
        <v>134473.68</v>
      </c>
      <c r="S663" s="26">
        <f t="shared" si="87"/>
        <v>0.28160795816928463</v>
      </c>
    </row>
    <row r="664" spans="1:19" ht="15" x14ac:dyDescent="0.2">
      <c r="A664" s="23">
        <v>45829</v>
      </c>
      <c r="B664">
        <f t="shared" si="80"/>
        <v>2025</v>
      </c>
      <c r="C664">
        <f t="shared" si="81"/>
        <v>6</v>
      </c>
      <c r="D664" t="str">
        <f t="shared" si="82"/>
        <v>Junio</v>
      </c>
      <c r="E664" t="str">
        <f t="shared" si="83"/>
        <v>T2</v>
      </c>
      <c r="F664" t="s">
        <v>787</v>
      </c>
      <c r="G664" t="s">
        <v>54</v>
      </c>
      <c r="H664" t="s">
        <v>55</v>
      </c>
      <c r="I664" t="s">
        <v>56</v>
      </c>
      <c r="J664" t="s">
        <v>125</v>
      </c>
      <c r="K664" t="s">
        <v>126</v>
      </c>
      <c r="L664" t="s">
        <v>127</v>
      </c>
      <c r="M664" s="24">
        <v>5</v>
      </c>
      <c r="N664" s="25">
        <v>52745.06</v>
      </c>
      <c r="O664" s="25">
        <f t="shared" si="84"/>
        <v>263725.3</v>
      </c>
      <c r="P664" s="25">
        <v>38369.17</v>
      </c>
      <c r="Q664" s="25">
        <f t="shared" si="85"/>
        <v>191845.84999999998</v>
      </c>
      <c r="R664" s="25">
        <f t="shared" si="86"/>
        <v>71879.450000000012</v>
      </c>
      <c r="S664" s="26">
        <f t="shared" si="87"/>
        <v>0.27255424489042201</v>
      </c>
    </row>
    <row r="665" spans="1:19" ht="15" x14ac:dyDescent="0.2">
      <c r="A665" s="23">
        <v>45829</v>
      </c>
      <c r="B665">
        <f t="shared" si="80"/>
        <v>2025</v>
      </c>
      <c r="C665">
        <f t="shared" si="81"/>
        <v>6</v>
      </c>
      <c r="D665" t="str">
        <f t="shared" si="82"/>
        <v>Junio</v>
      </c>
      <c r="E665" t="str">
        <f t="shared" si="83"/>
        <v>T2</v>
      </c>
      <c r="F665" t="s">
        <v>788</v>
      </c>
      <c r="G665" t="s">
        <v>105</v>
      </c>
      <c r="H665" t="s">
        <v>62</v>
      </c>
      <c r="I665" t="s">
        <v>106</v>
      </c>
      <c r="J665" t="s">
        <v>64</v>
      </c>
      <c r="K665" t="s">
        <v>96</v>
      </c>
      <c r="L665" t="s">
        <v>97</v>
      </c>
      <c r="M665" s="24">
        <v>684</v>
      </c>
      <c r="N665" s="25">
        <v>1797.14</v>
      </c>
      <c r="O665" s="25">
        <f t="shared" si="84"/>
        <v>1229243.76</v>
      </c>
      <c r="P665" s="25">
        <v>1499.92</v>
      </c>
      <c r="Q665" s="25">
        <f t="shared" si="85"/>
        <v>1025945.28</v>
      </c>
      <c r="R665" s="25">
        <f t="shared" si="86"/>
        <v>203298.47999999998</v>
      </c>
      <c r="S665" s="26">
        <f t="shared" si="87"/>
        <v>0.16538500061208364</v>
      </c>
    </row>
    <row r="666" spans="1:19" ht="15" x14ac:dyDescent="0.2">
      <c r="A666" s="23">
        <v>45829</v>
      </c>
      <c r="B666">
        <f t="shared" si="80"/>
        <v>2025</v>
      </c>
      <c r="C666">
        <f t="shared" si="81"/>
        <v>6</v>
      </c>
      <c r="D666" t="str">
        <f t="shared" si="82"/>
        <v>Junio</v>
      </c>
      <c r="E666" t="str">
        <f t="shared" si="83"/>
        <v>T2</v>
      </c>
      <c r="F666" t="s">
        <v>789</v>
      </c>
      <c r="G666" t="s">
        <v>92</v>
      </c>
      <c r="H666" t="s">
        <v>93</v>
      </c>
      <c r="I666" t="s">
        <v>94</v>
      </c>
      <c r="J666" t="s">
        <v>77</v>
      </c>
      <c r="K666" t="s">
        <v>107</v>
      </c>
      <c r="L666" t="s">
        <v>108</v>
      </c>
      <c r="M666" s="24">
        <v>8</v>
      </c>
      <c r="N666" s="25">
        <v>20950.150000000001</v>
      </c>
      <c r="O666" s="25">
        <f t="shared" si="84"/>
        <v>167601.20000000001</v>
      </c>
      <c r="P666" s="25">
        <v>11738.08</v>
      </c>
      <c r="Q666" s="25">
        <f t="shared" si="85"/>
        <v>93904.639999999999</v>
      </c>
      <c r="R666" s="25">
        <f t="shared" si="86"/>
        <v>73696.560000000012</v>
      </c>
      <c r="S666" s="26">
        <f t="shared" si="87"/>
        <v>0.43971379679859096</v>
      </c>
    </row>
    <row r="667" spans="1:19" ht="15" x14ac:dyDescent="0.2">
      <c r="A667" s="23">
        <v>45830</v>
      </c>
      <c r="B667">
        <f t="shared" si="80"/>
        <v>2025</v>
      </c>
      <c r="C667">
        <f t="shared" si="81"/>
        <v>6</v>
      </c>
      <c r="D667" t="str">
        <f t="shared" si="82"/>
        <v>Junio</v>
      </c>
      <c r="E667" t="str">
        <f t="shared" si="83"/>
        <v>T2</v>
      </c>
      <c r="F667" t="s">
        <v>790</v>
      </c>
      <c r="G667" t="s">
        <v>54</v>
      </c>
      <c r="H667" t="s">
        <v>55</v>
      </c>
      <c r="I667" t="s">
        <v>56</v>
      </c>
      <c r="J667" t="s">
        <v>64</v>
      </c>
      <c r="K667" t="s">
        <v>65</v>
      </c>
      <c r="L667" t="s">
        <v>123</v>
      </c>
      <c r="M667" s="24">
        <v>21</v>
      </c>
      <c r="N667" s="25">
        <v>58496.72</v>
      </c>
      <c r="O667" s="25">
        <f t="shared" si="84"/>
        <v>1228431.1200000001</v>
      </c>
      <c r="P667" s="25">
        <v>42896.26</v>
      </c>
      <c r="Q667" s="25">
        <f t="shared" si="85"/>
        <v>900821.46000000008</v>
      </c>
      <c r="R667" s="25">
        <f t="shared" si="86"/>
        <v>327609.66000000003</v>
      </c>
      <c r="S667" s="26">
        <f t="shared" si="87"/>
        <v>0.26668948276074284</v>
      </c>
    </row>
    <row r="668" spans="1:19" ht="15" x14ac:dyDescent="0.2">
      <c r="A668" s="23">
        <v>45830</v>
      </c>
      <c r="B668">
        <f t="shared" si="80"/>
        <v>2025</v>
      </c>
      <c r="C668">
        <f t="shared" si="81"/>
        <v>6</v>
      </c>
      <c r="D668" t="str">
        <f t="shared" si="82"/>
        <v>Junio</v>
      </c>
      <c r="E668" t="str">
        <f t="shared" si="83"/>
        <v>T2</v>
      </c>
      <c r="F668" t="s">
        <v>791</v>
      </c>
      <c r="G668" t="s">
        <v>183</v>
      </c>
      <c r="H668" t="s">
        <v>55</v>
      </c>
      <c r="I668" t="s">
        <v>184</v>
      </c>
      <c r="J668" t="s">
        <v>77</v>
      </c>
      <c r="K668" t="s">
        <v>107</v>
      </c>
      <c r="L668" t="s">
        <v>112</v>
      </c>
      <c r="M668" s="24">
        <v>2</v>
      </c>
      <c r="N668" s="25">
        <v>495468.17</v>
      </c>
      <c r="O668" s="25">
        <f t="shared" si="84"/>
        <v>990936.34</v>
      </c>
      <c r="P668" s="25">
        <v>341403.31</v>
      </c>
      <c r="Q668" s="25">
        <f t="shared" si="85"/>
        <v>682806.62</v>
      </c>
      <c r="R668" s="25">
        <f t="shared" si="86"/>
        <v>308129.71999999997</v>
      </c>
      <c r="S668" s="26">
        <f t="shared" si="87"/>
        <v>0.31094804737910808</v>
      </c>
    </row>
    <row r="669" spans="1:19" ht="15" x14ac:dyDescent="0.2">
      <c r="A669" s="23">
        <v>45830</v>
      </c>
      <c r="B669">
        <f t="shared" si="80"/>
        <v>2025</v>
      </c>
      <c r="C669">
        <f t="shared" si="81"/>
        <v>6</v>
      </c>
      <c r="D669" t="str">
        <f t="shared" si="82"/>
        <v>Junio</v>
      </c>
      <c r="E669" t="str">
        <f t="shared" si="83"/>
        <v>T2</v>
      </c>
      <c r="F669" t="s">
        <v>792</v>
      </c>
      <c r="G669" t="s">
        <v>282</v>
      </c>
      <c r="H669" t="s">
        <v>55</v>
      </c>
      <c r="I669" t="s">
        <v>56</v>
      </c>
      <c r="J669" t="s">
        <v>77</v>
      </c>
      <c r="K669" t="s">
        <v>107</v>
      </c>
      <c r="L669" t="s">
        <v>112</v>
      </c>
      <c r="M669" s="24">
        <v>3</v>
      </c>
      <c r="N669" s="25">
        <v>471034.47</v>
      </c>
      <c r="O669" s="25">
        <f t="shared" si="84"/>
        <v>1413103.41</v>
      </c>
      <c r="P669" s="25">
        <v>321544.64</v>
      </c>
      <c r="Q669" s="25">
        <f t="shared" si="85"/>
        <v>964633.92</v>
      </c>
      <c r="R669" s="25">
        <f t="shared" si="86"/>
        <v>448469.48999999987</v>
      </c>
      <c r="S669" s="26">
        <f t="shared" si="87"/>
        <v>0.31736494783492164</v>
      </c>
    </row>
    <row r="670" spans="1:19" ht="15" x14ac:dyDescent="0.2">
      <c r="A670" s="23">
        <v>45830</v>
      </c>
      <c r="B670">
        <f t="shared" si="80"/>
        <v>2025</v>
      </c>
      <c r="C670">
        <f t="shared" si="81"/>
        <v>6</v>
      </c>
      <c r="D670" t="str">
        <f t="shared" si="82"/>
        <v>Junio</v>
      </c>
      <c r="E670" t="str">
        <f t="shared" si="83"/>
        <v>T2</v>
      </c>
      <c r="F670" t="s">
        <v>793</v>
      </c>
      <c r="G670" t="s">
        <v>54</v>
      </c>
      <c r="H670" t="s">
        <v>55</v>
      </c>
      <c r="I670" t="s">
        <v>56</v>
      </c>
      <c r="J670" t="s">
        <v>125</v>
      </c>
      <c r="K670" t="s">
        <v>126</v>
      </c>
      <c r="L670" t="s">
        <v>131</v>
      </c>
      <c r="M670" s="24">
        <v>10</v>
      </c>
      <c r="N670" s="25">
        <v>54797.35</v>
      </c>
      <c r="O670" s="25">
        <f t="shared" si="84"/>
        <v>547973.5</v>
      </c>
      <c r="P670" s="25">
        <v>40152.5</v>
      </c>
      <c r="Q670" s="25">
        <f t="shared" si="85"/>
        <v>401525</v>
      </c>
      <c r="R670" s="25">
        <f t="shared" si="86"/>
        <v>146448.5</v>
      </c>
      <c r="S670" s="26">
        <f t="shared" si="87"/>
        <v>0.26725471213480212</v>
      </c>
    </row>
    <row r="671" spans="1:19" ht="15" x14ac:dyDescent="0.2">
      <c r="A671" s="23">
        <v>45830</v>
      </c>
      <c r="B671">
        <f t="shared" si="80"/>
        <v>2025</v>
      </c>
      <c r="C671">
        <f t="shared" si="81"/>
        <v>6</v>
      </c>
      <c r="D671" t="str">
        <f t="shared" si="82"/>
        <v>Junio</v>
      </c>
      <c r="E671" t="str">
        <f t="shared" si="83"/>
        <v>T2</v>
      </c>
      <c r="F671" t="s">
        <v>794</v>
      </c>
      <c r="G671" t="s">
        <v>114</v>
      </c>
      <c r="H671" t="s">
        <v>75</v>
      </c>
      <c r="I671" t="s">
        <v>115</v>
      </c>
      <c r="J671" t="s">
        <v>57</v>
      </c>
      <c r="K671" t="s">
        <v>58</v>
      </c>
      <c r="L671" t="s">
        <v>162</v>
      </c>
      <c r="M671" s="24">
        <v>2</v>
      </c>
      <c r="N671" s="25">
        <v>101508.83</v>
      </c>
      <c r="O671" s="25">
        <f t="shared" si="84"/>
        <v>203017.66</v>
      </c>
      <c r="P671" s="25">
        <v>69545.899999999994</v>
      </c>
      <c r="Q671" s="25">
        <f t="shared" si="85"/>
        <v>139091.79999999999</v>
      </c>
      <c r="R671" s="25">
        <f t="shared" si="86"/>
        <v>63925.860000000015</v>
      </c>
      <c r="S671" s="26">
        <f t="shared" si="87"/>
        <v>0.31487832142287531</v>
      </c>
    </row>
    <row r="672" spans="1:19" ht="15" x14ac:dyDescent="0.2">
      <c r="A672" s="23">
        <v>45830</v>
      </c>
      <c r="B672">
        <f t="shared" si="80"/>
        <v>2025</v>
      </c>
      <c r="C672">
        <f t="shared" si="81"/>
        <v>6</v>
      </c>
      <c r="D672" t="str">
        <f t="shared" si="82"/>
        <v>Junio</v>
      </c>
      <c r="E672" t="str">
        <f t="shared" si="83"/>
        <v>T2</v>
      </c>
      <c r="F672" t="s">
        <v>795</v>
      </c>
      <c r="G672" t="s">
        <v>144</v>
      </c>
      <c r="H672" t="s">
        <v>88</v>
      </c>
      <c r="I672" t="s">
        <v>145</v>
      </c>
      <c r="J672" t="s">
        <v>57</v>
      </c>
      <c r="K672" t="s">
        <v>58</v>
      </c>
      <c r="L672" t="s">
        <v>59</v>
      </c>
      <c r="M672" s="24">
        <v>41</v>
      </c>
      <c r="N672" s="25">
        <v>12194.84</v>
      </c>
      <c r="O672" s="25">
        <f t="shared" si="84"/>
        <v>499988.44</v>
      </c>
      <c r="P672" s="25">
        <v>6962.99</v>
      </c>
      <c r="Q672" s="25">
        <f t="shared" si="85"/>
        <v>285482.58999999997</v>
      </c>
      <c r="R672" s="25">
        <f t="shared" si="86"/>
        <v>214505.85000000003</v>
      </c>
      <c r="S672" s="26">
        <f t="shared" si="87"/>
        <v>0.42902161897983088</v>
      </c>
    </row>
    <row r="673" spans="1:19" ht="15" x14ac:dyDescent="0.2">
      <c r="A673" s="23">
        <v>45830</v>
      </c>
      <c r="B673">
        <f t="shared" si="80"/>
        <v>2025</v>
      </c>
      <c r="C673">
        <f t="shared" si="81"/>
        <v>6</v>
      </c>
      <c r="D673" t="str">
        <f t="shared" si="82"/>
        <v>Junio</v>
      </c>
      <c r="E673" t="str">
        <f t="shared" si="83"/>
        <v>T2</v>
      </c>
      <c r="F673" t="s">
        <v>796</v>
      </c>
      <c r="G673" t="s">
        <v>144</v>
      </c>
      <c r="H673" t="s">
        <v>88</v>
      </c>
      <c r="I673" t="s">
        <v>145</v>
      </c>
      <c r="J673" t="s">
        <v>125</v>
      </c>
      <c r="K673" t="s">
        <v>138</v>
      </c>
      <c r="L673" t="s">
        <v>139</v>
      </c>
      <c r="M673" s="24">
        <v>9</v>
      </c>
      <c r="N673" s="25">
        <v>13204.98</v>
      </c>
      <c r="O673" s="25">
        <f t="shared" si="84"/>
        <v>118844.81999999999</v>
      </c>
      <c r="P673" s="25">
        <v>7125.58</v>
      </c>
      <c r="Q673" s="25">
        <f t="shared" si="85"/>
        <v>64130.22</v>
      </c>
      <c r="R673" s="25">
        <f t="shared" si="86"/>
        <v>54714.599999999991</v>
      </c>
      <c r="S673" s="26">
        <f t="shared" si="87"/>
        <v>0.4603869146337215</v>
      </c>
    </row>
    <row r="674" spans="1:19" ht="15" x14ac:dyDescent="0.2">
      <c r="A674" s="23">
        <v>45830</v>
      </c>
      <c r="B674">
        <f t="shared" si="80"/>
        <v>2025</v>
      </c>
      <c r="C674">
        <f t="shared" si="81"/>
        <v>6</v>
      </c>
      <c r="D674" t="str">
        <f t="shared" si="82"/>
        <v>Junio</v>
      </c>
      <c r="E674" t="str">
        <f t="shared" si="83"/>
        <v>T2</v>
      </c>
      <c r="F674" t="s">
        <v>797</v>
      </c>
      <c r="G674" t="s">
        <v>92</v>
      </c>
      <c r="H674" t="s">
        <v>93</v>
      </c>
      <c r="I674" t="s">
        <v>94</v>
      </c>
      <c r="J674" t="s">
        <v>77</v>
      </c>
      <c r="K674" t="s">
        <v>107</v>
      </c>
      <c r="L674" t="s">
        <v>112</v>
      </c>
      <c r="M674" s="24">
        <v>11</v>
      </c>
      <c r="N674" s="25">
        <v>21739.51</v>
      </c>
      <c r="O674" s="25">
        <f t="shared" si="84"/>
        <v>239134.61</v>
      </c>
      <c r="P674" s="25">
        <v>11864.77</v>
      </c>
      <c r="Q674" s="25">
        <f t="shared" si="85"/>
        <v>130512.47</v>
      </c>
      <c r="R674" s="25">
        <f t="shared" si="86"/>
        <v>108622.13999999998</v>
      </c>
      <c r="S674" s="26">
        <f t="shared" si="87"/>
        <v>0.45423010914229434</v>
      </c>
    </row>
    <row r="675" spans="1:19" ht="15" x14ac:dyDescent="0.2">
      <c r="A675" s="23">
        <v>45830</v>
      </c>
      <c r="B675">
        <f t="shared" si="80"/>
        <v>2025</v>
      </c>
      <c r="C675">
        <f t="shared" si="81"/>
        <v>6</v>
      </c>
      <c r="D675" t="str">
        <f t="shared" si="82"/>
        <v>Junio</v>
      </c>
      <c r="E675" t="str">
        <f t="shared" si="83"/>
        <v>T2</v>
      </c>
      <c r="F675" t="s">
        <v>798</v>
      </c>
      <c r="G675" t="s">
        <v>149</v>
      </c>
      <c r="H675" t="s">
        <v>93</v>
      </c>
      <c r="I675" t="s">
        <v>150</v>
      </c>
      <c r="J675" t="s">
        <v>125</v>
      </c>
      <c r="K675" t="s">
        <v>138</v>
      </c>
      <c r="L675" t="s">
        <v>139</v>
      </c>
      <c r="M675" s="24">
        <v>4</v>
      </c>
      <c r="N675" s="25">
        <v>40762.03</v>
      </c>
      <c r="O675" s="25">
        <f t="shared" si="84"/>
        <v>163048.12</v>
      </c>
      <c r="P675" s="25">
        <v>24239.98</v>
      </c>
      <c r="Q675" s="25">
        <f t="shared" si="85"/>
        <v>96959.92</v>
      </c>
      <c r="R675" s="25">
        <f t="shared" si="86"/>
        <v>66088.2</v>
      </c>
      <c r="S675" s="26">
        <f t="shared" si="87"/>
        <v>0.4053294205416168</v>
      </c>
    </row>
    <row r="676" spans="1:19" ht="15" x14ac:dyDescent="0.2">
      <c r="A676" s="23">
        <v>45830</v>
      </c>
      <c r="B676">
        <f t="shared" si="80"/>
        <v>2025</v>
      </c>
      <c r="C676">
        <f t="shared" si="81"/>
        <v>6</v>
      </c>
      <c r="D676" t="str">
        <f t="shared" si="82"/>
        <v>Junio</v>
      </c>
      <c r="E676" t="str">
        <f t="shared" si="83"/>
        <v>T2</v>
      </c>
      <c r="F676" t="s">
        <v>799</v>
      </c>
      <c r="G676" t="s">
        <v>149</v>
      </c>
      <c r="H676" t="s">
        <v>93</v>
      </c>
      <c r="I676" t="s">
        <v>150</v>
      </c>
      <c r="J676" t="s">
        <v>70</v>
      </c>
      <c r="K676" t="s">
        <v>71</v>
      </c>
      <c r="L676" t="s">
        <v>90</v>
      </c>
      <c r="M676" s="24">
        <v>3</v>
      </c>
      <c r="N676" s="25">
        <v>34128.69</v>
      </c>
      <c r="O676" s="25">
        <f t="shared" si="84"/>
        <v>102386.07</v>
      </c>
      <c r="P676" s="25">
        <v>21953.24</v>
      </c>
      <c r="Q676" s="25">
        <f t="shared" si="85"/>
        <v>65859.72</v>
      </c>
      <c r="R676" s="25">
        <f t="shared" si="86"/>
        <v>36526.350000000006</v>
      </c>
      <c r="S676" s="26">
        <f t="shared" si="87"/>
        <v>0.35675116741955232</v>
      </c>
    </row>
    <row r="677" spans="1:19" ht="15" x14ac:dyDescent="0.2">
      <c r="A677" s="23">
        <v>45831</v>
      </c>
      <c r="B677">
        <f t="shared" si="80"/>
        <v>2025</v>
      </c>
      <c r="C677">
        <f t="shared" si="81"/>
        <v>6</v>
      </c>
      <c r="D677" t="str">
        <f t="shared" si="82"/>
        <v>Junio</v>
      </c>
      <c r="E677" t="str">
        <f t="shared" si="83"/>
        <v>T2</v>
      </c>
      <c r="F677" t="s">
        <v>800</v>
      </c>
      <c r="G677" t="s">
        <v>54</v>
      </c>
      <c r="H677" t="s">
        <v>55</v>
      </c>
      <c r="I677" t="s">
        <v>56</v>
      </c>
      <c r="J677" t="s">
        <v>77</v>
      </c>
      <c r="K677" t="s">
        <v>78</v>
      </c>
      <c r="L677" t="s">
        <v>79</v>
      </c>
      <c r="M677" s="24">
        <v>1</v>
      </c>
      <c r="N677" s="25">
        <v>76785.759999999995</v>
      </c>
      <c r="O677" s="25">
        <f t="shared" si="84"/>
        <v>76785.759999999995</v>
      </c>
      <c r="P677" s="25">
        <v>55212</v>
      </c>
      <c r="Q677" s="25">
        <f t="shared" si="85"/>
        <v>55212</v>
      </c>
      <c r="R677" s="25">
        <f t="shared" si="86"/>
        <v>21573.759999999995</v>
      </c>
      <c r="S677" s="26">
        <f t="shared" si="87"/>
        <v>0.28096042807937299</v>
      </c>
    </row>
    <row r="678" spans="1:19" ht="15" x14ac:dyDescent="0.2">
      <c r="A678" s="23">
        <v>45831</v>
      </c>
      <c r="B678">
        <f t="shared" si="80"/>
        <v>2025</v>
      </c>
      <c r="C678">
        <f t="shared" si="81"/>
        <v>6</v>
      </c>
      <c r="D678" t="str">
        <f t="shared" si="82"/>
        <v>Junio</v>
      </c>
      <c r="E678" t="str">
        <f t="shared" si="83"/>
        <v>T2</v>
      </c>
      <c r="F678" t="s">
        <v>801</v>
      </c>
      <c r="G678" t="s">
        <v>68</v>
      </c>
      <c r="H678" t="s">
        <v>62</v>
      </c>
      <c r="I678" t="s">
        <v>69</v>
      </c>
      <c r="J678" t="s">
        <v>77</v>
      </c>
      <c r="K678" t="s">
        <v>107</v>
      </c>
      <c r="L678" t="s">
        <v>112</v>
      </c>
      <c r="M678" s="24">
        <v>188</v>
      </c>
      <c r="N678" s="25">
        <v>3303.34</v>
      </c>
      <c r="O678" s="25">
        <f t="shared" si="84"/>
        <v>621027.92000000004</v>
      </c>
      <c r="P678" s="25">
        <v>2599.37</v>
      </c>
      <c r="Q678" s="25">
        <f t="shared" si="85"/>
        <v>488681.56</v>
      </c>
      <c r="R678" s="25">
        <f t="shared" si="86"/>
        <v>132346.36000000004</v>
      </c>
      <c r="S678" s="26">
        <f t="shared" si="87"/>
        <v>0.21310855073955456</v>
      </c>
    </row>
    <row r="679" spans="1:19" ht="15" x14ac:dyDescent="0.2">
      <c r="A679" s="23">
        <v>45831</v>
      </c>
      <c r="B679">
        <f t="shared" si="80"/>
        <v>2025</v>
      </c>
      <c r="C679">
        <f t="shared" si="81"/>
        <v>6</v>
      </c>
      <c r="D679" t="str">
        <f t="shared" si="82"/>
        <v>Junio</v>
      </c>
      <c r="E679" t="str">
        <f t="shared" si="83"/>
        <v>T2</v>
      </c>
      <c r="F679" t="s">
        <v>802</v>
      </c>
      <c r="G679" t="s">
        <v>74</v>
      </c>
      <c r="H679" t="s">
        <v>75</v>
      </c>
      <c r="I679" t="s">
        <v>76</v>
      </c>
      <c r="J679" t="s">
        <v>70</v>
      </c>
      <c r="K679" t="s">
        <v>84</v>
      </c>
      <c r="L679" t="s">
        <v>85</v>
      </c>
      <c r="M679" s="24">
        <v>2</v>
      </c>
      <c r="N679" s="25">
        <v>48295.1</v>
      </c>
      <c r="O679" s="25">
        <f t="shared" si="84"/>
        <v>96590.2</v>
      </c>
      <c r="P679" s="25">
        <v>34243.019999999997</v>
      </c>
      <c r="Q679" s="25">
        <f t="shared" si="85"/>
        <v>68486.039999999994</v>
      </c>
      <c r="R679" s="25">
        <f t="shared" si="86"/>
        <v>28104.160000000003</v>
      </c>
      <c r="S679" s="26">
        <f t="shared" si="87"/>
        <v>0.29096285130375549</v>
      </c>
    </row>
    <row r="680" spans="1:19" ht="15" x14ac:dyDescent="0.2">
      <c r="A680" s="23">
        <v>45831</v>
      </c>
      <c r="B680">
        <f t="shared" si="80"/>
        <v>2025</v>
      </c>
      <c r="C680">
        <f t="shared" si="81"/>
        <v>6</v>
      </c>
      <c r="D680" t="str">
        <f t="shared" si="82"/>
        <v>Junio</v>
      </c>
      <c r="E680" t="str">
        <f t="shared" si="83"/>
        <v>T2</v>
      </c>
      <c r="F680" t="s">
        <v>803</v>
      </c>
      <c r="G680" t="s">
        <v>87</v>
      </c>
      <c r="H680" t="s">
        <v>88</v>
      </c>
      <c r="I680" t="s">
        <v>89</v>
      </c>
      <c r="J680" t="s">
        <v>125</v>
      </c>
      <c r="K680" t="s">
        <v>126</v>
      </c>
      <c r="L680" t="s">
        <v>131</v>
      </c>
      <c r="M680" s="24">
        <v>4</v>
      </c>
      <c r="N680" s="25">
        <v>56175.47</v>
      </c>
      <c r="O680" s="25">
        <f t="shared" si="84"/>
        <v>224701.88</v>
      </c>
      <c r="P680" s="25">
        <v>31563.97</v>
      </c>
      <c r="Q680" s="25">
        <f t="shared" si="85"/>
        <v>126255.88</v>
      </c>
      <c r="R680" s="25">
        <f t="shared" si="86"/>
        <v>98446</v>
      </c>
      <c r="S680" s="26">
        <f t="shared" si="87"/>
        <v>0.43811827475586762</v>
      </c>
    </row>
    <row r="681" spans="1:19" ht="15" x14ac:dyDescent="0.2">
      <c r="A681" s="23">
        <v>45831</v>
      </c>
      <c r="B681">
        <f t="shared" si="80"/>
        <v>2025</v>
      </c>
      <c r="C681">
        <f t="shared" si="81"/>
        <v>6</v>
      </c>
      <c r="D681" t="str">
        <f t="shared" si="82"/>
        <v>Junio</v>
      </c>
      <c r="E681" t="str">
        <f t="shared" si="83"/>
        <v>T2</v>
      </c>
      <c r="F681" t="s">
        <v>804</v>
      </c>
      <c r="G681" t="s">
        <v>92</v>
      </c>
      <c r="H681" t="s">
        <v>93</v>
      </c>
      <c r="I681" t="s">
        <v>94</v>
      </c>
      <c r="J681" t="s">
        <v>77</v>
      </c>
      <c r="K681" t="s">
        <v>78</v>
      </c>
      <c r="L681" t="s">
        <v>79</v>
      </c>
      <c r="M681" s="24">
        <v>1</v>
      </c>
      <c r="N681" s="25">
        <v>1770.32</v>
      </c>
      <c r="O681" s="25">
        <f t="shared" si="84"/>
        <v>1770.32</v>
      </c>
      <c r="P681" s="25">
        <v>995.98</v>
      </c>
      <c r="Q681" s="25">
        <f t="shared" si="85"/>
        <v>995.98</v>
      </c>
      <c r="R681" s="25">
        <f t="shared" si="86"/>
        <v>774.33999999999992</v>
      </c>
      <c r="S681" s="26">
        <f t="shared" si="87"/>
        <v>0.43740114781508427</v>
      </c>
    </row>
    <row r="682" spans="1:19" ht="15" x14ac:dyDescent="0.2">
      <c r="A682" s="23">
        <v>45832</v>
      </c>
      <c r="B682">
        <f t="shared" si="80"/>
        <v>2025</v>
      </c>
      <c r="C682">
        <f t="shared" si="81"/>
        <v>6</v>
      </c>
      <c r="D682" t="str">
        <f t="shared" si="82"/>
        <v>Junio</v>
      </c>
      <c r="E682" t="str">
        <f t="shared" si="83"/>
        <v>T2</v>
      </c>
      <c r="F682" t="s">
        <v>805</v>
      </c>
      <c r="G682" t="s">
        <v>105</v>
      </c>
      <c r="H682" t="s">
        <v>62</v>
      </c>
      <c r="I682" t="s">
        <v>106</v>
      </c>
      <c r="J682" t="s">
        <v>125</v>
      </c>
      <c r="K682" t="s">
        <v>126</v>
      </c>
      <c r="L682" t="s">
        <v>131</v>
      </c>
      <c r="M682" s="24">
        <v>102</v>
      </c>
      <c r="N682" s="25">
        <v>1841.53</v>
      </c>
      <c r="O682" s="25">
        <f t="shared" si="84"/>
        <v>187836.06</v>
      </c>
      <c r="P682" s="25">
        <v>1506.99</v>
      </c>
      <c r="Q682" s="25">
        <f t="shared" si="85"/>
        <v>153712.98000000001</v>
      </c>
      <c r="R682" s="25">
        <f t="shared" si="86"/>
        <v>34123.079999999987</v>
      </c>
      <c r="S682" s="26">
        <f t="shared" si="87"/>
        <v>0.18166415969329844</v>
      </c>
    </row>
    <row r="683" spans="1:19" ht="15" x14ac:dyDescent="0.2">
      <c r="A683" s="23">
        <v>45832</v>
      </c>
      <c r="B683">
        <f t="shared" si="80"/>
        <v>2025</v>
      </c>
      <c r="C683">
        <f t="shared" si="81"/>
        <v>6</v>
      </c>
      <c r="D683" t="str">
        <f t="shared" si="82"/>
        <v>Junio</v>
      </c>
      <c r="E683" t="str">
        <f t="shared" si="83"/>
        <v>T2</v>
      </c>
      <c r="F683" t="s">
        <v>806</v>
      </c>
      <c r="G683" t="s">
        <v>74</v>
      </c>
      <c r="H683" t="s">
        <v>75</v>
      </c>
      <c r="I683" t="s">
        <v>76</v>
      </c>
      <c r="J683" t="s">
        <v>77</v>
      </c>
      <c r="K683" t="s">
        <v>78</v>
      </c>
      <c r="L683" t="s">
        <v>79</v>
      </c>
      <c r="M683" s="24">
        <v>6</v>
      </c>
      <c r="N683" s="25">
        <v>43722.33</v>
      </c>
      <c r="O683" s="25">
        <f t="shared" si="84"/>
        <v>262333.98</v>
      </c>
      <c r="P683" s="25">
        <v>29383.32</v>
      </c>
      <c r="Q683" s="25">
        <f t="shared" si="85"/>
        <v>176299.91999999998</v>
      </c>
      <c r="R683" s="25">
        <f t="shared" si="86"/>
        <v>86034.06</v>
      </c>
      <c r="S683" s="26">
        <f t="shared" si="87"/>
        <v>0.32795621825277838</v>
      </c>
    </row>
    <row r="684" spans="1:19" ht="15" x14ac:dyDescent="0.2">
      <c r="A684" s="23">
        <v>45832</v>
      </c>
      <c r="B684">
        <f t="shared" si="80"/>
        <v>2025</v>
      </c>
      <c r="C684">
        <f t="shared" si="81"/>
        <v>6</v>
      </c>
      <c r="D684" t="str">
        <f t="shared" si="82"/>
        <v>Junio</v>
      </c>
      <c r="E684" t="str">
        <f t="shared" si="83"/>
        <v>T2</v>
      </c>
      <c r="F684" t="s">
        <v>807</v>
      </c>
      <c r="G684" t="s">
        <v>87</v>
      </c>
      <c r="H684" t="s">
        <v>88</v>
      </c>
      <c r="I684" t="s">
        <v>89</v>
      </c>
      <c r="J684" t="s">
        <v>57</v>
      </c>
      <c r="K684" t="s">
        <v>58</v>
      </c>
      <c r="L684" t="s">
        <v>162</v>
      </c>
      <c r="M684" s="24">
        <v>5</v>
      </c>
      <c r="N684" s="25">
        <v>63725.09</v>
      </c>
      <c r="O684" s="25">
        <f t="shared" si="84"/>
        <v>318625.44999999995</v>
      </c>
      <c r="P684" s="25">
        <v>35939.519999999997</v>
      </c>
      <c r="Q684" s="25">
        <f t="shared" si="85"/>
        <v>179697.59999999998</v>
      </c>
      <c r="R684" s="25">
        <f t="shared" si="86"/>
        <v>138927.84999999998</v>
      </c>
      <c r="S684" s="26">
        <f t="shared" si="87"/>
        <v>0.43602245206715284</v>
      </c>
    </row>
    <row r="685" spans="1:19" ht="15" x14ac:dyDescent="0.2">
      <c r="A685" s="23">
        <v>45833</v>
      </c>
      <c r="B685">
        <f t="shared" si="80"/>
        <v>2025</v>
      </c>
      <c r="C685">
        <f t="shared" si="81"/>
        <v>6</v>
      </c>
      <c r="D685" t="str">
        <f t="shared" si="82"/>
        <v>Junio</v>
      </c>
      <c r="E685" t="str">
        <f t="shared" si="83"/>
        <v>T2</v>
      </c>
      <c r="F685" t="s">
        <v>808</v>
      </c>
      <c r="G685" t="s">
        <v>54</v>
      </c>
      <c r="H685" t="s">
        <v>55</v>
      </c>
      <c r="I685" t="s">
        <v>56</v>
      </c>
      <c r="J685" t="s">
        <v>57</v>
      </c>
      <c r="K685" t="s">
        <v>58</v>
      </c>
      <c r="L685" t="s">
        <v>162</v>
      </c>
      <c r="M685" s="24">
        <v>8</v>
      </c>
      <c r="N685" s="25">
        <v>55327.46</v>
      </c>
      <c r="O685" s="25">
        <f t="shared" si="84"/>
        <v>442619.68</v>
      </c>
      <c r="P685" s="25">
        <v>40680.33</v>
      </c>
      <c r="Q685" s="25">
        <f t="shared" si="85"/>
        <v>325442.64</v>
      </c>
      <c r="R685" s="25">
        <f t="shared" si="86"/>
        <v>117177.03999999998</v>
      </c>
      <c r="S685" s="26">
        <f t="shared" si="87"/>
        <v>0.26473526888817955</v>
      </c>
    </row>
    <row r="686" spans="1:19" ht="15" x14ac:dyDescent="0.2">
      <c r="A686" s="23">
        <v>45833</v>
      </c>
      <c r="B686">
        <f t="shared" si="80"/>
        <v>2025</v>
      </c>
      <c r="C686">
        <f t="shared" si="81"/>
        <v>6</v>
      </c>
      <c r="D686" t="str">
        <f t="shared" si="82"/>
        <v>Junio</v>
      </c>
      <c r="E686" t="str">
        <f t="shared" si="83"/>
        <v>T2</v>
      </c>
      <c r="F686" t="s">
        <v>809</v>
      </c>
      <c r="G686" t="s">
        <v>105</v>
      </c>
      <c r="H686" t="s">
        <v>62</v>
      </c>
      <c r="I686" t="s">
        <v>106</v>
      </c>
      <c r="J686" t="s">
        <v>77</v>
      </c>
      <c r="K686" t="s">
        <v>78</v>
      </c>
      <c r="L686" t="s">
        <v>79</v>
      </c>
      <c r="M686" s="24">
        <v>437</v>
      </c>
      <c r="N686" s="25">
        <v>1869.31</v>
      </c>
      <c r="O686" s="25">
        <f t="shared" si="84"/>
        <v>816888.47</v>
      </c>
      <c r="P686" s="25">
        <v>1499.52</v>
      </c>
      <c r="Q686" s="25">
        <f t="shared" si="85"/>
        <v>655290.24</v>
      </c>
      <c r="R686" s="25">
        <f t="shared" si="86"/>
        <v>161598.22999999998</v>
      </c>
      <c r="S686" s="26">
        <f t="shared" si="87"/>
        <v>0.19782165611910277</v>
      </c>
    </row>
    <row r="687" spans="1:19" ht="15" x14ac:dyDescent="0.2">
      <c r="A687" s="23">
        <v>45833</v>
      </c>
      <c r="B687">
        <f t="shared" si="80"/>
        <v>2025</v>
      </c>
      <c r="C687">
        <f t="shared" si="81"/>
        <v>6</v>
      </c>
      <c r="D687" t="str">
        <f t="shared" si="82"/>
        <v>Junio</v>
      </c>
      <c r="E687" t="str">
        <f t="shared" si="83"/>
        <v>T2</v>
      </c>
      <c r="F687" t="s">
        <v>810</v>
      </c>
      <c r="G687" t="s">
        <v>105</v>
      </c>
      <c r="H687" t="s">
        <v>62</v>
      </c>
      <c r="I687" t="s">
        <v>106</v>
      </c>
      <c r="J687" t="s">
        <v>57</v>
      </c>
      <c r="K687" t="s">
        <v>58</v>
      </c>
      <c r="L687" t="s">
        <v>59</v>
      </c>
      <c r="M687" s="24">
        <v>35</v>
      </c>
      <c r="N687" s="25">
        <v>1805.04</v>
      </c>
      <c r="O687" s="25">
        <f t="shared" si="84"/>
        <v>63176.4</v>
      </c>
      <c r="P687" s="25">
        <v>1487.23</v>
      </c>
      <c r="Q687" s="25">
        <f t="shared" si="85"/>
        <v>52053.05</v>
      </c>
      <c r="R687" s="25">
        <f t="shared" si="86"/>
        <v>11123.349999999999</v>
      </c>
      <c r="S687" s="26">
        <f t="shared" si="87"/>
        <v>0.17606812037406372</v>
      </c>
    </row>
    <row r="688" spans="1:19" ht="15" x14ac:dyDescent="0.2">
      <c r="A688" s="23">
        <v>45833</v>
      </c>
      <c r="B688">
        <f t="shared" si="80"/>
        <v>2025</v>
      </c>
      <c r="C688">
        <f t="shared" si="81"/>
        <v>6</v>
      </c>
      <c r="D688" t="str">
        <f t="shared" si="82"/>
        <v>Junio</v>
      </c>
      <c r="E688" t="str">
        <f t="shared" si="83"/>
        <v>T2</v>
      </c>
      <c r="F688" t="s">
        <v>811</v>
      </c>
      <c r="G688" t="s">
        <v>114</v>
      </c>
      <c r="H688" t="s">
        <v>75</v>
      </c>
      <c r="I688" t="s">
        <v>115</v>
      </c>
      <c r="J688" t="s">
        <v>57</v>
      </c>
      <c r="K688" t="s">
        <v>81</v>
      </c>
      <c r="L688" t="s">
        <v>129</v>
      </c>
      <c r="M688" s="24">
        <v>4</v>
      </c>
      <c r="N688" s="25">
        <v>104949.18</v>
      </c>
      <c r="O688" s="25">
        <f t="shared" si="84"/>
        <v>419796.72</v>
      </c>
      <c r="P688" s="25">
        <v>71280.84</v>
      </c>
      <c r="Q688" s="25">
        <f t="shared" si="85"/>
        <v>285123.36</v>
      </c>
      <c r="R688" s="25">
        <f t="shared" si="86"/>
        <v>134673.35999999999</v>
      </c>
      <c r="S688" s="26">
        <f t="shared" si="87"/>
        <v>0.32080612730847441</v>
      </c>
    </row>
    <row r="689" spans="1:19" ht="15" x14ac:dyDescent="0.2">
      <c r="A689" s="23">
        <v>45833</v>
      </c>
      <c r="B689">
        <f t="shared" si="80"/>
        <v>2025</v>
      </c>
      <c r="C689">
        <f t="shared" si="81"/>
        <v>6</v>
      </c>
      <c r="D689" t="str">
        <f t="shared" si="82"/>
        <v>Junio</v>
      </c>
      <c r="E689" t="str">
        <f t="shared" si="83"/>
        <v>T2</v>
      </c>
      <c r="F689" t="s">
        <v>812</v>
      </c>
      <c r="G689" t="s">
        <v>74</v>
      </c>
      <c r="H689" t="s">
        <v>75</v>
      </c>
      <c r="I689" t="s">
        <v>76</v>
      </c>
      <c r="J689" t="s">
        <v>125</v>
      </c>
      <c r="K689" t="s">
        <v>138</v>
      </c>
      <c r="L689" t="s">
        <v>142</v>
      </c>
      <c r="M689" s="24">
        <v>8</v>
      </c>
      <c r="N689" s="25">
        <v>39214.239999999998</v>
      </c>
      <c r="O689" s="25">
        <f t="shared" si="84"/>
        <v>313713.91999999998</v>
      </c>
      <c r="P689" s="25">
        <v>26343.3</v>
      </c>
      <c r="Q689" s="25">
        <f t="shared" si="85"/>
        <v>210746.4</v>
      </c>
      <c r="R689" s="25">
        <f t="shared" si="86"/>
        <v>102967.51999999999</v>
      </c>
      <c r="S689" s="26">
        <f t="shared" si="87"/>
        <v>0.32822107479323837</v>
      </c>
    </row>
    <row r="690" spans="1:19" ht="15" x14ac:dyDescent="0.2">
      <c r="A690" s="23">
        <v>45834</v>
      </c>
      <c r="B690">
        <f t="shared" si="80"/>
        <v>2025</v>
      </c>
      <c r="C690">
        <f t="shared" si="81"/>
        <v>6</v>
      </c>
      <c r="D690" t="str">
        <f t="shared" si="82"/>
        <v>Junio</v>
      </c>
      <c r="E690" t="str">
        <f t="shared" si="83"/>
        <v>T2</v>
      </c>
      <c r="F690" t="s">
        <v>813</v>
      </c>
      <c r="G690" t="s">
        <v>61</v>
      </c>
      <c r="H690" t="s">
        <v>62</v>
      </c>
      <c r="I690" t="s">
        <v>63</v>
      </c>
      <c r="J690" t="s">
        <v>64</v>
      </c>
      <c r="K690" t="s">
        <v>65</v>
      </c>
      <c r="L690" t="s">
        <v>123</v>
      </c>
      <c r="M690" s="24">
        <v>120</v>
      </c>
      <c r="N690" s="25">
        <v>5762.22</v>
      </c>
      <c r="O690" s="25">
        <f t="shared" si="84"/>
        <v>691466.4</v>
      </c>
      <c r="P690" s="25">
        <v>4814.99</v>
      </c>
      <c r="Q690" s="25">
        <f t="shared" si="85"/>
        <v>577798.79999999993</v>
      </c>
      <c r="R690" s="25">
        <f t="shared" si="86"/>
        <v>113667.60000000009</v>
      </c>
      <c r="S690" s="26">
        <f t="shared" si="87"/>
        <v>0.16438629555969761</v>
      </c>
    </row>
    <row r="691" spans="1:19" ht="15" x14ac:dyDescent="0.2">
      <c r="A691" s="23">
        <v>45835</v>
      </c>
      <c r="B691">
        <f t="shared" si="80"/>
        <v>2025</v>
      </c>
      <c r="C691">
        <f t="shared" si="81"/>
        <v>6</v>
      </c>
      <c r="D691" t="str">
        <f t="shared" si="82"/>
        <v>Junio</v>
      </c>
      <c r="E691" t="str">
        <f t="shared" si="83"/>
        <v>T2</v>
      </c>
      <c r="F691" t="s">
        <v>814</v>
      </c>
      <c r="G691" t="s">
        <v>54</v>
      </c>
      <c r="H691" t="s">
        <v>55</v>
      </c>
      <c r="I691" t="s">
        <v>56</v>
      </c>
      <c r="J691" t="s">
        <v>70</v>
      </c>
      <c r="K691" t="s">
        <v>84</v>
      </c>
      <c r="L691" t="s">
        <v>147</v>
      </c>
      <c r="M691" s="24">
        <v>3</v>
      </c>
      <c r="N691" s="25">
        <v>56247.59</v>
      </c>
      <c r="O691" s="25">
        <f t="shared" si="84"/>
        <v>168742.77</v>
      </c>
      <c r="P691" s="25">
        <v>43262.58</v>
      </c>
      <c r="Q691" s="25">
        <f t="shared" si="85"/>
        <v>129787.74</v>
      </c>
      <c r="R691" s="25">
        <f t="shared" si="86"/>
        <v>38955.029999999984</v>
      </c>
      <c r="S691" s="26">
        <f t="shared" si="87"/>
        <v>0.2308545130555815</v>
      </c>
    </row>
    <row r="692" spans="1:19" ht="15" x14ac:dyDescent="0.2">
      <c r="A692" s="23">
        <v>45835</v>
      </c>
      <c r="B692">
        <f t="shared" si="80"/>
        <v>2025</v>
      </c>
      <c r="C692">
        <f t="shared" si="81"/>
        <v>6</v>
      </c>
      <c r="D692" t="str">
        <f t="shared" si="82"/>
        <v>Junio</v>
      </c>
      <c r="E692" t="str">
        <f t="shared" si="83"/>
        <v>T2</v>
      </c>
      <c r="F692" t="s">
        <v>815</v>
      </c>
      <c r="G692" t="s">
        <v>54</v>
      </c>
      <c r="H692" t="s">
        <v>55</v>
      </c>
      <c r="I692" t="s">
        <v>56</v>
      </c>
      <c r="J692" t="s">
        <v>70</v>
      </c>
      <c r="K692" t="s">
        <v>84</v>
      </c>
      <c r="L692" t="s">
        <v>85</v>
      </c>
      <c r="M692" s="24">
        <v>7</v>
      </c>
      <c r="N692" s="25">
        <v>56208.61</v>
      </c>
      <c r="O692" s="25">
        <f t="shared" si="84"/>
        <v>393460.27</v>
      </c>
      <c r="P692" s="25">
        <v>42494.239999999998</v>
      </c>
      <c r="Q692" s="25">
        <f t="shared" si="85"/>
        <v>297459.68</v>
      </c>
      <c r="R692" s="25">
        <f t="shared" si="86"/>
        <v>96000.590000000026</v>
      </c>
      <c r="S692" s="26">
        <f t="shared" si="87"/>
        <v>0.24399055589526236</v>
      </c>
    </row>
    <row r="693" spans="1:19" ht="15" x14ac:dyDescent="0.2">
      <c r="A693" s="23">
        <v>45835</v>
      </c>
      <c r="B693">
        <f t="shared" si="80"/>
        <v>2025</v>
      </c>
      <c r="C693">
        <f t="shared" si="81"/>
        <v>6</v>
      </c>
      <c r="D693" t="str">
        <f t="shared" si="82"/>
        <v>Junio</v>
      </c>
      <c r="E693" t="str">
        <f t="shared" si="83"/>
        <v>T2</v>
      </c>
      <c r="F693" t="s">
        <v>816</v>
      </c>
      <c r="G693" t="s">
        <v>54</v>
      </c>
      <c r="H693" t="s">
        <v>55</v>
      </c>
      <c r="I693" t="s">
        <v>56</v>
      </c>
      <c r="J693" t="s">
        <v>70</v>
      </c>
      <c r="K693" t="s">
        <v>71</v>
      </c>
      <c r="L693" t="s">
        <v>72</v>
      </c>
      <c r="M693" s="24">
        <v>1</v>
      </c>
      <c r="N693" s="25">
        <v>27729.19</v>
      </c>
      <c r="O693" s="25">
        <f t="shared" si="84"/>
        <v>27729.19</v>
      </c>
      <c r="P693" s="25">
        <v>21378.13</v>
      </c>
      <c r="Q693" s="25">
        <f t="shared" si="85"/>
        <v>21378.13</v>
      </c>
      <c r="R693" s="25">
        <f t="shared" si="86"/>
        <v>6351.0599999999977</v>
      </c>
      <c r="S693" s="26">
        <f t="shared" si="87"/>
        <v>0.22903878548201365</v>
      </c>
    </row>
    <row r="694" spans="1:19" ht="15" x14ac:dyDescent="0.2">
      <c r="A694" s="23">
        <v>45835</v>
      </c>
      <c r="B694">
        <f t="shared" si="80"/>
        <v>2025</v>
      </c>
      <c r="C694">
        <f t="shared" si="81"/>
        <v>6</v>
      </c>
      <c r="D694" t="str">
        <f t="shared" si="82"/>
        <v>Junio</v>
      </c>
      <c r="E694" t="str">
        <f t="shared" si="83"/>
        <v>T2</v>
      </c>
      <c r="F694" t="s">
        <v>817</v>
      </c>
      <c r="G694" t="s">
        <v>68</v>
      </c>
      <c r="H694" t="s">
        <v>62</v>
      </c>
      <c r="I694" t="s">
        <v>69</v>
      </c>
      <c r="J694" t="s">
        <v>57</v>
      </c>
      <c r="K694" t="s">
        <v>81</v>
      </c>
      <c r="L694" t="s">
        <v>82</v>
      </c>
      <c r="M694" s="24">
        <v>146</v>
      </c>
      <c r="N694" s="25">
        <v>3177.88</v>
      </c>
      <c r="O694" s="25">
        <f t="shared" si="84"/>
        <v>463970.48000000004</v>
      </c>
      <c r="P694" s="25">
        <v>2595.59</v>
      </c>
      <c r="Q694" s="25">
        <f t="shared" si="85"/>
        <v>378956.14</v>
      </c>
      <c r="R694" s="25">
        <f t="shared" si="86"/>
        <v>85014.340000000026</v>
      </c>
      <c r="S694" s="26">
        <f t="shared" si="87"/>
        <v>0.18323221770488507</v>
      </c>
    </row>
    <row r="695" spans="1:19" ht="15" x14ac:dyDescent="0.2">
      <c r="A695" s="23">
        <v>45835</v>
      </c>
      <c r="B695">
        <f t="shared" si="80"/>
        <v>2025</v>
      </c>
      <c r="C695">
        <f t="shared" si="81"/>
        <v>6</v>
      </c>
      <c r="D695" t="str">
        <f t="shared" si="82"/>
        <v>Junio</v>
      </c>
      <c r="E695" t="str">
        <f t="shared" si="83"/>
        <v>T2</v>
      </c>
      <c r="F695" t="s">
        <v>818</v>
      </c>
      <c r="G695" t="s">
        <v>68</v>
      </c>
      <c r="H695" t="s">
        <v>62</v>
      </c>
      <c r="I695" t="s">
        <v>69</v>
      </c>
      <c r="J695" t="s">
        <v>125</v>
      </c>
      <c r="K695" t="s">
        <v>138</v>
      </c>
      <c r="L695" t="s">
        <v>139</v>
      </c>
      <c r="M695" s="24">
        <v>210</v>
      </c>
      <c r="N695" s="25">
        <v>3204.79</v>
      </c>
      <c r="O695" s="25">
        <f t="shared" si="84"/>
        <v>673005.9</v>
      </c>
      <c r="P695" s="25">
        <v>2597.52</v>
      </c>
      <c r="Q695" s="25">
        <f t="shared" si="85"/>
        <v>545479.19999999995</v>
      </c>
      <c r="R695" s="25">
        <f t="shared" si="86"/>
        <v>127526.70000000007</v>
      </c>
      <c r="S695" s="26">
        <f t="shared" si="87"/>
        <v>0.18948823479853605</v>
      </c>
    </row>
    <row r="696" spans="1:19" ht="15" x14ac:dyDescent="0.2">
      <c r="A696" s="23">
        <v>45835</v>
      </c>
      <c r="B696">
        <f t="shared" si="80"/>
        <v>2025</v>
      </c>
      <c r="C696">
        <f t="shared" si="81"/>
        <v>6</v>
      </c>
      <c r="D696" t="str">
        <f t="shared" si="82"/>
        <v>Junio</v>
      </c>
      <c r="E696" t="str">
        <f t="shared" si="83"/>
        <v>T2</v>
      </c>
      <c r="F696" t="s">
        <v>819</v>
      </c>
      <c r="G696" t="s">
        <v>74</v>
      </c>
      <c r="H696" t="s">
        <v>75</v>
      </c>
      <c r="I696" t="s">
        <v>76</v>
      </c>
      <c r="J696" t="s">
        <v>77</v>
      </c>
      <c r="K696" t="s">
        <v>107</v>
      </c>
      <c r="L696" t="s">
        <v>108</v>
      </c>
      <c r="M696" s="24">
        <v>19</v>
      </c>
      <c r="N696" s="25">
        <v>43467.4</v>
      </c>
      <c r="O696" s="25">
        <f t="shared" si="84"/>
        <v>825880.6</v>
      </c>
      <c r="P696" s="25">
        <v>28211.46</v>
      </c>
      <c r="Q696" s="25">
        <f t="shared" si="85"/>
        <v>536017.74</v>
      </c>
      <c r="R696" s="25">
        <f t="shared" si="86"/>
        <v>289862.86</v>
      </c>
      <c r="S696" s="26">
        <f t="shared" si="87"/>
        <v>0.35097429337848596</v>
      </c>
    </row>
    <row r="697" spans="1:19" ht="15" x14ac:dyDescent="0.2">
      <c r="A697" s="23">
        <v>45835</v>
      </c>
      <c r="B697">
        <f t="shared" si="80"/>
        <v>2025</v>
      </c>
      <c r="C697">
        <f t="shared" si="81"/>
        <v>6</v>
      </c>
      <c r="D697" t="str">
        <f t="shared" si="82"/>
        <v>Junio</v>
      </c>
      <c r="E697" t="str">
        <f t="shared" si="83"/>
        <v>T2</v>
      </c>
      <c r="F697" t="s">
        <v>820</v>
      </c>
      <c r="G697" t="s">
        <v>149</v>
      </c>
      <c r="H697" t="s">
        <v>93</v>
      </c>
      <c r="I697" t="s">
        <v>150</v>
      </c>
      <c r="J697" t="s">
        <v>70</v>
      </c>
      <c r="K697" t="s">
        <v>84</v>
      </c>
      <c r="L697" t="s">
        <v>147</v>
      </c>
      <c r="M697" s="24">
        <v>4</v>
      </c>
      <c r="N697" s="25">
        <v>44983.73</v>
      </c>
      <c r="O697" s="25">
        <f t="shared" si="84"/>
        <v>179934.92</v>
      </c>
      <c r="P697" s="25">
        <v>28523.99</v>
      </c>
      <c r="Q697" s="25">
        <f t="shared" si="85"/>
        <v>114095.96</v>
      </c>
      <c r="R697" s="25">
        <f t="shared" si="86"/>
        <v>65838.960000000006</v>
      </c>
      <c r="S697" s="26">
        <f t="shared" si="87"/>
        <v>0.36590429473056146</v>
      </c>
    </row>
    <row r="698" spans="1:19" ht="15" x14ac:dyDescent="0.2">
      <c r="A698" s="23">
        <v>45836</v>
      </c>
      <c r="B698">
        <f t="shared" si="80"/>
        <v>2025</v>
      </c>
      <c r="C698">
        <f t="shared" si="81"/>
        <v>6</v>
      </c>
      <c r="D698" t="str">
        <f t="shared" si="82"/>
        <v>Junio</v>
      </c>
      <c r="E698" t="str">
        <f t="shared" si="83"/>
        <v>T2</v>
      </c>
      <c r="F698" t="s">
        <v>821</v>
      </c>
      <c r="G698" t="s">
        <v>54</v>
      </c>
      <c r="H698" t="s">
        <v>55</v>
      </c>
      <c r="I698" t="s">
        <v>56</v>
      </c>
      <c r="J698" t="s">
        <v>64</v>
      </c>
      <c r="K698" t="s">
        <v>96</v>
      </c>
      <c r="L698" t="s">
        <v>97</v>
      </c>
      <c r="M698" s="24">
        <v>35</v>
      </c>
      <c r="N698" s="25">
        <v>56754.89</v>
      </c>
      <c r="O698" s="25">
        <f t="shared" si="84"/>
        <v>1986421.15</v>
      </c>
      <c r="P698" s="25">
        <v>42287.02</v>
      </c>
      <c r="Q698" s="25">
        <f t="shared" si="85"/>
        <v>1480045.7</v>
      </c>
      <c r="R698" s="25">
        <f t="shared" si="86"/>
        <v>506375.44999999995</v>
      </c>
      <c r="S698" s="26">
        <f t="shared" si="87"/>
        <v>0.25491847486621855</v>
      </c>
    </row>
    <row r="699" spans="1:19" ht="15" x14ac:dyDescent="0.2">
      <c r="A699" s="23">
        <v>45836</v>
      </c>
      <c r="B699">
        <f t="shared" si="80"/>
        <v>2025</v>
      </c>
      <c r="C699">
        <f t="shared" si="81"/>
        <v>6</v>
      </c>
      <c r="D699" t="str">
        <f t="shared" si="82"/>
        <v>Junio</v>
      </c>
      <c r="E699" t="str">
        <f t="shared" si="83"/>
        <v>T2</v>
      </c>
      <c r="F699" t="s">
        <v>822</v>
      </c>
      <c r="G699" t="s">
        <v>61</v>
      </c>
      <c r="H699" t="s">
        <v>62</v>
      </c>
      <c r="I699" t="s">
        <v>63</v>
      </c>
      <c r="J699" t="s">
        <v>125</v>
      </c>
      <c r="K699" t="s">
        <v>126</v>
      </c>
      <c r="L699" t="s">
        <v>131</v>
      </c>
      <c r="M699" s="24">
        <v>28</v>
      </c>
      <c r="N699" s="25">
        <v>5944</v>
      </c>
      <c r="O699" s="25">
        <f t="shared" si="84"/>
        <v>166432</v>
      </c>
      <c r="P699" s="25">
        <v>4867.34</v>
      </c>
      <c r="Q699" s="25">
        <f t="shared" si="85"/>
        <v>136285.52000000002</v>
      </c>
      <c r="R699" s="25">
        <f t="shared" si="86"/>
        <v>30146.479999999981</v>
      </c>
      <c r="S699" s="26">
        <f t="shared" si="87"/>
        <v>0.18113391655450864</v>
      </c>
    </row>
    <row r="700" spans="1:19" ht="15" x14ac:dyDescent="0.2">
      <c r="A700" s="23">
        <v>45836</v>
      </c>
      <c r="B700">
        <f t="shared" si="80"/>
        <v>2025</v>
      </c>
      <c r="C700">
        <f t="shared" si="81"/>
        <v>6</v>
      </c>
      <c r="D700" t="str">
        <f t="shared" si="82"/>
        <v>Junio</v>
      </c>
      <c r="E700" t="str">
        <f t="shared" si="83"/>
        <v>T2</v>
      </c>
      <c r="F700" t="s">
        <v>823</v>
      </c>
      <c r="G700" t="s">
        <v>206</v>
      </c>
      <c r="H700" t="s">
        <v>93</v>
      </c>
      <c r="I700" t="s">
        <v>207</v>
      </c>
      <c r="J700" t="s">
        <v>57</v>
      </c>
      <c r="K700" t="s">
        <v>81</v>
      </c>
      <c r="L700" t="s">
        <v>82</v>
      </c>
      <c r="M700" s="24">
        <v>2</v>
      </c>
      <c r="N700" s="25">
        <v>132333.88</v>
      </c>
      <c r="O700" s="25">
        <f t="shared" si="84"/>
        <v>264667.76</v>
      </c>
      <c r="P700" s="25">
        <v>77871.97</v>
      </c>
      <c r="Q700" s="25">
        <f t="shared" si="85"/>
        <v>155743.94</v>
      </c>
      <c r="R700" s="25">
        <f t="shared" si="86"/>
        <v>108923.82</v>
      </c>
      <c r="S700" s="26">
        <f t="shared" si="87"/>
        <v>0.41154925707611689</v>
      </c>
    </row>
    <row r="701" spans="1:19" ht="15" x14ac:dyDescent="0.2">
      <c r="A701" s="23">
        <v>45836</v>
      </c>
      <c r="B701">
        <f t="shared" si="80"/>
        <v>2025</v>
      </c>
      <c r="C701">
        <f t="shared" si="81"/>
        <v>6</v>
      </c>
      <c r="D701" t="str">
        <f t="shared" si="82"/>
        <v>Junio</v>
      </c>
      <c r="E701" t="str">
        <f t="shared" si="83"/>
        <v>T2</v>
      </c>
      <c r="F701" t="s">
        <v>824</v>
      </c>
      <c r="G701" t="s">
        <v>149</v>
      </c>
      <c r="H701" t="s">
        <v>93</v>
      </c>
      <c r="I701" t="s">
        <v>150</v>
      </c>
      <c r="J701" t="s">
        <v>57</v>
      </c>
      <c r="K701" t="s">
        <v>81</v>
      </c>
      <c r="L701" t="s">
        <v>82</v>
      </c>
      <c r="M701" s="24">
        <v>5</v>
      </c>
      <c r="N701" s="25">
        <v>46789.78</v>
      </c>
      <c r="O701" s="25">
        <f t="shared" si="84"/>
        <v>233948.9</v>
      </c>
      <c r="P701" s="25">
        <v>26901.49</v>
      </c>
      <c r="Q701" s="25">
        <f t="shared" si="85"/>
        <v>134507.45000000001</v>
      </c>
      <c r="R701" s="25">
        <f t="shared" si="86"/>
        <v>99441.449999999983</v>
      </c>
      <c r="S701" s="26">
        <f t="shared" si="87"/>
        <v>0.42505628365852538</v>
      </c>
    </row>
    <row r="702" spans="1:19" ht="15" x14ac:dyDescent="0.2">
      <c r="A702" s="23">
        <v>45836</v>
      </c>
      <c r="B702">
        <f t="shared" si="80"/>
        <v>2025</v>
      </c>
      <c r="C702">
        <f t="shared" si="81"/>
        <v>6</v>
      </c>
      <c r="D702" t="str">
        <f t="shared" si="82"/>
        <v>Junio</v>
      </c>
      <c r="E702" t="str">
        <f t="shared" si="83"/>
        <v>T2</v>
      </c>
      <c r="F702" t="s">
        <v>825</v>
      </c>
      <c r="G702" t="s">
        <v>92</v>
      </c>
      <c r="H702" t="s">
        <v>93</v>
      </c>
      <c r="I702" t="s">
        <v>94</v>
      </c>
      <c r="J702" t="s">
        <v>125</v>
      </c>
      <c r="K702" t="s">
        <v>126</v>
      </c>
      <c r="L702" t="s">
        <v>127</v>
      </c>
      <c r="M702" s="24">
        <v>3</v>
      </c>
      <c r="N702" s="25">
        <v>19661.349999999999</v>
      </c>
      <c r="O702" s="25">
        <f t="shared" si="84"/>
        <v>58984.049999999996</v>
      </c>
      <c r="P702" s="25">
        <v>11875.33</v>
      </c>
      <c r="Q702" s="25">
        <f t="shared" si="85"/>
        <v>35625.99</v>
      </c>
      <c r="R702" s="25">
        <f t="shared" si="86"/>
        <v>23358.059999999998</v>
      </c>
      <c r="S702" s="26">
        <f t="shared" si="87"/>
        <v>0.39600637799540722</v>
      </c>
    </row>
    <row r="703" spans="1:19" ht="15" x14ac:dyDescent="0.2">
      <c r="A703" s="23">
        <v>45839</v>
      </c>
      <c r="B703">
        <f t="shared" si="80"/>
        <v>2025</v>
      </c>
      <c r="C703">
        <f t="shared" si="81"/>
        <v>7</v>
      </c>
      <c r="D703" t="str">
        <f t="shared" si="82"/>
        <v>Julio</v>
      </c>
      <c r="E703" t="str">
        <f t="shared" si="83"/>
        <v>T3</v>
      </c>
      <c r="F703" t="s">
        <v>826</v>
      </c>
      <c r="G703" t="s">
        <v>87</v>
      </c>
      <c r="H703" t="s">
        <v>88</v>
      </c>
      <c r="I703" t="s">
        <v>89</v>
      </c>
      <c r="J703" t="s">
        <v>57</v>
      </c>
      <c r="K703" t="s">
        <v>58</v>
      </c>
      <c r="L703" t="s">
        <v>59</v>
      </c>
      <c r="M703" s="24">
        <v>5</v>
      </c>
      <c r="N703" s="25">
        <v>61006.9</v>
      </c>
      <c r="O703" s="25">
        <f t="shared" si="84"/>
        <v>305034.5</v>
      </c>
      <c r="P703" s="25">
        <v>33693.64</v>
      </c>
      <c r="Q703" s="25">
        <f t="shared" si="85"/>
        <v>168468.2</v>
      </c>
      <c r="R703" s="25">
        <f t="shared" si="86"/>
        <v>136566.29999999999</v>
      </c>
      <c r="S703" s="26">
        <f t="shared" si="87"/>
        <v>0.44770771830727341</v>
      </c>
    </row>
    <row r="704" spans="1:19" ht="15" x14ac:dyDescent="0.2">
      <c r="A704" s="23">
        <v>45839</v>
      </c>
      <c r="B704">
        <f t="shared" si="80"/>
        <v>2025</v>
      </c>
      <c r="C704">
        <f t="shared" si="81"/>
        <v>7</v>
      </c>
      <c r="D704" t="str">
        <f t="shared" si="82"/>
        <v>Julio</v>
      </c>
      <c r="E704" t="str">
        <f t="shared" si="83"/>
        <v>T3</v>
      </c>
      <c r="F704" t="s">
        <v>827</v>
      </c>
      <c r="G704" t="s">
        <v>87</v>
      </c>
      <c r="H704" t="s">
        <v>88</v>
      </c>
      <c r="I704" t="s">
        <v>89</v>
      </c>
      <c r="J704" t="s">
        <v>125</v>
      </c>
      <c r="K704" t="s">
        <v>126</v>
      </c>
      <c r="L704" t="s">
        <v>127</v>
      </c>
      <c r="M704" s="24">
        <v>3</v>
      </c>
      <c r="N704" s="25">
        <v>49510.53</v>
      </c>
      <c r="O704" s="25">
        <f t="shared" si="84"/>
        <v>148531.59</v>
      </c>
      <c r="P704" s="25">
        <v>27579.75</v>
      </c>
      <c r="Q704" s="25">
        <f t="shared" si="85"/>
        <v>82739.25</v>
      </c>
      <c r="R704" s="25">
        <f t="shared" si="86"/>
        <v>65792.34</v>
      </c>
      <c r="S704" s="26">
        <f t="shared" si="87"/>
        <v>0.442951832670747</v>
      </c>
    </row>
    <row r="705" spans="1:19" ht="15" x14ac:dyDescent="0.2">
      <c r="A705" s="23">
        <v>45840</v>
      </c>
      <c r="B705">
        <f t="shared" si="80"/>
        <v>2025</v>
      </c>
      <c r="C705">
        <f t="shared" si="81"/>
        <v>7</v>
      </c>
      <c r="D705" t="str">
        <f t="shared" si="82"/>
        <v>Julio</v>
      </c>
      <c r="E705" t="str">
        <f t="shared" si="83"/>
        <v>T3</v>
      </c>
      <c r="F705" t="s">
        <v>828</v>
      </c>
      <c r="G705" t="s">
        <v>105</v>
      </c>
      <c r="H705" t="s">
        <v>62</v>
      </c>
      <c r="I705" t="s">
        <v>106</v>
      </c>
      <c r="J705" t="s">
        <v>77</v>
      </c>
      <c r="K705" t="s">
        <v>107</v>
      </c>
      <c r="L705" t="s">
        <v>112</v>
      </c>
      <c r="M705" s="24">
        <v>312</v>
      </c>
      <c r="N705" s="25">
        <v>1929.56</v>
      </c>
      <c r="O705" s="25">
        <f t="shared" si="84"/>
        <v>602022.72</v>
      </c>
      <c r="P705" s="25">
        <v>1499.05</v>
      </c>
      <c r="Q705" s="25">
        <f t="shared" si="85"/>
        <v>467703.6</v>
      </c>
      <c r="R705" s="25">
        <f t="shared" si="86"/>
        <v>134319.12</v>
      </c>
      <c r="S705" s="26">
        <f t="shared" si="87"/>
        <v>0.22311304131511847</v>
      </c>
    </row>
    <row r="706" spans="1:19" ht="15" x14ac:dyDescent="0.2">
      <c r="A706" s="23">
        <v>45840</v>
      </c>
      <c r="B706">
        <f t="shared" ref="B706:B769" si="88">YEAR($A706)</f>
        <v>2025</v>
      </c>
      <c r="C706">
        <f t="shared" ref="C706:C769" si="89">MONTH($A706)</f>
        <v>7</v>
      </c>
      <c r="D706" t="str">
        <f t="shared" ref="D706:D769" si="90">INDEX(lst_Meses,MONTH($A706))</f>
        <v>Julio</v>
      </c>
      <c r="E706" t="str">
        <f t="shared" ref="E706:E769" si="91">"T"&amp;ROUNDUP(MONTH($A706)/3,0)</f>
        <v>T3</v>
      </c>
      <c r="F706" t="s">
        <v>829</v>
      </c>
      <c r="G706" t="s">
        <v>68</v>
      </c>
      <c r="H706" t="s">
        <v>62</v>
      </c>
      <c r="I706" t="s">
        <v>69</v>
      </c>
      <c r="J706" t="s">
        <v>70</v>
      </c>
      <c r="K706" t="s">
        <v>84</v>
      </c>
      <c r="L706" t="s">
        <v>85</v>
      </c>
      <c r="M706" s="24">
        <v>4</v>
      </c>
      <c r="N706" s="25">
        <v>3297.75</v>
      </c>
      <c r="O706" s="25">
        <f t="shared" ref="O706:O769" si="92">$M706*$N706</f>
        <v>13191</v>
      </c>
      <c r="P706" s="25">
        <v>2803.99</v>
      </c>
      <c r="Q706" s="25">
        <f t="shared" ref="Q706:Q769" si="93">$M706*$P706</f>
        <v>11215.96</v>
      </c>
      <c r="R706" s="25">
        <f t="shared" ref="R706:R769" si="94">$O706-$Q706</f>
        <v>1975.0400000000009</v>
      </c>
      <c r="S706" s="26">
        <f t="shared" ref="S706:S769" si="95">IFERROR($R706/$O706,0)</f>
        <v>0.14972632855734977</v>
      </c>
    </row>
    <row r="707" spans="1:19" ht="15" x14ac:dyDescent="0.2">
      <c r="A707" s="23">
        <v>45840</v>
      </c>
      <c r="B707">
        <f t="shared" si="88"/>
        <v>2025</v>
      </c>
      <c r="C707">
        <f t="shared" si="89"/>
        <v>7</v>
      </c>
      <c r="D707" t="str">
        <f t="shared" si="90"/>
        <v>Julio</v>
      </c>
      <c r="E707" t="str">
        <f t="shared" si="91"/>
        <v>T3</v>
      </c>
      <c r="F707" t="s">
        <v>830</v>
      </c>
      <c r="G707" t="s">
        <v>188</v>
      </c>
      <c r="H707" t="s">
        <v>88</v>
      </c>
      <c r="I707" t="s">
        <v>189</v>
      </c>
      <c r="J707" t="s">
        <v>125</v>
      </c>
      <c r="K707" t="s">
        <v>138</v>
      </c>
      <c r="L707" t="s">
        <v>142</v>
      </c>
      <c r="M707" s="24">
        <v>7</v>
      </c>
      <c r="N707" s="25">
        <v>81489.350000000006</v>
      </c>
      <c r="O707" s="25">
        <f t="shared" si="92"/>
        <v>570425.45000000007</v>
      </c>
      <c r="P707" s="25">
        <v>43296.91</v>
      </c>
      <c r="Q707" s="25">
        <f t="shared" si="93"/>
        <v>303078.37</v>
      </c>
      <c r="R707" s="25">
        <f t="shared" si="94"/>
        <v>267347.08000000007</v>
      </c>
      <c r="S707" s="26">
        <f t="shared" si="95"/>
        <v>0.46868014041098627</v>
      </c>
    </row>
    <row r="708" spans="1:19" ht="15" x14ac:dyDescent="0.2">
      <c r="A708" s="23">
        <v>45840</v>
      </c>
      <c r="B708">
        <f t="shared" si="88"/>
        <v>2025</v>
      </c>
      <c r="C708">
        <f t="shared" si="89"/>
        <v>7</v>
      </c>
      <c r="D708" t="str">
        <f t="shared" si="90"/>
        <v>Julio</v>
      </c>
      <c r="E708" t="str">
        <f t="shared" si="91"/>
        <v>T3</v>
      </c>
      <c r="F708" t="s">
        <v>831</v>
      </c>
      <c r="G708" t="s">
        <v>92</v>
      </c>
      <c r="H708" t="s">
        <v>93</v>
      </c>
      <c r="I708" t="s">
        <v>94</v>
      </c>
      <c r="J708" t="s">
        <v>70</v>
      </c>
      <c r="K708" t="s">
        <v>84</v>
      </c>
      <c r="L708" t="s">
        <v>85</v>
      </c>
      <c r="M708" s="24">
        <v>3</v>
      </c>
      <c r="N708" s="25">
        <v>20962.150000000001</v>
      </c>
      <c r="O708" s="25">
        <f t="shared" si="92"/>
        <v>62886.450000000004</v>
      </c>
      <c r="P708" s="25">
        <v>12790.17</v>
      </c>
      <c r="Q708" s="25">
        <f t="shared" si="93"/>
        <v>38370.51</v>
      </c>
      <c r="R708" s="25">
        <f t="shared" si="94"/>
        <v>24515.940000000002</v>
      </c>
      <c r="S708" s="26">
        <f t="shared" si="95"/>
        <v>0.38984455315890787</v>
      </c>
    </row>
    <row r="709" spans="1:19" ht="15" x14ac:dyDescent="0.2">
      <c r="A709" s="23">
        <v>45841</v>
      </c>
      <c r="B709">
        <f t="shared" si="88"/>
        <v>2025</v>
      </c>
      <c r="C709">
        <f t="shared" si="89"/>
        <v>7</v>
      </c>
      <c r="D709" t="str">
        <f t="shared" si="90"/>
        <v>Julio</v>
      </c>
      <c r="E709" t="str">
        <f t="shared" si="91"/>
        <v>T3</v>
      </c>
      <c r="F709" t="s">
        <v>832</v>
      </c>
      <c r="G709" t="s">
        <v>183</v>
      </c>
      <c r="H709" t="s">
        <v>55</v>
      </c>
      <c r="I709" t="s">
        <v>184</v>
      </c>
      <c r="J709" t="s">
        <v>57</v>
      </c>
      <c r="K709" t="s">
        <v>81</v>
      </c>
      <c r="L709" t="s">
        <v>129</v>
      </c>
      <c r="M709" s="24">
        <v>2</v>
      </c>
      <c r="N709" s="25">
        <v>439438.05</v>
      </c>
      <c r="O709" s="25">
        <f t="shared" si="92"/>
        <v>878876.1</v>
      </c>
      <c r="P709" s="25">
        <v>320551.03999999998</v>
      </c>
      <c r="Q709" s="25">
        <f t="shared" si="93"/>
        <v>641102.07999999996</v>
      </c>
      <c r="R709" s="25">
        <f t="shared" si="94"/>
        <v>237774.02000000002</v>
      </c>
      <c r="S709" s="26">
        <f t="shared" si="95"/>
        <v>0.27054327680545648</v>
      </c>
    </row>
    <row r="710" spans="1:19" ht="15" x14ac:dyDescent="0.2">
      <c r="A710" s="23">
        <v>45841</v>
      </c>
      <c r="B710">
        <f t="shared" si="88"/>
        <v>2025</v>
      </c>
      <c r="C710">
        <f t="shared" si="89"/>
        <v>7</v>
      </c>
      <c r="D710" t="str">
        <f t="shared" si="90"/>
        <v>Julio</v>
      </c>
      <c r="E710" t="str">
        <f t="shared" si="91"/>
        <v>T3</v>
      </c>
      <c r="F710" t="s">
        <v>833</v>
      </c>
      <c r="G710" t="s">
        <v>188</v>
      </c>
      <c r="H710" t="s">
        <v>88</v>
      </c>
      <c r="I710" t="s">
        <v>189</v>
      </c>
      <c r="J710" t="s">
        <v>125</v>
      </c>
      <c r="K710" t="s">
        <v>138</v>
      </c>
      <c r="L710" t="s">
        <v>142</v>
      </c>
      <c r="M710" s="24">
        <v>4</v>
      </c>
      <c r="N710" s="25">
        <v>76600.539999999994</v>
      </c>
      <c r="O710" s="25">
        <f t="shared" si="92"/>
        <v>306402.15999999997</v>
      </c>
      <c r="P710" s="25">
        <v>41636.129999999997</v>
      </c>
      <c r="Q710" s="25">
        <f t="shared" si="93"/>
        <v>166544.51999999999</v>
      </c>
      <c r="R710" s="25">
        <f t="shared" si="94"/>
        <v>139857.63999999998</v>
      </c>
      <c r="S710" s="26">
        <f t="shared" si="95"/>
        <v>0.45645122083995754</v>
      </c>
    </row>
    <row r="711" spans="1:19" ht="15" x14ac:dyDescent="0.2">
      <c r="A711" s="23">
        <v>45841</v>
      </c>
      <c r="B711">
        <f t="shared" si="88"/>
        <v>2025</v>
      </c>
      <c r="C711">
        <f t="shared" si="89"/>
        <v>7</v>
      </c>
      <c r="D711" t="str">
        <f t="shared" si="90"/>
        <v>Julio</v>
      </c>
      <c r="E711" t="str">
        <f t="shared" si="91"/>
        <v>T3</v>
      </c>
      <c r="F711" t="s">
        <v>834</v>
      </c>
      <c r="G711" t="s">
        <v>92</v>
      </c>
      <c r="H711" t="s">
        <v>93</v>
      </c>
      <c r="I711" t="s">
        <v>94</v>
      </c>
      <c r="J711" t="s">
        <v>125</v>
      </c>
      <c r="K711" t="s">
        <v>138</v>
      </c>
      <c r="L711" t="s">
        <v>139</v>
      </c>
      <c r="M711" s="24">
        <v>7</v>
      </c>
      <c r="N711" s="25">
        <v>19723.080000000002</v>
      </c>
      <c r="O711" s="25">
        <f t="shared" si="92"/>
        <v>138061.56</v>
      </c>
      <c r="P711" s="25">
        <v>11388.24</v>
      </c>
      <c r="Q711" s="25">
        <f t="shared" si="93"/>
        <v>79717.679999999993</v>
      </c>
      <c r="R711" s="25">
        <f t="shared" si="94"/>
        <v>58343.880000000005</v>
      </c>
      <c r="S711" s="26">
        <f t="shared" si="95"/>
        <v>0.42259322580448899</v>
      </c>
    </row>
    <row r="712" spans="1:19" ht="15" x14ac:dyDescent="0.2">
      <c r="A712" s="23">
        <v>45841</v>
      </c>
      <c r="B712">
        <f t="shared" si="88"/>
        <v>2025</v>
      </c>
      <c r="C712">
        <f t="shared" si="89"/>
        <v>7</v>
      </c>
      <c r="D712" t="str">
        <f t="shared" si="90"/>
        <v>Julio</v>
      </c>
      <c r="E712" t="str">
        <f t="shared" si="91"/>
        <v>T3</v>
      </c>
      <c r="F712" t="s">
        <v>835</v>
      </c>
      <c r="G712" t="s">
        <v>92</v>
      </c>
      <c r="H712" t="s">
        <v>93</v>
      </c>
      <c r="I712" t="s">
        <v>94</v>
      </c>
      <c r="J712" t="s">
        <v>125</v>
      </c>
      <c r="K712" t="s">
        <v>126</v>
      </c>
      <c r="L712" t="s">
        <v>127</v>
      </c>
      <c r="M712" s="24">
        <v>4</v>
      </c>
      <c r="N712" s="25">
        <v>22232.57</v>
      </c>
      <c r="O712" s="25">
        <f t="shared" si="92"/>
        <v>88930.28</v>
      </c>
      <c r="P712" s="25">
        <v>13076.62</v>
      </c>
      <c r="Q712" s="25">
        <f t="shared" si="93"/>
        <v>52306.48</v>
      </c>
      <c r="R712" s="25">
        <f t="shared" si="94"/>
        <v>36623.799999999996</v>
      </c>
      <c r="S712" s="26">
        <f t="shared" si="95"/>
        <v>0.41182598323090847</v>
      </c>
    </row>
    <row r="713" spans="1:19" ht="15" x14ac:dyDescent="0.2">
      <c r="A713" s="23">
        <v>45842</v>
      </c>
      <c r="B713">
        <f t="shared" si="88"/>
        <v>2025</v>
      </c>
      <c r="C713">
        <f t="shared" si="89"/>
        <v>7</v>
      </c>
      <c r="D713" t="str">
        <f t="shared" si="90"/>
        <v>Julio</v>
      </c>
      <c r="E713" t="str">
        <f t="shared" si="91"/>
        <v>T3</v>
      </c>
      <c r="F713" t="s">
        <v>836</v>
      </c>
      <c r="G713" t="s">
        <v>54</v>
      </c>
      <c r="H713" t="s">
        <v>55</v>
      </c>
      <c r="I713" t="s">
        <v>56</v>
      </c>
      <c r="J713" t="s">
        <v>77</v>
      </c>
      <c r="K713" t="s">
        <v>78</v>
      </c>
      <c r="L713" t="s">
        <v>117</v>
      </c>
      <c r="M713" s="24">
        <v>7</v>
      </c>
      <c r="N713" s="25">
        <v>56593.05</v>
      </c>
      <c r="O713" s="25">
        <f t="shared" si="92"/>
        <v>396151.35000000003</v>
      </c>
      <c r="P713" s="25">
        <v>40296.9</v>
      </c>
      <c r="Q713" s="25">
        <f t="shared" si="93"/>
        <v>282078.3</v>
      </c>
      <c r="R713" s="25">
        <f t="shared" si="94"/>
        <v>114073.05000000005</v>
      </c>
      <c r="S713" s="26">
        <f t="shared" si="95"/>
        <v>0.28795320273425812</v>
      </c>
    </row>
    <row r="714" spans="1:19" ht="15" x14ac:dyDescent="0.2">
      <c r="A714" s="23">
        <v>45843</v>
      </c>
      <c r="B714">
        <f t="shared" si="88"/>
        <v>2025</v>
      </c>
      <c r="C714">
        <f t="shared" si="89"/>
        <v>7</v>
      </c>
      <c r="D714" t="str">
        <f t="shared" si="90"/>
        <v>Julio</v>
      </c>
      <c r="E714" t="str">
        <f t="shared" si="91"/>
        <v>T3</v>
      </c>
      <c r="F714" t="s">
        <v>837</v>
      </c>
      <c r="G714" t="s">
        <v>105</v>
      </c>
      <c r="H714" t="s">
        <v>62</v>
      </c>
      <c r="I714" t="s">
        <v>106</v>
      </c>
      <c r="J714" t="s">
        <v>77</v>
      </c>
      <c r="K714" t="s">
        <v>78</v>
      </c>
      <c r="L714" t="s">
        <v>79</v>
      </c>
      <c r="M714" s="24">
        <v>446</v>
      </c>
      <c r="N714" s="25">
        <v>1861.76</v>
      </c>
      <c r="O714" s="25">
        <f t="shared" si="92"/>
        <v>830344.96</v>
      </c>
      <c r="P714" s="25">
        <v>1500.16</v>
      </c>
      <c r="Q714" s="25">
        <f t="shared" si="93"/>
        <v>669071.35999999999</v>
      </c>
      <c r="R714" s="25">
        <f t="shared" si="94"/>
        <v>161273.59999999998</v>
      </c>
      <c r="S714" s="26">
        <f t="shared" si="95"/>
        <v>0.19422481952561016</v>
      </c>
    </row>
    <row r="715" spans="1:19" ht="15" x14ac:dyDescent="0.2">
      <c r="A715" s="23">
        <v>45843</v>
      </c>
      <c r="B715">
        <f t="shared" si="88"/>
        <v>2025</v>
      </c>
      <c r="C715">
        <f t="shared" si="89"/>
        <v>7</v>
      </c>
      <c r="D715" t="str">
        <f t="shared" si="90"/>
        <v>Julio</v>
      </c>
      <c r="E715" t="str">
        <f t="shared" si="91"/>
        <v>T3</v>
      </c>
      <c r="F715" t="s">
        <v>838</v>
      </c>
      <c r="G715" t="s">
        <v>74</v>
      </c>
      <c r="H715" t="s">
        <v>75</v>
      </c>
      <c r="I715" t="s">
        <v>76</v>
      </c>
      <c r="J715" t="s">
        <v>70</v>
      </c>
      <c r="K715" t="s">
        <v>84</v>
      </c>
      <c r="L715" t="s">
        <v>85</v>
      </c>
      <c r="M715" s="24">
        <v>5</v>
      </c>
      <c r="N715" s="25">
        <v>40550.71</v>
      </c>
      <c r="O715" s="25">
        <f t="shared" si="92"/>
        <v>202753.55</v>
      </c>
      <c r="P715" s="25">
        <v>29036.15</v>
      </c>
      <c r="Q715" s="25">
        <f t="shared" si="93"/>
        <v>145180.75</v>
      </c>
      <c r="R715" s="25">
        <f t="shared" si="94"/>
        <v>57572.799999999988</v>
      </c>
      <c r="S715" s="26">
        <f t="shared" si="95"/>
        <v>0.28395458427238385</v>
      </c>
    </row>
    <row r="716" spans="1:19" ht="15" x14ac:dyDescent="0.2">
      <c r="A716" s="23">
        <v>45843</v>
      </c>
      <c r="B716">
        <f t="shared" si="88"/>
        <v>2025</v>
      </c>
      <c r="C716">
        <f t="shared" si="89"/>
        <v>7</v>
      </c>
      <c r="D716" t="str">
        <f t="shared" si="90"/>
        <v>Julio</v>
      </c>
      <c r="E716" t="str">
        <f t="shared" si="91"/>
        <v>T3</v>
      </c>
      <c r="F716" t="s">
        <v>839</v>
      </c>
      <c r="G716" t="s">
        <v>149</v>
      </c>
      <c r="H716" t="s">
        <v>93</v>
      </c>
      <c r="I716" t="s">
        <v>150</v>
      </c>
      <c r="J716" t="s">
        <v>77</v>
      </c>
      <c r="K716" t="s">
        <v>107</v>
      </c>
      <c r="L716" t="s">
        <v>108</v>
      </c>
      <c r="M716" s="24">
        <v>7</v>
      </c>
      <c r="N716" s="25">
        <v>43422.66</v>
      </c>
      <c r="O716" s="25">
        <f t="shared" si="92"/>
        <v>303958.62</v>
      </c>
      <c r="P716" s="25">
        <v>24686.31</v>
      </c>
      <c r="Q716" s="25">
        <f t="shared" si="93"/>
        <v>172804.17</v>
      </c>
      <c r="R716" s="25">
        <f t="shared" si="94"/>
        <v>131154.44999999998</v>
      </c>
      <c r="S716" s="26">
        <f t="shared" si="95"/>
        <v>0.43148784528630901</v>
      </c>
    </row>
    <row r="717" spans="1:19" ht="15" x14ac:dyDescent="0.2">
      <c r="A717" s="23">
        <v>45843</v>
      </c>
      <c r="B717">
        <f t="shared" si="88"/>
        <v>2025</v>
      </c>
      <c r="C717">
        <f t="shared" si="89"/>
        <v>7</v>
      </c>
      <c r="D717" t="str">
        <f t="shared" si="90"/>
        <v>Julio</v>
      </c>
      <c r="E717" t="str">
        <f t="shared" si="91"/>
        <v>T3</v>
      </c>
      <c r="F717" t="s">
        <v>840</v>
      </c>
      <c r="G717" t="s">
        <v>92</v>
      </c>
      <c r="H717" t="s">
        <v>93</v>
      </c>
      <c r="I717" t="s">
        <v>94</v>
      </c>
      <c r="J717" t="s">
        <v>77</v>
      </c>
      <c r="K717" t="s">
        <v>107</v>
      </c>
      <c r="L717" t="s">
        <v>112</v>
      </c>
      <c r="M717" s="24">
        <v>13</v>
      </c>
      <c r="N717" s="25">
        <v>21916.3</v>
      </c>
      <c r="O717" s="25">
        <f t="shared" si="92"/>
        <v>284911.89999999997</v>
      </c>
      <c r="P717" s="25">
        <v>12075.11</v>
      </c>
      <c r="Q717" s="25">
        <f t="shared" si="93"/>
        <v>156976.43</v>
      </c>
      <c r="R717" s="25">
        <f t="shared" si="94"/>
        <v>127935.46999999997</v>
      </c>
      <c r="S717" s="26">
        <f t="shared" si="95"/>
        <v>0.44903519298421718</v>
      </c>
    </row>
    <row r="718" spans="1:19" ht="15" x14ac:dyDescent="0.2">
      <c r="A718" s="23">
        <v>45843</v>
      </c>
      <c r="B718">
        <f t="shared" si="88"/>
        <v>2025</v>
      </c>
      <c r="C718">
        <f t="shared" si="89"/>
        <v>7</v>
      </c>
      <c r="D718" t="str">
        <f t="shared" si="90"/>
        <v>Julio</v>
      </c>
      <c r="E718" t="str">
        <f t="shared" si="91"/>
        <v>T3</v>
      </c>
      <c r="F718" t="s">
        <v>841</v>
      </c>
      <c r="G718" t="s">
        <v>149</v>
      </c>
      <c r="H718" t="s">
        <v>93</v>
      </c>
      <c r="I718" t="s">
        <v>150</v>
      </c>
      <c r="J718" t="s">
        <v>125</v>
      </c>
      <c r="K718" t="s">
        <v>138</v>
      </c>
      <c r="L718" t="s">
        <v>139</v>
      </c>
      <c r="M718" s="24">
        <v>2</v>
      </c>
      <c r="N718" s="25">
        <v>54304.94</v>
      </c>
      <c r="O718" s="25">
        <f t="shared" si="92"/>
        <v>108609.88</v>
      </c>
      <c r="P718" s="25">
        <v>32255.49</v>
      </c>
      <c r="Q718" s="25">
        <f t="shared" si="93"/>
        <v>64510.98</v>
      </c>
      <c r="R718" s="25">
        <f t="shared" si="94"/>
        <v>44098.9</v>
      </c>
      <c r="S718" s="26">
        <f t="shared" si="95"/>
        <v>0.40603028011816233</v>
      </c>
    </row>
    <row r="719" spans="1:19" ht="15" x14ac:dyDescent="0.2">
      <c r="A719" s="23">
        <v>45843</v>
      </c>
      <c r="B719">
        <f t="shared" si="88"/>
        <v>2025</v>
      </c>
      <c r="C719">
        <f t="shared" si="89"/>
        <v>7</v>
      </c>
      <c r="D719" t="str">
        <f t="shared" si="90"/>
        <v>Julio</v>
      </c>
      <c r="E719" t="str">
        <f t="shared" si="91"/>
        <v>T3</v>
      </c>
      <c r="F719" t="s">
        <v>842</v>
      </c>
      <c r="G719" t="s">
        <v>92</v>
      </c>
      <c r="H719" t="s">
        <v>93</v>
      </c>
      <c r="I719" t="s">
        <v>94</v>
      </c>
      <c r="J719" t="s">
        <v>70</v>
      </c>
      <c r="K719" t="s">
        <v>71</v>
      </c>
      <c r="L719" t="s">
        <v>72</v>
      </c>
      <c r="M719" s="24">
        <v>3</v>
      </c>
      <c r="N719" s="25">
        <v>21612.57</v>
      </c>
      <c r="O719" s="25">
        <f t="shared" si="92"/>
        <v>64837.71</v>
      </c>
      <c r="P719" s="25">
        <v>13692.34</v>
      </c>
      <c r="Q719" s="25">
        <f t="shared" si="93"/>
        <v>41077.020000000004</v>
      </c>
      <c r="R719" s="25">
        <f t="shared" si="94"/>
        <v>23760.689999999995</v>
      </c>
      <c r="S719" s="26">
        <f t="shared" si="95"/>
        <v>0.3664640530950275</v>
      </c>
    </row>
    <row r="720" spans="1:19" ht="15" x14ac:dyDescent="0.2">
      <c r="A720" s="23">
        <v>45845</v>
      </c>
      <c r="B720">
        <f t="shared" si="88"/>
        <v>2025</v>
      </c>
      <c r="C720">
        <f t="shared" si="89"/>
        <v>7</v>
      </c>
      <c r="D720" t="str">
        <f t="shared" si="90"/>
        <v>Julio</v>
      </c>
      <c r="E720" t="str">
        <f t="shared" si="91"/>
        <v>T3</v>
      </c>
      <c r="F720" t="s">
        <v>843</v>
      </c>
      <c r="G720" t="s">
        <v>54</v>
      </c>
      <c r="H720" t="s">
        <v>55</v>
      </c>
      <c r="I720" t="s">
        <v>56</v>
      </c>
      <c r="J720" t="s">
        <v>77</v>
      </c>
      <c r="K720" t="s">
        <v>107</v>
      </c>
      <c r="L720" t="s">
        <v>108</v>
      </c>
      <c r="M720" s="24">
        <v>16</v>
      </c>
      <c r="N720" s="25">
        <v>58014.16</v>
      </c>
      <c r="O720" s="25">
        <f t="shared" si="92"/>
        <v>928226.56</v>
      </c>
      <c r="P720" s="25">
        <v>40809.94</v>
      </c>
      <c r="Q720" s="25">
        <f t="shared" si="93"/>
        <v>652959.04</v>
      </c>
      <c r="R720" s="25">
        <f t="shared" si="94"/>
        <v>275267.52</v>
      </c>
      <c r="S720" s="26">
        <f t="shared" si="95"/>
        <v>0.29655208314659731</v>
      </c>
    </row>
    <row r="721" spans="1:19" ht="15" x14ac:dyDescent="0.2">
      <c r="A721" s="23">
        <v>45845</v>
      </c>
      <c r="B721">
        <f t="shared" si="88"/>
        <v>2025</v>
      </c>
      <c r="C721">
        <f t="shared" si="89"/>
        <v>7</v>
      </c>
      <c r="D721" t="str">
        <f t="shared" si="90"/>
        <v>Julio</v>
      </c>
      <c r="E721" t="str">
        <f t="shared" si="91"/>
        <v>T3</v>
      </c>
      <c r="F721" t="s">
        <v>844</v>
      </c>
      <c r="G721" t="s">
        <v>54</v>
      </c>
      <c r="H721" t="s">
        <v>55</v>
      </c>
      <c r="I721" t="s">
        <v>56</v>
      </c>
      <c r="J721" t="s">
        <v>125</v>
      </c>
      <c r="K721" t="s">
        <v>138</v>
      </c>
      <c r="L721" t="s">
        <v>142</v>
      </c>
      <c r="M721" s="24">
        <v>20</v>
      </c>
      <c r="N721" s="25">
        <v>57612.92</v>
      </c>
      <c r="O721" s="25">
        <f t="shared" si="92"/>
        <v>1152258.3999999999</v>
      </c>
      <c r="P721" s="25">
        <v>41215.599999999999</v>
      </c>
      <c r="Q721" s="25">
        <f t="shared" si="93"/>
        <v>824312</v>
      </c>
      <c r="R721" s="25">
        <f t="shared" si="94"/>
        <v>327946.39999999991</v>
      </c>
      <c r="S721" s="26">
        <f t="shared" si="95"/>
        <v>0.28461185442432002</v>
      </c>
    </row>
    <row r="722" spans="1:19" ht="15" x14ac:dyDescent="0.2">
      <c r="A722" s="23">
        <v>45845</v>
      </c>
      <c r="B722">
        <f t="shared" si="88"/>
        <v>2025</v>
      </c>
      <c r="C722">
        <f t="shared" si="89"/>
        <v>7</v>
      </c>
      <c r="D722" t="str">
        <f t="shared" si="90"/>
        <v>Julio</v>
      </c>
      <c r="E722" t="str">
        <f t="shared" si="91"/>
        <v>T3</v>
      </c>
      <c r="F722" t="s">
        <v>845</v>
      </c>
      <c r="G722" t="s">
        <v>110</v>
      </c>
      <c r="H722" t="s">
        <v>62</v>
      </c>
      <c r="I722" t="s">
        <v>69</v>
      </c>
      <c r="J722" t="s">
        <v>70</v>
      </c>
      <c r="K722" t="s">
        <v>71</v>
      </c>
      <c r="L722" t="s">
        <v>72</v>
      </c>
      <c r="M722" s="24">
        <v>10</v>
      </c>
      <c r="N722" s="25">
        <v>6473.41</v>
      </c>
      <c r="O722" s="25">
        <f t="shared" si="92"/>
        <v>64734.1</v>
      </c>
      <c r="P722" s="25">
        <v>5553.62</v>
      </c>
      <c r="Q722" s="25">
        <f t="shared" si="93"/>
        <v>55536.2</v>
      </c>
      <c r="R722" s="25">
        <f t="shared" si="94"/>
        <v>9197.9000000000015</v>
      </c>
      <c r="S722" s="26">
        <f t="shared" si="95"/>
        <v>0.14208740061266012</v>
      </c>
    </row>
    <row r="723" spans="1:19" ht="15" x14ac:dyDescent="0.2">
      <c r="A723" s="23">
        <v>45845</v>
      </c>
      <c r="B723">
        <f t="shared" si="88"/>
        <v>2025</v>
      </c>
      <c r="C723">
        <f t="shared" si="89"/>
        <v>7</v>
      </c>
      <c r="D723" t="str">
        <f t="shared" si="90"/>
        <v>Julio</v>
      </c>
      <c r="E723" t="str">
        <f t="shared" si="91"/>
        <v>T3</v>
      </c>
      <c r="F723" t="s">
        <v>846</v>
      </c>
      <c r="G723" t="s">
        <v>100</v>
      </c>
      <c r="H723" t="s">
        <v>88</v>
      </c>
      <c r="I723" t="s">
        <v>101</v>
      </c>
      <c r="J723" t="s">
        <v>64</v>
      </c>
      <c r="K723" t="s">
        <v>96</v>
      </c>
      <c r="L723" t="s">
        <v>103</v>
      </c>
      <c r="M723" s="24">
        <v>31</v>
      </c>
      <c r="N723" s="25">
        <v>35471.57</v>
      </c>
      <c r="O723" s="25">
        <f t="shared" si="92"/>
        <v>1099618.67</v>
      </c>
      <c r="P723" s="25">
        <v>20755.009999999998</v>
      </c>
      <c r="Q723" s="25">
        <f t="shared" si="93"/>
        <v>643405.30999999994</v>
      </c>
      <c r="R723" s="25">
        <f t="shared" si="94"/>
        <v>456213.36</v>
      </c>
      <c r="S723" s="26">
        <f t="shared" si="95"/>
        <v>0.41488324311554298</v>
      </c>
    </row>
    <row r="724" spans="1:19" ht="15" x14ac:dyDescent="0.2">
      <c r="A724" s="23">
        <v>45846</v>
      </c>
      <c r="B724">
        <f t="shared" si="88"/>
        <v>2025</v>
      </c>
      <c r="C724">
        <f t="shared" si="89"/>
        <v>7</v>
      </c>
      <c r="D724" t="str">
        <f t="shared" si="90"/>
        <v>Julio</v>
      </c>
      <c r="E724" t="str">
        <f t="shared" si="91"/>
        <v>T3</v>
      </c>
      <c r="F724" t="s">
        <v>847</v>
      </c>
      <c r="G724" t="s">
        <v>282</v>
      </c>
      <c r="H724" t="s">
        <v>55</v>
      </c>
      <c r="I724" t="s">
        <v>56</v>
      </c>
      <c r="J724" t="s">
        <v>64</v>
      </c>
      <c r="K724" t="s">
        <v>65</v>
      </c>
      <c r="L724" t="s">
        <v>123</v>
      </c>
      <c r="M724" s="24">
        <v>3</v>
      </c>
      <c r="N724" s="25">
        <v>504746.69</v>
      </c>
      <c r="O724" s="25">
        <f t="shared" si="92"/>
        <v>1514240.07</v>
      </c>
      <c r="P724" s="25">
        <v>377400.75</v>
      </c>
      <c r="Q724" s="25">
        <f t="shared" si="93"/>
        <v>1132202.25</v>
      </c>
      <c r="R724" s="25">
        <f t="shared" si="94"/>
        <v>382037.82000000007</v>
      </c>
      <c r="S724" s="26">
        <f t="shared" si="95"/>
        <v>0.25229673125741553</v>
      </c>
    </row>
    <row r="725" spans="1:19" ht="15" x14ac:dyDescent="0.2">
      <c r="A725" s="23">
        <v>45846</v>
      </c>
      <c r="B725">
        <f t="shared" si="88"/>
        <v>2025</v>
      </c>
      <c r="C725">
        <f t="shared" si="89"/>
        <v>7</v>
      </c>
      <c r="D725" t="str">
        <f t="shared" si="90"/>
        <v>Julio</v>
      </c>
      <c r="E725" t="str">
        <f t="shared" si="91"/>
        <v>T3</v>
      </c>
      <c r="F725" t="s">
        <v>848</v>
      </c>
      <c r="G725" t="s">
        <v>61</v>
      </c>
      <c r="H725" t="s">
        <v>62</v>
      </c>
      <c r="I725" t="s">
        <v>63</v>
      </c>
      <c r="J725" t="s">
        <v>57</v>
      </c>
      <c r="K725" t="s">
        <v>81</v>
      </c>
      <c r="L725" t="s">
        <v>129</v>
      </c>
      <c r="M725" s="24">
        <v>68</v>
      </c>
      <c r="N725" s="25">
        <v>5848.68</v>
      </c>
      <c r="O725" s="25">
        <f t="shared" si="92"/>
        <v>397710.24</v>
      </c>
      <c r="P725" s="25">
        <v>4767.8</v>
      </c>
      <c r="Q725" s="25">
        <f t="shared" si="93"/>
        <v>324210.40000000002</v>
      </c>
      <c r="R725" s="25">
        <f t="shared" si="94"/>
        <v>73499.839999999967</v>
      </c>
      <c r="S725" s="26">
        <f t="shared" si="95"/>
        <v>0.18480751212239335</v>
      </c>
    </row>
    <row r="726" spans="1:19" ht="15" x14ac:dyDescent="0.2">
      <c r="A726" s="23">
        <v>45846</v>
      </c>
      <c r="B726">
        <f t="shared" si="88"/>
        <v>2025</v>
      </c>
      <c r="C726">
        <f t="shared" si="89"/>
        <v>7</v>
      </c>
      <c r="D726" t="str">
        <f t="shared" si="90"/>
        <v>Julio</v>
      </c>
      <c r="E726" t="str">
        <f t="shared" si="91"/>
        <v>T3</v>
      </c>
      <c r="F726" t="s">
        <v>849</v>
      </c>
      <c r="G726" t="s">
        <v>87</v>
      </c>
      <c r="H726" t="s">
        <v>88</v>
      </c>
      <c r="I726" t="s">
        <v>89</v>
      </c>
      <c r="J726" t="s">
        <v>77</v>
      </c>
      <c r="K726" t="s">
        <v>78</v>
      </c>
      <c r="L726" t="s">
        <v>79</v>
      </c>
      <c r="M726" s="24">
        <v>7</v>
      </c>
      <c r="N726" s="25">
        <v>63507.92</v>
      </c>
      <c r="O726" s="25">
        <f t="shared" si="92"/>
        <v>444555.44</v>
      </c>
      <c r="P726" s="25">
        <v>34864.57</v>
      </c>
      <c r="Q726" s="25">
        <f t="shared" si="93"/>
        <v>244051.99</v>
      </c>
      <c r="R726" s="25">
        <f t="shared" si="94"/>
        <v>200503.45</v>
      </c>
      <c r="S726" s="26">
        <f t="shared" si="95"/>
        <v>0.45102012473404895</v>
      </c>
    </row>
    <row r="727" spans="1:19" ht="15" x14ac:dyDescent="0.2">
      <c r="A727" s="23">
        <v>45846</v>
      </c>
      <c r="B727">
        <f t="shared" si="88"/>
        <v>2025</v>
      </c>
      <c r="C727">
        <f t="shared" si="89"/>
        <v>7</v>
      </c>
      <c r="D727" t="str">
        <f t="shared" si="90"/>
        <v>Julio</v>
      </c>
      <c r="E727" t="str">
        <f t="shared" si="91"/>
        <v>T3</v>
      </c>
      <c r="F727" t="s">
        <v>850</v>
      </c>
      <c r="G727" t="s">
        <v>206</v>
      </c>
      <c r="H727" t="s">
        <v>93</v>
      </c>
      <c r="I727" t="s">
        <v>207</v>
      </c>
      <c r="J727" t="s">
        <v>64</v>
      </c>
      <c r="K727" t="s">
        <v>96</v>
      </c>
      <c r="L727" t="s">
        <v>97</v>
      </c>
      <c r="M727" s="24">
        <v>4</v>
      </c>
      <c r="N727" s="25">
        <v>105409.75</v>
      </c>
      <c r="O727" s="25">
        <f t="shared" si="92"/>
        <v>421639</v>
      </c>
      <c r="P727" s="25">
        <v>64410.16</v>
      </c>
      <c r="Q727" s="25">
        <f t="shared" si="93"/>
        <v>257640.64</v>
      </c>
      <c r="R727" s="25">
        <f t="shared" si="94"/>
        <v>163998.35999999999</v>
      </c>
      <c r="S727" s="26">
        <f t="shared" si="95"/>
        <v>0.38895443732671786</v>
      </c>
    </row>
    <row r="728" spans="1:19" ht="15" x14ac:dyDescent="0.2">
      <c r="A728" s="23">
        <v>45847</v>
      </c>
      <c r="B728">
        <f t="shared" si="88"/>
        <v>2025</v>
      </c>
      <c r="C728">
        <f t="shared" si="89"/>
        <v>7</v>
      </c>
      <c r="D728" t="str">
        <f t="shared" si="90"/>
        <v>Julio</v>
      </c>
      <c r="E728" t="str">
        <f t="shared" si="91"/>
        <v>T3</v>
      </c>
      <c r="F728" t="s">
        <v>851</v>
      </c>
      <c r="G728" t="s">
        <v>183</v>
      </c>
      <c r="H728" t="s">
        <v>55</v>
      </c>
      <c r="I728" t="s">
        <v>184</v>
      </c>
      <c r="J728" t="s">
        <v>77</v>
      </c>
      <c r="K728" t="s">
        <v>78</v>
      </c>
      <c r="L728" t="s">
        <v>117</v>
      </c>
      <c r="M728" s="24">
        <v>3</v>
      </c>
      <c r="N728" s="25">
        <v>390733.19</v>
      </c>
      <c r="O728" s="25">
        <f t="shared" si="92"/>
        <v>1172199.57</v>
      </c>
      <c r="P728" s="25">
        <v>277227.7</v>
      </c>
      <c r="Q728" s="25">
        <f t="shared" si="93"/>
        <v>831683.10000000009</v>
      </c>
      <c r="R728" s="25">
        <f t="shared" si="94"/>
        <v>340516.47</v>
      </c>
      <c r="S728" s="26">
        <f t="shared" si="95"/>
        <v>0.29049359743409559</v>
      </c>
    </row>
    <row r="729" spans="1:19" ht="15" x14ac:dyDescent="0.2">
      <c r="A729" s="23">
        <v>45847</v>
      </c>
      <c r="B729">
        <f t="shared" si="88"/>
        <v>2025</v>
      </c>
      <c r="C729">
        <f t="shared" si="89"/>
        <v>7</v>
      </c>
      <c r="D729" t="str">
        <f t="shared" si="90"/>
        <v>Julio</v>
      </c>
      <c r="E729" t="str">
        <f t="shared" si="91"/>
        <v>T3</v>
      </c>
      <c r="F729" t="s">
        <v>852</v>
      </c>
      <c r="G729" t="s">
        <v>54</v>
      </c>
      <c r="H729" t="s">
        <v>55</v>
      </c>
      <c r="I729" t="s">
        <v>56</v>
      </c>
      <c r="J729" t="s">
        <v>125</v>
      </c>
      <c r="K729" t="s">
        <v>126</v>
      </c>
      <c r="L729" t="s">
        <v>131</v>
      </c>
      <c r="M729" s="24">
        <v>6</v>
      </c>
      <c r="N729" s="25">
        <v>59326.239999999998</v>
      </c>
      <c r="O729" s="25">
        <f t="shared" si="92"/>
        <v>355957.44</v>
      </c>
      <c r="P729" s="25">
        <v>43340.28</v>
      </c>
      <c r="Q729" s="25">
        <f t="shared" si="93"/>
        <v>260041.68</v>
      </c>
      <c r="R729" s="25">
        <f t="shared" si="94"/>
        <v>95915.760000000009</v>
      </c>
      <c r="S729" s="26">
        <f t="shared" si="95"/>
        <v>0.269458506050611</v>
      </c>
    </row>
    <row r="730" spans="1:19" ht="15" x14ac:dyDescent="0.2">
      <c r="A730" s="23">
        <v>45847</v>
      </c>
      <c r="B730">
        <f t="shared" si="88"/>
        <v>2025</v>
      </c>
      <c r="C730">
        <f t="shared" si="89"/>
        <v>7</v>
      </c>
      <c r="D730" t="str">
        <f t="shared" si="90"/>
        <v>Julio</v>
      </c>
      <c r="E730" t="str">
        <f t="shared" si="91"/>
        <v>T3</v>
      </c>
      <c r="F730" t="s">
        <v>853</v>
      </c>
      <c r="G730" t="s">
        <v>61</v>
      </c>
      <c r="H730" t="s">
        <v>62</v>
      </c>
      <c r="I730" t="s">
        <v>63</v>
      </c>
      <c r="J730" t="s">
        <v>125</v>
      </c>
      <c r="K730" t="s">
        <v>138</v>
      </c>
      <c r="L730" t="s">
        <v>142</v>
      </c>
      <c r="M730" s="24">
        <v>52</v>
      </c>
      <c r="N730" s="25">
        <v>5911.89</v>
      </c>
      <c r="O730" s="25">
        <f t="shared" si="92"/>
        <v>307418.28000000003</v>
      </c>
      <c r="P730" s="25">
        <v>4794.82</v>
      </c>
      <c r="Q730" s="25">
        <f t="shared" si="93"/>
        <v>249330.63999999998</v>
      </c>
      <c r="R730" s="25">
        <f t="shared" si="94"/>
        <v>58087.640000000043</v>
      </c>
      <c r="S730" s="26">
        <f t="shared" si="95"/>
        <v>0.18895310975001239</v>
      </c>
    </row>
    <row r="731" spans="1:19" ht="15" x14ac:dyDescent="0.2">
      <c r="A731" s="23">
        <v>45847</v>
      </c>
      <c r="B731">
        <f t="shared" si="88"/>
        <v>2025</v>
      </c>
      <c r="C731">
        <f t="shared" si="89"/>
        <v>7</v>
      </c>
      <c r="D731" t="str">
        <f t="shared" si="90"/>
        <v>Julio</v>
      </c>
      <c r="E731" t="str">
        <f t="shared" si="91"/>
        <v>T3</v>
      </c>
      <c r="F731" t="s">
        <v>854</v>
      </c>
      <c r="G731" t="s">
        <v>114</v>
      </c>
      <c r="H731" t="s">
        <v>75</v>
      </c>
      <c r="I731" t="s">
        <v>115</v>
      </c>
      <c r="J731" t="s">
        <v>64</v>
      </c>
      <c r="K731" t="s">
        <v>65</v>
      </c>
      <c r="L731" t="s">
        <v>123</v>
      </c>
      <c r="M731" s="24">
        <v>6</v>
      </c>
      <c r="N731" s="25">
        <v>91880.2</v>
      </c>
      <c r="O731" s="25">
        <f t="shared" si="92"/>
        <v>551281.19999999995</v>
      </c>
      <c r="P731" s="25">
        <v>64622.8</v>
      </c>
      <c r="Q731" s="25">
        <f t="shared" si="93"/>
        <v>387736.80000000005</v>
      </c>
      <c r="R731" s="25">
        <f t="shared" si="94"/>
        <v>163544.39999999991</v>
      </c>
      <c r="S731" s="26">
        <f t="shared" si="95"/>
        <v>0.29666239298564856</v>
      </c>
    </row>
    <row r="732" spans="1:19" ht="15" x14ac:dyDescent="0.2">
      <c r="A732" s="23">
        <v>45847</v>
      </c>
      <c r="B732">
        <f t="shared" si="88"/>
        <v>2025</v>
      </c>
      <c r="C732">
        <f t="shared" si="89"/>
        <v>7</v>
      </c>
      <c r="D732" t="str">
        <f t="shared" si="90"/>
        <v>Julio</v>
      </c>
      <c r="E732" t="str">
        <f t="shared" si="91"/>
        <v>T3</v>
      </c>
      <c r="F732" t="s">
        <v>855</v>
      </c>
      <c r="G732" t="s">
        <v>114</v>
      </c>
      <c r="H732" t="s">
        <v>75</v>
      </c>
      <c r="I732" t="s">
        <v>115</v>
      </c>
      <c r="J732" t="s">
        <v>125</v>
      </c>
      <c r="K732" t="s">
        <v>138</v>
      </c>
      <c r="L732" t="s">
        <v>142</v>
      </c>
      <c r="M732" s="24">
        <v>3</v>
      </c>
      <c r="N732" s="25">
        <v>97036.55</v>
      </c>
      <c r="O732" s="25">
        <f t="shared" si="92"/>
        <v>291109.65000000002</v>
      </c>
      <c r="P732" s="25">
        <v>64733.599999999999</v>
      </c>
      <c r="Q732" s="25">
        <f t="shared" si="93"/>
        <v>194200.8</v>
      </c>
      <c r="R732" s="25">
        <f t="shared" si="94"/>
        <v>96908.850000000035</v>
      </c>
      <c r="S732" s="26">
        <f t="shared" si="95"/>
        <v>0.33289466700949288</v>
      </c>
    </row>
    <row r="733" spans="1:19" ht="15" x14ac:dyDescent="0.2">
      <c r="A733" s="23">
        <v>45848</v>
      </c>
      <c r="B733">
        <f t="shared" si="88"/>
        <v>2025</v>
      </c>
      <c r="C733">
        <f t="shared" si="89"/>
        <v>7</v>
      </c>
      <c r="D733" t="str">
        <f t="shared" si="90"/>
        <v>Julio</v>
      </c>
      <c r="E733" t="str">
        <f t="shared" si="91"/>
        <v>T3</v>
      </c>
      <c r="F733" t="s">
        <v>856</v>
      </c>
      <c r="G733" t="s">
        <v>149</v>
      </c>
      <c r="H733" t="s">
        <v>93</v>
      </c>
      <c r="I733" t="s">
        <v>150</v>
      </c>
      <c r="J733" t="s">
        <v>57</v>
      </c>
      <c r="K733" t="s">
        <v>81</v>
      </c>
      <c r="L733" t="s">
        <v>82</v>
      </c>
      <c r="M733" s="24">
        <v>8</v>
      </c>
      <c r="N733" s="25">
        <v>42180.86</v>
      </c>
      <c r="O733" s="25">
        <f t="shared" si="92"/>
        <v>337446.88</v>
      </c>
      <c r="P733" s="25">
        <v>24532.04</v>
      </c>
      <c r="Q733" s="25">
        <f t="shared" si="93"/>
        <v>196256.32</v>
      </c>
      <c r="R733" s="25">
        <f t="shared" si="94"/>
        <v>141190.56</v>
      </c>
      <c r="S733" s="26">
        <f t="shared" si="95"/>
        <v>0.41840825435991585</v>
      </c>
    </row>
    <row r="734" spans="1:19" ht="15" x14ac:dyDescent="0.2">
      <c r="A734" s="23">
        <v>45849</v>
      </c>
      <c r="B734">
        <f t="shared" si="88"/>
        <v>2025</v>
      </c>
      <c r="C734">
        <f t="shared" si="89"/>
        <v>7</v>
      </c>
      <c r="D734" t="str">
        <f t="shared" si="90"/>
        <v>Julio</v>
      </c>
      <c r="E734" t="str">
        <f t="shared" si="91"/>
        <v>T3</v>
      </c>
      <c r="F734" t="s">
        <v>857</v>
      </c>
      <c r="G734" t="s">
        <v>54</v>
      </c>
      <c r="H734" t="s">
        <v>55</v>
      </c>
      <c r="I734" t="s">
        <v>56</v>
      </c>
      <c r="J734" t="s">
        <v>125</v>
      </c>
      <c r="K734" t="s">
        <v>126</v>
      </c>
      <c r="L734" t="s">
        <v>127</v>
      </c>
      <c r="M734" s="24">
        <v>4</v>
      </c>
      <c r="N734" s="25">
        <v>51875.82</v>
      </c>
      <c r="O734" s="25">
        <f t="shared" si="92"/>
        <v>207503.28</v>
      </c>
      <c r="P734" s="25">
        <v>37696.83</v>
      </c>
      <c r="Q734" s="25">
        <f t="shared" si="93"/>
        <v>150787.32</v>
      </c>
      <c r="R734" s="25">
        <f t="shared" si="94"/>
        <v>56715.959999999992</v>
      </c>
      <c r="S734" s="26">
        <f t="shared" si="95"/>
        <v>0.27332560719040194</v>
      </c>
    </row>
    <row r="735" spans="1:19" ht="15" x14ac:dyDescent="0.2">
      <c r="A735" s="23">
        <v>45849</v>
      </c>
      <c r="B735">
        <f t="shared" si="88"/>
        <v>2025</v>
      </c>
      <c r="C735">
        <f t="shared" si="89"/>
        <v>7</v>
      </c>
      <c r="D735" t="str">
        <f t="shared" si="90"/>
        <v>Julio</v>
      </c>
      <c r="E735" t="str">
        <f t="shared" si="91"/>
        <v>T3</v>
      </c>
      <c r="F735" t="s">
        <v>858</v>
      </c>
      <c r="G735" t="s">
        <v>74</v>
      </c>
      <c r="H735" t="s">
        <v>75</v>
      </c>
      <c r="I735" t="s">
        <v>76</v>
      </c>
      <c r="J735" t="s">
        <v>64</v>
      </c>
      <c r="K735" t="s">
        <v>96</v>
      </c>
      <c r="L735" t="s">
        <v>103</v>
      </c>
      <c r="M735" s="24">
        <v>24</v>
      </c>
      <c r="N735" s="25">
        <v>39588.04</v>
      </c>
      <c r="O735" s="25">
        <f t="shared" si="92"/>
        <v>950112.96</v>
      </c>
      <c r="P735" s="25">
        <v>27465.07</v>
      </c>
      <c r="Q735" s="25">
        <f t="shared" si="93"/>
        <v>659161.67999999993</v>
      </c>
      <c r="R735" s="25">
        <f t="shared" si="94"/>
        <v>290951.28000000003</v>
      </c>
      <c r="S735" s="26">
        <f t="shared" si="95"/>
        <v>0.30622809313115784</v>
      </c>
    </row>
    <row r="736" spans="1:19" ht="15" x14ac:dyDescent="0.2">
      <c r="A736" s="23">
        <v>45849</v>
      </c>
      <c r="B736">
        <f t="shared" si="88"/>
        <v>2025</v>
      </c>
      <c r="C736">
        <f t="shared" si="89"/>
        <v>7</v>
      </c>
      <c r="D736" t="str">
        <f t="shared" si="90"/>
        <v>Julio</v>
      </c>
      <c r="E736" t="str">
        <f t="shared" si="91"/>
        <v>T3</v>
      </c>
      <c r="F736" t="s">
        <v>859</v>
      </c>
      <c r="G736" t="s">
        <v>100</v>
      </c>
      <c r="H736" t="s">
        <v>88</v>
      </c>
      <c r="I736" t="s">
        <v>101</v>
      </c>
      <c r="J736" t="s">
        <v>64</v>
      </c>
      <c r="K736" t="s">
        <v>96</v>
      </c>
      <c r="L736" t="s">
        <v>103</v>
      </c>
      <c r="M736" s="24">
        <v>18</v>
      </c>
      <c r="N736" s="25">
        <v>36120.35</v>
      </c>
      <c r="O736" s="25">
        <f t="shared" si="92"/>
        <v>650166.29999999993</v>
      </c>
      <c r="P736" s="25">
        <v>20523.740000000002</v>
      </c>
      <c r="Q736" s="25">
        <f t="shared" si="93"/>
        <v>369427.32</v>
      </c>
      <c r="R736" s="25">
        <f t="shared" si="94"/>
        <v>280738.97999999992</v>
      </c>
      <c r="S736" s="26">
        <f t="shared" si="95"/>
        <v>0.43179564982066887</v>
      </c>
    </row>
    <row r="737" spans="1:19" ht="15" x14ac:dyDescent="0.2">
      <c r="A737" s="23">
        <v>45850</v>
      </c>
      <c r="B737">
        <f t="shared" si="88"/>
        <v>2025</v>
      </c>
      <c r="C737">
        <f t="shared" si="89"/>
        <v>7</v>
      </c>
      <c r="D737" t="str">
        <f t="shared" si="90"/>
        <v>Julio</v>
      </c>
      <c r="E737" t="str">
        <f t="shared" si="91"/>
        <v>T3</v>
      </c>
      <c r="F737" t="s">
        <v>860</v>
      </c>
      <c r="G737" t="s">
        <v>87</v>
      </c>
      <c r="H737" t="s">
        <v>88</v>
      </c>
      <c r="I737" t="s">
        <v>89</v>
      </c>
      <c r="J737" t="s">
        <v>125</v>
      </c>
      <c r="K737" t="s">
        <v>126</v>
      </c>
      <c r="L737" t="s">
        <v>127</v>
      </c>
      <c r="M737" s="24">
        <v>5</v>
      </c>
      <c r="N737" s="25">
        <v>62165.41</v>
      </c>
      <c r="O737" s="25">
        <f t="shared" si="92"/>
        <v>310827.05000000005</v>
      </c>
      <c r="P737" s="25">
        <v>34952.32</v>
      </c>
      <c r="Q737" s="25">
        <f t="shared" si="93"/>
        <v>174761.60000000001</v>
      </c>
      <c r="R737" s="25">
        <f t="shared" si="94"/>
        <v>136065.45000000004</v>
      </c>
      <c r="S737" s="26">
        <f t="shared" si="95"/>
        <v>0.43775292401353105</v>
      </c>
    </row>
    <row r="738" spans="1:19" ht="15" x14ac:dyDescent="0.2">
      <c r="A738" s="23">
        <v>45850</v>
      </c>
      <c r="B738">
        <f t="shared" si="88"/>
        <v>2025</v>
      </c>
      <c r="C738">
        <f t="shared" si="89"/>
        <v>7</v>
      </c>
      <c r="D738" t="str">
        <f t="shared" si="90"/>
        <v>Julio</v>
      </c>
      <c r="E738" t="str">
        <f t="shared" si="91"/>
        <v>T3</v>
      </c>
      <c r="F738" t="s">
        <v>861</v>
      </c>
      <c r="G738" t="s">
        <v>87</v>
      </c>
      <c r="H738" t="s">
        <v>88</v>
      </c>
      <c r="I738" t="s">
        <v>89</v>
      </c>
      <c r="J738" t="s">
        <v>70</v>
      </c>
      <c r="K738" t="s">
        <v>71</v>
      </c>
      <c r="L738" t="s">
        <v>90</v>
      </c>
      <c r="M738" s="24">
        <v>3</v>
      </c>
      <c r="N738" s="25">
        <v>46410.63</v>
      </c>
      <c r="O738" s="25">
        <f t="shared" si="92"/>
        <v>139231.88999999998</v>
      </c>
      <c r="P738" s="25">
        <v>27795.22</v>
      </c>
      <c r="Q738" s="25">
        <f t="shared" si="93"/>
        <v>83385.66</v>
      </c>
      <c r="R738" s="25">
        <f t="shared" si="94"/>
        <v>55846.229999999981</v>
      </c>
      <c r="S738" s="26">
        <f t="shared" si="95"/>
        <v>0.40110229057437907</v>
      </c>
    </row>
    <row r="739" spans="1:19" ht="15" x14ac:dyDescent="0.2">
      <c r="A739" s="23">
        <v>45850</v>
      </c>
      <c r="B739">
        <f t="shared" si="88"/>
        <v>2025</v>
      </c>
      <c r="C739">
        <f t="shared" si="89"/>
        <v>7</v>
      </c>
      <c r="D739" t="str">
        <f t="shared" si="90"/>
        <v>Julio</v>
      </c>
      <c r="E739" t="str">
        <f t="shared" si="91"/>
        <v>T3</v>
      </c>
      <c r="F739" t="s">
        <v>862</v>
      </c>
      <c r="G739" t="s">
        <v>92</v>
      </c>
      <c r="H739" t="s">
        <v>93</v>
      </c>
      <c r="I739" t="s">
        <v>94</v>
      </c>
      <c r="J739" t="s">
        <v>77</v>
      </c>
      <c r="K739" t="s">
        <v>78</v>
      </c>
      <c r="L739" t="s">
        <v>117</v>
      </c>
      <c r="M739" s="24">
        <v>13</v>
      </c>
      <c r="N739" s="25">
        <v>20756.23</v>
      </c>
      <c r="O739" s="25">
        <f t="shared" si="92"/>
        <v>269830.99</v>
      </c>
      <c r="P739" s="25">
        <v>11857.85</v>
      </c>
      <c r="Q739" s="25">
        <f t="shared" si="93"/>
        <v>154152.05000000002</v>
      </c>
      <c r="R739" s="25">
        <f t="shared" si="94"/>
        <v>115678.93999999997</v>
      </c>
      <c r="S739" s="26">
        <f t="shared" si="95"/>
        <v>0.42870887439578376</v>
      </c>
    </row>
    <row r="740" spans="1:19" ht="15" x14ac:dyDescent="0.2">
      <c r="A740" s="23">
        <v>45851</v>
      </c>
      <c r="B740">
        <f t="shared" si="88"/>
        <v>2025</v>
      </c>
      <c r="C740">
        <f t="shared" si="89"/>
        <v>7</v>
      </c>
      <c r="D740" t="str">
        <f t="shared" si="90"/>
        <v>Julio</v>
      </c>
      <c r="E740" t="str">
        <f t="shared" si="91"/>
        <v>T3</v>
      </c>
      <c r="F740" t="s">
        <v>863</v>
      </c>
      <c r="G740" t="s">
        <v>61</v>
      </c>
      <c r="H740" t="s">
        <v>62</v>
      </c>
      <c r="I740" t="s">
        <v>63</v>
      </c>
      <c r="J740" t="s">
        <v>64</v>
      </c>
      <c r="K740" t="s">
        <v>96</v>
      </c>
      <c r="L740" t="s">
        <v>103</v>
      </c>
      <c r="M740" s="24">
        <v>216</v>
      </c>
      <c r="N740" s="25">
        <v>5715.95</v>
      </c>
      <c r="O740" s="25">
        <f t="shared" si="92"/>
        <v>1234645.2</v>
      </c>
      <c r="P740" s="25">
        <v>4811.04</v>
      </c>
      <c r="Q740" s="25">
        <f t="shared" si="93"/>
        <v>1039184.64</v>
      </c>
      <c r="R740" s="25">
        <f t="shared" si="94"/>
        <v>195460.55999999994</v>
      </c>
      <c r="S740" s="26">
        <f t="shared" si="95"/>
        <v>0.15831314129759702</v>
      </c>
    </row>
    <row r="741" spans="1:19" ht="15" x14ac:dyDescent="0.2">
      <c r="A741" s="23">
        <v>45851</v>
      </c>
      <c r="B741">
        <f t="shared" si="88"/>
        <v>2025</v>
      </c>
      <c r="C741">
        <f t="shared" si="89"/>
        <v>7</v>
      </c>
      <c r="D741" t="str">
        <f t="shared" si="90"/>
        <v>Julio</v>
      </c>
      <c r="E741" t="str">
        <f t="shared" si="91"/>
        <v>T3</v>
      </c>
      <c r="F741" t="s">
        <v>864</v>
      </c>
      <c r="G741" t="s">
        <v>114</v>
      </c>
      <c r="H741" t="s">
        <v>75</v>
      </c>
      <c r="I741" t="s">
        <v>115</v>
      </c>
      <c r="J741" t="s">
        <v>77</v>
      </c>
      <c r="K741" t="s">
        <v>78</v>
      </c>
      <c r="L741" t="s">
        <v>117</v>
      </c>
      <c r="M741" s="24">
        <v>3</v>
      </c>
      <c r="N741" s="25">
        <v>96653.43</v>
      </c>
      <c r="O741" s="25">
        <f t="shared" si="92"/>
        <v>289960.28999999998</v>
      </c>
      <c r="P741" s="25">
        <v>64944.67</v>
      </c>
      <c r="Q741" s="25">
        <f t="shared" si="93"/>
        <v>194834.01</v>
      </c>
      <c r="R741" s="25">
        <f t="shared" si="94"/>
        <v>95126.27999999997</v>
      </c>
      <c r="S741" s="26">
        <f t="shared" si="95"/>
        <v>0.32806657766827307</v>
      </c>
    </row>
    <row r="742" spans="1:19" ht="15" x14ac:dyDescent="0.2">
      <c r="A742" s="23">
        <v>45851</v>
      </c>
      <c r="B742">
        <f t="shared" si="88"/>
        <v>2025</v>
      </c>
      <c r="C742">
        <f t="shared" si="89"/>
        <v>7</v>
      </c>
      <c r="D742" t="str">
        <f t="shared" si="90"/>
        <v>Julio</v>
      </c>
      <c r="E742" t="str">
        <f t="shared" si="91"/>
        <v>T3</v>
      </c>
      <c r="F742" t="s">
        <v>865</v>
      </c>
      <c r="G742" t="s">
        <v>74</v>
      </c>
      <c r="H742" t="s">
        <v>75</v>
      </c>
      <c r="I742" t="s">
        <v>76</v>
      </c>
      <c r="J742" t="s">
        <v>57</v>
      </c>
      <c r="K742" t="s">
        <v>58</v>
      </c>
      <c r="L742" t="s">
        <v>162</v>
      </c>
      <c r="M742" s="24">
        <v>1</v>
      </c>
      <c r="N742" s="25">
        <v>36846.31</v>
      </c>
      <c r="O742" s="25">
        <f t="shared" si="92"/>
        <v>36846.31</v>
      </c>
      <c r="P742" s="25">
        <v>24834.7</v>
      </c>
      <c r="Q742" s="25">
        <f t="shared" si="93"/>
        <v>24834.7</v>
      </c>
      <c r="R742" s="25">
        <f t="shared" si="94"/>
        <v>12011.609999999997</v>
      </c>
      <c r="S742" s="26">
        <f t="shared" si="95"/>
        <v>0.32599220926057448</v>
      </c>
    </row>
    <row r="743" spans="1:19" ht="15" x14ac:dyDescent="0.2">
      <c r="A743" s="23">
        <v>45852</v>
      </c>
      <c r="B743">
        <f t="shared" si="88"/>
        <v>2025</v>
      </c>
      <c r="C743">
        <f t="shared" si="89"/>
        <v>7</v>
      </c>
      <c r="D743" t="str">
        <f t="shared" si="90"/>
        <v>Julio</v>
      </c>
      <c r="E743" t="str">
        <f t="shared" si="91"/>
        <v>T3</v>
      </c>
      <c r="F743" t="s">
        <v>866</v>
      </c>
      <c r="G743" t="s">
        <v>54</v>
      </c>
      <c r="H743" t="s">
        <v>55</v>
      </c>
      <c r="I743" t="s">
        <v>56</v>
      </c>
      <c r="J743" t="s">
        <v>70</v>
      </c>
      <c r="K743" t="s">
        <v>71</v>
      </c>
      <c r="L743" t="s">
        <v>72</v>
      </c>
      <c r="M743" s="24">
        <v>8</v>
      </c>
      <c r="N743" s="25">
        <v>51622.73</v>
      </c>
      <c r="O743" s="25">
        <f t="shared" si="92"/>
        <v>412981.84</v>
      </c>
      <c r="P743" s="25">
        <v>39896.559999999998</v>
      </c>
      <c r="Q743" s="25">
        <f t="shared" si="93"/>
        <v>319172.47999999998</v>
      </c>
      <c r="R743" s="25">
        <f t="shared" si="94"/>
        <v>93809.360000000044</v>
      </c>
      <c r="S743" s="26">
        <f t="shared" si="95"/>
        <v>0.22715129556302049</v>
      </c>
    </row>
    <row r="744" spans="1:19" ht="15" x14ac:dyDescent="0.2">
      <c r="A744" s="23">
        <v>45852</v>
      </c>
      <c r="B744">
        <f t="shared" si="88"/>
        <v>2025</v>
      </c>
      <c r="C744">
        <f t="shared" si="89"/>
        <v>7</v>
      </c>
      <c r="D744" t="str">
        <f t="shared" si="90"/>
        <v>Julio</v>
      </c>
      <c r="E744" t="str">
        <f t="shared" si="91"/>
        <v>T3</v>
      </c>
      <c r="F744" t="s">
        <v>867</v>
      </c>
      <c r="G744" t="s">
        <v>105</v>
      </c>
      <c r="H744" t="s">
        <v>62</v>
      </c>
      <c r="I744" t="s">
        <v>106</v>
      </c>
      <c r="J744" t="s">
        <v>64</v>
      </c>
      <c r="K744" t="s">
        <v>96</v>
      </c>
      <c r="L744" t="s">
        <v>97</v>
      </c>
      <c r="M744" s="24">
        <v>381</v>
      </c>
      <c r="N744" s="25">
        <v>1795.25</v>
      </c>
      <c r="O744" s="25">
        <f t="shared" si="92"/>
        <v>683990.25</v>
      </c>
      <c r="P744" s="25">
        <v>1499.21</v>
      </c>
      <c r="Q744" s="25">
        <f t="shared" si="93"/>
        <v>571199.01</v>
      </c>
      <c r="R744" s="25">
        <f t="shared" si="94"/>
        <v>112791.23999999999</v>
      </c>
      <c r="S744" s="26">
        <f t="shared" si="95"/>
        <v>0.16490182425845981</v>
      </c>
    </row>
    <row r="745" spans="1:19" ht="15" x14ac:dyDescent="0.2">
      <c r="A745" s="23">
        <v>45852</v>
      </c>
      <c r="B745">
        <f t="shared" si="88"/>
        <v>2025</v>
      </c>
      <c r="C745">
        <f t="shared" si="89"/>
        <v>7</v>
      </c>
      <c r="D745" t="str">
        <f t="shared" si="90"/>
        <v>Julio</v>
      </c>
      <c r="E745" t="str">
        <f t="shared" si="91"/>
        <v>T3</v>
      </c>
      <c r="F745" t="s">
        <v>868</v>
      </c>
      <c r="G745" t="s">
        <v>144</v>
      </c>
      <c r="H745" t="s">
        <v>88</v>
      </c>
      <c r="I745" t="s">
        <v>145</v>
      </c>
      <c r="J745" t="s">
        <v>77</v>
      </c>
      <c r="K745" t="s">
        <v>107</v>
      </c>
      <c r="L745" t="s">
        <v>112</v>
      </c>
      <c r="M745" s="24">
        <v>53</v>
      </c>
      <c r="N745" s="25">
        <v>13070.59</v>
      </c>
      <c r="O745" s="25">
        <f t="shared" si="92"/>
        <v>692741.27</v>
      </c>
      <c r="P745" s="25">
        <v>6945.51</v>
      </c>
      <c r="Q745" s="25">
        <f t="shared" si="93"/>
        <v>368112.03</v>
      </c>
      <c r="R745" s="25">
        <f t="shared" si="94"/>
        <v>324629.24</v>
      </c>
      <c r="S745" s="26">
        <f t="shared" si="95"/>
        <v>0.46861541827874637</v>
      </c>
    </row>
    <row r="746" spans="1:19" ht="15" x14ac:dyDescent="0.2">
      <c r="A746" s="23">
        <v>45853</v>
      </c>
      <c r="B746">
        <f t="shared" si="88"/>
        <v>2025</v>
      </c>
      <c r="C746">
        <f t="shared" si="89"/>
        <v>7</v>
      </c>
      <c r="D746" t="str">
        <f t="shared" si="90"/>
        <v>Julio</v>
      </c>
      <c r="E746" t="str">
        <f t="shared" si="91"/>
        <v>T3</v>
      </c>
      <c r="F746" t="s">
        <v>869</v>
      </c>
      <c r="G746" t="s">
        <v>183</v>
      </c>
      <c r="H746" t="s">
        <v>55</v>
      </c>
      <c r="I746" t="s">
        <v>184</v>
      </c>
      <c r="J746" t="s">
        <v>64</v>
      </c>
      <c r="K746" t="s">
        <v>65</v>
      </c>
      <c r="L746" t="s">
        <v>66</v>
      </c>
      <c r="M746" s="24">
        <v>5</v>
      </c>
      <c r="N746" s="25">
        <v>386587.24</v>
      </c>
      <c r="O746" s="25">
        <f t="shared" si="92"/>
        <v>1932936.2</v>
      </c>
      <c r="P746" s="25">
        <v>289127.90000000002</v>
      </c>
      <c r="Q746" s="25">
        <f t="shared" si="93"/>
        <v>1445639.5</v>
      </c>
      <c r="R746" s="25">
        <f t="shared" si="94"/>
        <v>487296.69999999995</v>
      </c>
      <c r="S746" s="26">
        <f t="shared" si="95"/>
        <v>0.25210180242886443</v>
      </c>
    </row>
    <row r="747" spans="1:19" ht="15" x14ac:dyDescent="0.2">
      <c r="A747" s="23">
        <v>45853</v>
      </c>
      <c r="B747">
        <f t="shared" si="88"/>
        <v>2025</v>
      </c>
      <c r="C747">
        <f t="shared" si="89"/>
        <v>7</v>
      </c>
      <c r="D747" t="str">
        <f t="shared" si="90"/>
        <v>Julio</v>
      </c>
      <c r="E747" t="str">
        <f t="shared" si="91"/>
        <v>T3</v>
      </c>
      <c r="F747" t="s">
        <v>870</v>
      </c>
      <c r="G747" t="s">
        <v>54</v>
      </c>
      <c r="H747" t="s">
        <v>55</v>
      </c>
      <c r="I747" t="s">
        <v>56</v>
      </c>
      <c r="J747" t="s">
        <v>70</v>
      </c>
      <c r="K747" t="s">
        <v>84</v>
      </c>
      <c r="L747" t="s">
        <v>85</v>
      </c>
      <c r="M747" s="24">
        <v>12</v>
      </c>
      <c r="N747" s="25">
        <v>54589.919999999998</v>
      </c>
      <c r="O747" s="25">
        <f t="shared" si="92"/>
        <v>655079.04</v>
      </c>
      <c r="P747" s="25">
        <v>42140.37</v>
      </c>
      <c r="Q747" s="25">
        <f t="shared" si="93"/>
        <v>505684.44000000006</v>
      </c>
      <c r="R747" s="25">
        <f t="shared" si="94"/>
        <v>149394.59999999998</v>
      </c>
      <c r="S747" s="26">
        <f t="shared" si="95"/>
        <v>0.22805583888014486</v>
      </c>
    </row>
    <row r="748" spans="1:19" ht="15" x14ac:dyDescent="0.2">
      <c r="A748" s="23">
        <v>45853</v>
      </c>
      <c r="B748">
        <f t="shared" si="88"/>
        <v>2025</v>
      </c>
      <c r="C748">
        <f t="shared" si="89"/>
        <v>7</v>
      </c>
      <c r="D748" t="str">
        <f t="shared" si="90"/>
        <v>Julio</v>
      </c>
      <c r="E748" t="str">
        <f t="shared" si="91"/>
        <v>T3</v>
      </c>
      <c r="F748" t="s">
        <v>871</v>
      </c>
      <c r="G748" t="s">
        <v>61</v>
      </c>
      <c r="H748" t="s">
        <v>62</v>
      </c>
      <c r="I748" t="s">
        <v>63</v>
      </c>
      <c r="J748" t="s">
        <v>125</v>
      </c>
      <c r="K748" t="s">
        <v>138</v>
      </c>
      <c r="L748" t="s">
        <v>142</v>
      </c>
      <c r="M748" s="24">
        <v>65</v>
      </c>
      <c r="N748" s="25">
        <v>5921.77</v>
      </c>
      <c r="O748" s="25">
        <f t="shared" si="92"/>
        <v>384915.05000000005</v>
      </c>
      <c r="P748" s="25">
        <v>4801.96</v>
      </c>
      <c r="Q748" s="25">
        <f t="shared" si="93"/>
        <v>312127.40000000002</v>
      </c>
      <c r="R748" s="25">
        <f t="shared" si="94"/>
        <v>72787.650000000023</v>
      </c>
      <c r="S748" s="26">
        <f t="shared" si="95"/>
        <v>0.18910055608373852</v>
      </c>
    </row>
    <row r="749" spans="1:19" ht="15" x14ac:dyDescent="0.2">
      <c r="A749" s="23">
        <v>45853</v>
      </c>
      <c r="B749">
        <f t="shared" si="88"/>
        <v>2025</v>
      </c>
      <c r="C749">
        <f t="shared" si="89"/>
        <v>7</v>
      </c>
      <c r="D749" t="str">
        <f t="shared" si="90"/>
        <v>Julio</v>
      </c>
      <c r="E749" t="str">
        <f t="shared" si="91"/>
        <v>T3</v>
      </c>
      <c r="F749" t="s">
        <v>872</v>
      </c>
      <c r="G749" t="s">
        <v>105</v>
      </c>
      <c r="H749" t="s">
        <v>62</v>
      </c>
      <c r="I749" t="s">
        <v>106</v>
      </c>
      <c r="J749" t="s">
        <v>125</v>
      </c>
      <c r="K749" t="s">
        <v>126</v>
      </c>
      <c r="L749" t="s">
        <v>131</v>
      </c>
      <c r="M749" s="24">
        <v>104</v>
      </c>
      <c r="N749" s="25">
        <v>1819.59</v>
      </c>
      <c r="O749" s="25">
        <f t="shared" si="92"/>
        <v>189237.36</v>
      </c>
      <c r="P749" s="25">
        <v>1497.75</v>
      </c>
      <c r="Q749" s="25">
        <f t="shared" si="93"/>
        <v>155766</v>
      </c>
      <c r="R749" s="25">
        <f t="shared" si="94"/>
        <v>33471.359999999986</v>
      </c>
      <c r="S749" s="26">
        <f t="shared" si="95"/>
        <v>0.17687501030451908</v>
      </c>
    </row>
    <row r="750" spans="1:19" ht="15" x14ac:dyDescent="0.2">
      <c r="A750" s="23">
        <v>45854</v>
      </c>
      <c r="B750">
        <f t="shared" si="88"/>
        <v>2025</v>
      </c>
      <c r="C750">
        <f t="shared" si="89"/>
        <v>7</v>
      </c>
      <c r="D750" t="str">
        <f t="shared" si="90"/>
        <v>Julio</v>
      </c>
      <c r="E750" t="str">
        <f t="shared" si="91"/>
        <v>T3</v>
      </c>
      <c r="F750" t="s">
        <v>873</v>
      </c>
      <c r="G750" t="s">
        <v>68</v>
      </c>
      <c r="H750" t="s">
        <v>62</v>
      </c>
      <c r="I750" t="s">
        <v>69</v>
      </c>
      <c r="J750" t="s">
        <v>57</v>
      </c>
      <c r="K750" t="s">
        <v>58</v>
      </c>
      <c r="L750" t="s">
        <v>59</v>
      </c>
      <c r="M750" s="24">
        <v>84</v>
      </c>
      <c r="N750" s="25">
        <v>3160.22</v>
      </c>
      <c r="O750" s="25">
        <f t="shared" si="92"/>
        <v>265458.48</v>
      </c>
      <c r="P750" s="25">
        <v>2614.73</v>
      </c>
      <c r="Q750" s="25">
        <f t="shared" si="93"/>
        <v>219637.32</v>
      </c>
      <c r="R750" s="25">
        <f t="shared" si="94"/>
        <v>45821.159999999974</v>
      </c>
      <c r="S750" s="26">
        <f t="shared" si="95"/>
        <v>0.17261140047211895</v>
      </c>
    </row>
    <row r="751" spans="1:19" ht="15" x14ac:dyDescent="0.2">
      <c r="A751" s="23">
        <v>45854</v>
      </c>
      <c r="B751">
        <f t="shared" si="88"/>
        <v>2025</v>
      </c>
      <c r="C751">
        <f t="shared" si="89"/>
        <v>7</v>
      </c>
      <c r="D751" t="str">
        <f t="shared" si="90"/>
        <v>Julio</v>
      </c>
      <c r="E751" t="str">
        <f t="shared" si="91"/>
        <v>T3</v>
      </c>
      <c r="F751" t="s">
        <v>874</v>
      </c>
      <c r="G751" t="s">
        <v>68</v>
      </c>
      <c r="H751" t="s">
        <v>62</v>
      </c>
      <c r="I751" t="s">
        <v>69</v>
      </c>
      <c r="J751" t="s">
        <v>125</v>
      </c>
      <c r="K751" t="s">
        <v>126</v>
      </c>
      <c r="L751" t="s">
        <v>131</v>
      </c>
      <c r="M751" s="24">
        <v>93</v>
      </c>
      <c r="N751" s="25">
        <v>3188.44</v>
      </c>
      <c r="O751" s="25">
        <f t="shared" si="92"/>
        <v>296524.92</v>
      </c>
      <c r="P751" s="25">
        <v>2612.89</v>
      </c>
      <c r="Q751" s="25">
        <f t="shared" si="93"/>
        <v>242998.77</v>
      </c>
      <c r="R751" s="25">
        <f t="shared" si="94"/>
        <v>53526.149999999994</v>
      </c>
      <c r="S751" s="26">
        <f t="shared" si="95"/>
        <v>0.18051147269511109</v>
      </c>
    </row>
    <row r="752" spans="1:19" ht="15" x14ac:dyDescent="0.2">
      <c r="A752" s="23">
        <v>45854</v>
      </c>
      <c r="B752">
        <f t="shared" si="88"/>
        <v>2025</v>
      </c>
      <c r="C752">
        <f t="shared" si="89"/>
        <v>7</v>
      </c>
      <c r="D752" t="str">
        <f t="shared" si="90"/>
        <v>Julio</v>
      </c>
      <c r="E752" t="str">
        <f t="shared" si="91"/>
        <v>T3</v>
      </c>
      <c r="F752" t="s">
        <v>875</v>
      </c>
      <c r="G752" t="s">
        <v>114</v>
      </c>
      <c r="H752" t="s">
        <v>75</v>
      </c>
      <c r="I752" t="s">
        <v>115</v>
      </c>
      <c r="J752" t="s">
        <v>64</v>
      </c>
      <c r="K752" t="s">
        <v>96</v>
      </c>
      <c r="L752" t="s">
        <v>103</v>
      </c>
      <c r="M752" s="24">
        <v>5</v>
      </c>
      <c r="N752" s="25">
        <v>98104.04</v>
      </c>
      <c r="O752" s="25">
        <f t="shared" si="92"/>
        <v>490520.19999999995</v>
      </c>
      <c r="P752" s="25">
        <v>68681.19</v>
      </c>
      <c r="Q752" s="25">
        <f t="shared" si="93"/>
        <v>343405.95</v>
      </c>
      <c r="R752" s="25">
        <f t="shared" si="94"/>
        <v>147114.24999999994</v>
      </c>
      <c r="S752" s="26">
        <f t="shared" si="95"/>
        <v>0.29991476395875227</v>
      </c>
    </row>
    <row r="753" spans="1:19" ht="15" x14ac:dyDescent="0.2">
      <c r="A753" s="23">
        <v>45854</v>
      </c>
      <c r="B753">
        <f t="shared" si="88"/>
        <v>2025</v>
      </c>
      <c r="C753">
        <f t="shared" si="89"/>
        <v>7</v>
      </c>
      <c r="D753" t="str">
        <f t="shared" si="90"/>
        <v>Julio</v>
      </c>
      <c r="E753" t="str">
        <f t="shared" si="91"/>
        <v>T3</v>
      </c>
      <c r="F753" t="s">
        <v>876</v>
      </c>
      <c r="G753" t="s">
        <v>74</v>
      </c>
      <c r="H753" t="s">
        <v>75</v>
      </c>
      <c r="I753" t="s">
        <v>76</v>
      </c>
      <c r="J753" t="s">
        <v>77</v>
      </c>
      <c r="K753" t="s">
        <v>78</v>
      </c>
      <c r="L753" t="s">
        <v>117</v>
      </c>
      <c r="M753" s="24">
        <v>7</v>
      </c>
      <c r="N753" s="25">
        <v>40296.449999999997</v>
      </c>
      <c r="O753" s="25">
        <f t="shared" si="92"/>
        <v>282075.14999999997</v>
      </c>
      <c r="P753" s="25">
        <v>27116.63</v>
      </c>
      <c r="Q753" s="25">
        <f t="shared" si="93"/>
        <v>189816.41</v>
      </c>
      <c r="R753" s="25">
        <f t="shared" si="94"/>
        <v>92258.739999999962</v>
      </c>
      <c r="S753" s="26">
        <f t="shared" si="95"/>
        <v>0.32707149140929276</v>
      </c>
    </row>
    <row r="754" spans="1:19" ht="15" x14ac:dyDescent="0.2">
      <c r="A754" s="23">
        <v>45854</v>
      </c>
      <c r="B754">
        <f t="shared" si="88"/>
        <v>2025</v>
      </c>
      <c r="C754">
        <f t="shared" si="89"/>
        <v>7</v>
      </c>
      <c r="D754" t="str">
        <f t="shared" si="90"/>
        <v>Julio</v>
      </c>
      <c r="E754" t="str">
        <f t="shared" si="91"/>
        <v>T3</v>
      </c>
      <c r="F754" t="s">
        <v>877</v>
      </c>
      <c r="G754" t="s">
        <v>114</v>
      </c>
      <c r="H754" t="s">
        <v>75</v>
      </c>
      <c r="I754" t="s">
        <v>115</v>
      </c>
      <c r="J754" t="s">
        <v>57</v>
      </c>
      <c r="K754" t="s">
        <v>58</v>
      </c>
      <c r="L754" t="s">
        <v>162</v>
      </c>
      <c r="M754" s="24">
        <v>2</v>
      </c>
      <c r="N754" s="25">
        <v>110943.07</v>
      </c>
      <c r="O754" s="25">
        <f t="shared" si="92"/>
        <v>221886.14</v>
      </c>
      <c r="P754" s="25">
        <v>77140.22</v>
      </c>
      <c r="Q754" s="25">
        <f t="shared" si="93"/>
        <v>154280.44</v>
      </c>
      <c r="R754" s="25">
        <f t="shared" si="94"/>
        <v>67605.700000000012</v>
      </c>
      <c r="S754" s="26">
        <f t="shared" si="95"/>
        <v>0.30468644864433625</v>
      </c>
    </row>
    <row r="755" spans="1:19" ht="15" x14ac:dyDescent="0.2">
      <c r="A755" s="23">
        <v>45854</v>
      </c>
      <c r="B755">
        <f t="shared" si="88"/>
        <v>2025</v>
      </c>
      <c r="C755">
        <f t="shared" si="89"/>
        <v>7</v>
      </c>
      <c r="D755" t="str">
        <f t="shared" si="90"/>
        <v>Julio</v>
      </c>
      <c r="E755" t="str">
        <f t="shared" si="91"/>
        <v>T3</v>
      </c>
      <c r="F755" t="s">
        <v>878</v>
      </c>
      <c r="G755" t="s">
        <v>74</v>
      </c>
      <c r="H755" t="s">
        <v>75</v>
      </c>
      <c r="I755" t="s">
        <v>76</v>
      </c>
      <c r="J755" t="s">
        <v>70</v>
      </c>
      <c r="K755" t="s">
        <v>71</v>
      </c>
      <c r="L755" t="s">
        <v>90</v>
      </c>
      <c r="M755" s="24">
        <v>4</v>
      </c>
      <c r="N755" s="25">
        <v>36401.64</v>
      </c>
      <c r="O755" s="25">
        <f t="shared" si="92"/>
        <v>145606.56</v>
      </c>
      <c r="P755" s="25">
        <v>26147.64</v>
      </c>
      <c r="Q755" s="25">
        <f t="shared" si="93"/>
        <v>104590.56</v>
      </c>
      <c r="R755" s="25">
        <f t="shared" si="94"/>
        <v>41016</v>
      </c>
      <c r="S755" s="26">
        <f t="shared" si="95"/>
        <v>0.28169060514855926</v>
      </c>
    </row>
    <row r="756" spans="1:19" ht="15" x14ac:dyDescent="0.2">
      <c r="A756" s="23">
        <v>45854</v>
      </c>
      <c r="B756">
        <f t="shared" si="88"/>
        <v>2025</v>
      </c>
      <c r="C756">
        <f t="shared" si="89"/>
        <v>7</v>
      </c>
      <c r="D756" t="str">
        <f t="shared" si="90"/>
        <v>Julio</v>
      </c>
      <c r="E756" t="str">
        <f t="shared" si="91"/>
        <v>T3</v>
      </c>
      <c r="F756" t="s">
        <v>879</v>
      </c>
      <c r="G756" t="s">
        <v>188</v>
      </c>
      <c r="H756" t="s">
        <v>88</v>
      </c>
      <c r="I756" t="s">
        <v>189</v>
      </c>
      <c r="J756" t="s">
        <v>64</v>
      </c>
      <c r="K756" t="s">
        <v>65</v>
      </c>
      <c r="L756" t="s">
        <v>66</v>
      </c>
      <c r="M756" s="24">
        <v>14</v>
      </c>
      <c r="N756" s="25">
        <v>70895</v>
      </c>
      <c r="O756" s="25">
        <f t="shared" si="92"/>
        <v>992530</v>
      </c>
      <c r="P756" s="25">
        <v>41444.5</v>
      </c>
      <c r="Q756" s="25">
        <f t="shared" si="93"/>
        <v>580223</v>
      </c>
      <c r="R756" s="25">
        <f t="shared" si="94"/>
        <v>412307</v>
      </c>
      <c r="S756" s="26">
        <f t="shared" si="95"/>
        <v>0.41541011354820512</v>
      </c>
    </row>
    <row r="757" spans="1:19" ht="15" x14ac:dyDescent="0.2">
      <c r="A757" s="23">
        <v>45854</v>
      </c>
      <c r="B757">
        <f t="shared" si="88"/>
        <v>2025</v>
      </c>
      <c r="C757">
        <f t="shared" si="89"/>
        <v>7</v>
      </c>
      <c r="D757" t="str">
        <f t="shared" si="90"/>
        <v>Julio</v>
      </c>
      <c r="E757" t="str">
        <f t="shared" si="91"/>
        <v>T3</v>
      </c>
      <c r="F757" t="s">
        <v>880</v>
      </c>
      <c r="G757" t="s">
        <v>87</v>
      </c>
      <c r="H757" t="s">
        <v>88</v>
      </c>
      <c r="I757" t="s">
        <v>89</v>
      </c>
      <c r="J757" t="s">
        <v>57</v>
      </c>
      <c r="K757" t="s">
        <v>81</v>
      </c>
      <c r="L757" t="s">
        <v>129</v>
      </c>
      <c r="M757" s="24">
        <v>12</v>
      </c>
      <c r="N757" s="25">
        <v>57209.39</v>
      </c>
      <c r="O757" s="25">
        <f t="shared" si="92"/>
        <v>686512.67999999993</v>
      </c>
      <c r="P757" s="25">
        <v>32398.12</v>
      </c>
      <c r="Q757" s="25">
        <f t="shared" si="93"/>
        <v>388777.44</v>
      </c>
      <c r="R757" s="25">
        <f t="shared" si="94"/>
        <v>297735.23999999993</v>
      </c>
      <c r="S757" s="26">
        <f t="shared" si="95"/>
        <v>0.43369226625209595</v>
      </c>
    </row>
    <row r="758" spans="1:19" ht="15" x14ac:dyDescent="0.2">
      <c r="A758" s="23">
        <v>45854</v>
      </c>
      <c r="B758">
        <f t="shared" si="88"/>
        <v>2025</v>
      </c>
      <c r="C758">
        <f t="shared" si="89"/>
        <v>7</v>
      </c>
      <c r="D758" t="str">
        <f t="shared" si="90"/>
        <v>Julio</v>
      </c>
      <c r="E758" t="str">
        <f t="shared" si="91"/>
        <v>T3</v>
      </c>
      <c r="F758" t="s">
        <v>881</v>
      </c>
      <c r="G758" t="s">
        <v>144</v>
      </c>
      <c r="H758" t="s">
        <v>88</v>
      </c>
      <c r="I758" t="s">
        <v>145</v>
      </c>
      <c r="J758" t="s">
        <v>70</v>
      </c>
      <c r="K758" t="s">
        <v>71</v>
      </c>
      <c r="L758" t="s">
        <v>90</v>
      </c>
      <c r="M758" s="24">
        <v>2</v>
      </c>
      <c r="N758" s="25">
        <v>9387.8799999999992</v>
      </c>
      <c r="O758" s="25">
        <f t="shared" si="92"/>
        <v>18775.759999999998</v>
      </c>
      <c r="P758" s="25">
        <v>5527.3</v>
      </c>
      <c r="Q758" s="25">
        <f t="shared" si="93"/>
        <v>11054.6</v>
      </c>
      <c r="R758" s="25">
        <f t="shared" si="94"/>
        <v>7721.159999999998</v>
      </c>
      <c r="S758" s="26">
        <f t="shared" si="95"/>
        <v>0.41123022450223046</v>
      </c>
    </row>
    <row r="759" spans="1:19" ht="15" x14ac:dyDescent="0.2">
      <c r="A759" s="23">
        <v>45854</v>
      </c>
      <c r="B759">
        <f t="shared" si="88"/>
        <v>2025</v>
      </c>
      <c r="C759">
        <f t="shared" si="89"/>
        <v>7</v>
      </c>
      <c r="D759" t="str">
        <f t="shared" si="90"/>
        <v>Julio</v>
      </c>
      <c r="E759" t="str">
        <f t="shared" si="91"/>
        <v>T3</v>
      </c>
      <c r="F759" t="s">
        <v>882</v>
      </c>
      <c r="G759" t="s">
        <v>206</v>
      </c>
      <c r="H759" t="s">
        <v>93</v>
      </c>
      <c r="I759" t="s">
        <v>207</v>
      </c>
      <c r="J759" t="s">
        <v>64</v>
      </c>
      <c r="K759" t="s">
        <v>65</v>
      </c>
      <c r="L759" t="s">
        <v>66</v>
      </c>
      <c r="M759" s="24">
        <v>4</v>
      </c>
      <c r="N759" s="25">
        <v>117854.46</v>
      </c>
      <c r="O759" s="25">
        <f t="shared" si="92"/>
        <v>471417.84</v>
      </c>
      <c r="P759" s="25">
        <v>70191.7</v>
      </c>
      <c r="Q759" s="25">
        <f t="shared" si="93"/>
        <v>280766.8</v>
      </c>
      <c r="R759" s="25">
        <f t="shared" si="94"/>
        <v>190651.04000000004</v>
      </c>
      <c r="S759" s="26">
        <f t="shared" si="95"/>
        <v>0.4044205030509665</v>
      </c>
    </row>
    <row r="760" spans="1:19" ht="15" x14ac:dyDescent="0.2">
      <c r="A760" s="23">
        <v>45854</v>
      </c>
      <c r="B760">
        <f t="shared" si="88"/>
        <v>2025</v>
      </c>
      <c r="C760">
        <f t="shared" si="89"/>
        <v>7</v>
      </c>
      <c r="D760" t="str">
        <f t="shared" si="90"/>
        <v>Julio</v>
      </c>
      <c r="E760" t="str">
        <f t="shared" si="91"/>
        <v>T3</v>
      </c>
      <c r="F760" t="s">
        <v>883</v>
      </c>
      <c r="G760" t="s">
        <v>92</v>
      </c>
      <c r="H760" t="s">
        <v>93</v>
      </c>
      <c r="I760" t="s">
        <v>94</v>
      </c>
      <c r="J760" t="s">
        <v>57</v>
      </c>
      <c r="K760" t="s">
        <v>58</v>
      </c>
      <c r="L760" t="s">
        <v>162</v>
      </c>
      <c r="M760" s="24">
        <v>10</v>
      </c>
      <c r="N760" s="25">
        <v>20482.689999999999</v>
      </c>
      <c r="O760" s="25">
        <f t="shared" si="92"/>
        <v>204826.9</v>
      </c>
      <c r="P760" s="25">
        <v>11934.68</v>
      </c>
      <c r="Q760" s="25">
        <f t="shared" si="93"/>
        <v>119346.8</v>
      </c>
      <c r="R760" s="25">
        <f t="shared" si="94"/>
        <v>85480.099999999991</v>
      </c>
      <c r="S760" s="26">
        <f t="shared" si="95"/>
        <v>0.41732848566277181</v>
      </c>
    </row>
    <row r="761" spans="1:19" ht="15" x14ac:dyDescent="0.2">
      <c r="A761" s="23">
        <v>45855</v>
      </c>
      <c r="B761">
        <f t="shared" si="88"/>
        <v>2025</v>
      </c>
      <c r="C761">
        <f t="shared" si="89"/>
        <v>7</v>
      </c>
      <c r="D761" t="str">
        <f t="shared" si="90"/>
        <v>Julio</v>
      </c>
      <c r="E761" t="str">
        <f t="shared" si="91"/>
        <v>T3</v>
      </c>
      <c r="F761" t="s">
        <v>884</v>
      </c>
      <c r="G761" t="s">
        <v>110</v>
      </c>
      <c r="H761" t="s">
        <v>62</v>
      </c>
      <c r="I761" t="s">
        <v>69</v>
      </c>
      <c r="J761" t="s">
        <v>64</v>
      </c>
      <c r="K761" t="s">
        <v>65</v>
      </c>
      <c r="L761" t="s">
        <v>66</v>
      </c>
      <c r="M761" s="24">
        <v>261</v>
      </c>
      <c r="N761" s="25">
        <v>6444.46</v>
      </c>
      <c r="O761" s="25">
        <f t="shared" si="92"/>
        <v>1682004.06</v>
      </c>
      <c r="P761" s="25">
        <v>5400.56</v>
      </c>
      <c r="Q761" s="25">
        <f t="shared" si="93"/>
        <v>1409546.1600000001</v>
      </c>
      <c r="R761" s="25">
        <f t="shared" si="94"/>
        <v>272457.89999999991</v>
      </c>
      <c r="S761" s="26">
        <f t="shared" si="95"/>
        <v>0.16198409176253706</v>
      </c>
    </row>
    <row r="762" spans="1:19" ht="15" x14ac:dyDescent="0.2">
      <c r="A762" s="23">
        <v>45855</v>
      </c>
      <c r="B762">
        <f t="shared" si="88"/>
        <v>2025</v>
      </c>
      <c r="C762">
        <f t="shared" si="89"/>
        <v>7</v>
      </c>
      <c r="D762" t="str">
        <f t="shared" si="90"/>
        <v>Julio</v>
      </c>
      <c r="E762" t="str">
        <f t="shared" si="91"/>
        <v>T3</v>
      </c>
      <c r="F762" t="s">
        <v>885</v>
      </c>
      <c r="G762" t="s">
        <v>105</v>
      </c>
      <c r="H762" t="s">
        <v>62</v>
      </c>
      <c r="I762" t="s">
        <v>106</v>
      </c>
      <c r="J762" t="s">
        <v>77</v>
      </c>
      <c r="K762" t="s">
        <v>78</v>
      </c>
      <c r="L762" t="s">
        <v>79</v>
      </c>
      <c r="M762" s="24">
        <v>177</v>
      </c>
      <c r="N762" s="25">
        <v>1868.58</v>
      </c>
      <c r="O762" s="25">
        <f t="shared" si="92"/>
        <v>330738.65999999997</v>
      </c>
      <c r="P762" s="25">
        <v>1498.04</v>
      </c>
      <c r="Q762" s="25">
        <f t="shared" si="93"/>
        <v>265153.08</v>
      </c>
      <c r="R762" s="25">
        <f t="shared" si="94"/>
        <v>65585.579999999958</v>
      </c>
      <c r="S762" s="26">
        <f t="shared" si="95"/>
        <v>0.19830031360712402</v>
      </c>
    </row>
    <row r="763" spans="1:19" ht="15" x14ac:dyDescent="0.2">
      <c r="A763" s="23">
        <v>45855</v>
      </c>
      <c r="B763">
        <f t="shared" si="88"/>
        <v>2025</v>
      </c>
      <c r="C763">
        <f t="shared" si="89"/>
        <v>7</v>
      </c>
      <c r="D763" t="str">
        <f t="shared" si="90"/>
        <v>Julio</v>
      </c>
      <c r="E763" t="str">
        <f t="shared" si="91"/>
        <v>T3</v>
      </c>
      <c r="F763" t="s">
        <v>886</v>
      </c>
      <c r="G763" t="s">
        <v>188</v>
      </c>
      <c r="H763" t="s">
        <v>88</v>
      </c>
      <c r="I763" t="s">
        <v>189</v>
      </c>
      <c r="J763" t="s">
        <v>64</v>
      </c>
      <c r="K763" t="s">
        <v>65</v>
      </c>
      <c r="L763" t="s">
        <v>123</v>
      </c>
      <c r="M763" s="24">
        <v>15</v>
      </c>
      <c r="N763" s="25">
        <v>76844.14</v>
      </c>
      <c r="O763" s="25">
        <f t="shared" si="92"/>
        <v>1152662.1000000001</v>
      </c>
      <c r="P763" s="25">
        <v>42561.120000000003</v>
      </c>
      <c r="Q763" s="25">
        <f t="shared" si="93"/>
        <v>638416.80000000005</v>
      </c>
      <c r="R763" s="25">
        <f t="shared" si="94"/>
        <v>514245.30000000005</v>
      </c>
      <c r="S763" s="26">
        <f t="shared" si="95"/>
        <v>0.44613707694562005</v>
      </c>
    </row>
    <row r="764" spans="1:19" ht="15" x14ac:dyDescent="0.2">
      <c r="A764" s="23">
        <v>45856</v>
      </c>
      <c r="B764">
        <f t="shared" si="88"/>
        <v>2025</v>
      </c>
      <c r="C764">
        <f t="shared" si="89"/>
        <v>7</v>
      </c>
      <c r="D764" t="str">
        <f t="shared" si="90"/>
        <v>Julio</v>
      </c>
      <c r="E764" t="str">
        <f t="shared" si="91"/>
        <v>T3</v>
      </c>
      <c r="F764" t="s">
        <v>887</v>
      </c>
      <c r="G764" t="s">
        <v>282</v>
      </c>
      <c r="H764" t="s">
        <v>55</v>
      </c>
      <c r="I764" t="s">
        <v>56</v>
      </c>
      <c r="J764" t="s">
        <v>77</v>
      </c>
      <c r="K764" t="s">
        <v>107</v>
      </c>
      <c r="L764" t="s">
        <v>112</v>
      </c>
      <c r="M764" s="24">
        <v>3</v>
      </c>
      <c r="N764" s="25">
        <v>500277.08</v>
      </c>
      <c r="O764" s="25">
        <f t="shared" si="92"/>
        <v>1500831.24</v>
      </c>
      <c r="P764" s="25">
        <v>347216.67</v>
      </c>
      <c r="Q764" s="25">
        <f t="shared" si="93"/>
        <v>1041650.01</v>
      </c>
      <c r="R764" s="25">
        <f t="shared" si="94"/>
        <v>459181.23</v>
      </c>
      <c r="S764" s="26">
        <f t="shared" si="95"/>
        <v>0.30595127404197686</v>
      </c>
    </row>
    <row r="765" spans="1:19" ht="15" x14ac:dyDescent="0.2">
      <c r="A765" s="23">
        <v>45856</v>
      </c>
      <c r="B765">
        <f t="shared" si="88"/>
        <v>2025</v>
      </c>
      <c r="C765">
        <f t="shared" si="89"/>
        <v>7</v>
      </c>
      <c r="D765" t="str">
        <f t="shared" si="90"/>
        <v>Julio</v>
      </c>
      <c r="E765" t="str">
        <f t="shared" si="91"/>
        <v>T3</v>
      </c>
      <c r="F765" t="s">
        <v>888</v>
      </c>
      <c r="G765" t="s">
        <v>54</v>
      </c>
      <c r="H765" t="s">
        <v>55</v>
      </c>
      <c r="I765" t="s">
        <v>56</v>
      </c>
      <c r="J765" t="s">
        <v>57</v>
      </c>
      <c r="K765" t="s">
        <v>58</v>
      </c>
      <c r="L765" t="s">
        <v>59</v>
      </c>
      <c r="M765" s="24">
        <v>8</v>
      </c>
      <c r="N765" s="25">
        <v>60040.34</v>
      </c>
      <c r="O765" s="25">
        <f t="shared" si="92"/>
        <v>480322.72</v>
      </c>
      <c r="P765" s="25">
        <v>44096.22</v>
      </c>
      <c r="Q765" s="25">
        <f t="shared" si="93"/>
        <v>352769.76</v>
      </c>
      <c r="R765" s="25">
        <f t="shared" si="94"/>
        <v>127552.95999999996</v>
      </c>
      <c r="S765" s="26">
        <f t="shared" si="95"/>
        <v>0.26555679065108551</v>
      </c>
    </row>
    <row r="766" spans="1:19" ht="15" x14ac:dyDescent="0.2">
      <c r="A766" s="23">
        <v>45856</v>
      </c>
      <c r="B766">
        <f t="shared" si="88"/>
        <v>2025</v>
      </c>
      <c r="C766">
        <f t="shared" si="89"/>
        <v>7</v>
      </c>
      <c r="D766" t="str">
        <f t="shared" si="90"/>
        <v>Julio</v>
      </c>
      <c r="E766" t="str">
        <f t="shared" si="91"/>
        <v>T3</v>
      </c>
      <c r="F766" t="s">
        <v>889</v>
      </c>
      <c r="G766" t="s">
        <v>54</v>
      </c>
      <c r="H766" t="s">
        <v>55</v>
      </c>
      <c r="I766" t="s">
        <v>56</v>
      </c>
      <c r="J766" t="s">
        <v>70</v>
      </c>
      <c r="K766" t="s">
        <v>84</v>
      </c>
      <c r="L766" t="s">
        <v>85</v>
      </c>
      <c r="M766" s="24">
        <v>9</v>
      </c>
      <c r="N766" s="25">
        <v>55273.69</v>
      </c>
      <c r="O766" s="25">
        <f t="shared" si="92"/>
        <v>497463.21</v>
      </c>
      <c r="P766" s="25">
        <v>42592.97</v>
      </c>
      <c r="Q766" s="25">
        <f t="shared" si="93"/>
        <v>383336.73</v>
      </c>
      <c r="R766" s="25">
        <f t="shared" si="94"/>
        <v>114126.48000000004</v>
      </c>
      <c r="S766" s="26">
        <f t="shared" si="95"/>
        <v>0.22941692512296544</v>
      </c>
    </row>
    <row r="767" spans="1:19" ht="15" x14ac:dyDescent="0.2">
      <c r="A767" s="23">
        <v>45856</v>
      </c>
      <c r="B767">
        <f t="shared" si="88"/>
        <v>2025</v>
      </c>
      <c r="C767">
        <f t="shared" si="89"/>
        <v>7</v>
      </c>
      <c r="D767" t="str">
        <f t="shared" si="90"/>
        <v>Julio</v>
      </c>
      <c r="E767" t="str">
        <f t="shared" si="91"/>
        <v>T3</v>
      </c>
      <c r="F767" t="s">
        <v>890</v>
      </c>
      <c r="G767" t="s">
        <v>74</v>
      </c>
      <c r="H767" t="s">
        <v>75</v>
      </c>
      <c r="I767" t="s">
        <v>76</v>
      </c>
      <c r="J767" t="s">
        <v>57</v>
      </c>
      <c r="K767" t="s">
        <v>81</v>
      </c>
      <c r="L767" t="s">
        <v>82</v>
      </c>
      <c r="M767" s="24">
        <v>9</v>
      </c>
      <c r="N767" s="25">
        <v>40212.449999999997</v>
      </c>
      <c r="O767" s="25">
        <f t="shared" si="92"/>
        <v>361912.05</v>
      </c>
      <c r="P767" s="25">
        <v>27166.560000000001</v>
      </c>
      <c r="Q767" s="25">
        <f t="shared" si="93"/>
        <v>244499.04</v>
      </c>
      <c r="R767" s="25">
        <f t="shared" si="94"/>
        <v>117413.00999999998</v>
      </c>
      <c r="S767" s="26">
        <f t="shared" si="95"/>
        <v>0.32442415222151344</v>
      </c>
    </row>
    <row r="768" spans="1:19" ht="15" x14ac:dyDescent="0.2">
      <c r="A768" s="23">
        <v>45856</v>
      </c>
      <c r="B768">
        <f t="shared" si="88"/>
        <v>2025</v>
      </c>
      <c r="C768">
        <f t="shared" si="89"/>
        <v>7</v>
      </c>
      <c r="D768" t="str">
        <f t="shared" si="90"/>
        <v>Julio</v>
      </c>
      <c r="E768" t="str">
        <f t="shared" si="91"/>
        <v>T3</v>
      </c>
      <c r="F768" t="s">
        <v>891</v>
      </c>
      <c r="G768" t="s">
        <v>100</v>
      </c>
      <c r="H768" t="s">
        <v>88</v>
      </c>
      <c r="I768" t="s">
        <v>101</v>
      </c>
      <c r="J768" t="s">
        <v>77</v>
      </c>
      <c r="K768" t="s">
        <v>107</v>
      </c>
      <c r="L768" t="s">
        <v>112</v>
      </c>
      <c r="M768" s="24">
        <v>2</v>
      </c>
      <c r="N768" s="25">
        <v>45605.760000000002</v>
      </c>
      <c r="O768" s="25">
        <f t="shared" si="92"/>
        <v>91211.520000000004</v>
      </c>
      <c r="P768" s="25">
        <v>24265.27</v>
      </c>
      <c r="Q768" s="25">
        <f t="shared" si="93"/>
        <v>48530.54</v>
      </c>
      <c r="R768" s="25">
        <f t="shared" si="94"/>
        <v>42680.98</v>
      </c>
      <c r="S768" s="26">
        <f t="shared" si="95"/>
        <v>0.46793409428984412</v>
      </c>
    </row>
    <row r="769" spans="1:19" ht="15" x14ac:dyDescent="0.2">
      <c r="A769" s="23">
        <v>45857</v>
      </c>
      <c r="B769">
        <f t="shared" si="88"/>
        <v>2025</v>
      </c>
      <c r="C769">
        <f t="shared" si="89"/>
        <v>7</v>
      </c>
      <c r="D769" t="str">
        <f t="shared" si="90"/>
        <v>Julio</v>
      </c>
      <c r="E769" t="str">
        <f t="shared" si="91"/>
        <v>T3</v>
      </c>
      <c r="F769" t="s">
        <v>892</v>
      </c>
      <c r="G769" t="s">
        <v>183</v>
      </c>
      <c r="H769" t="s">
        <v>55</v>
      </c>
      <c r="I769" t="s">
        <v>184</v>
      </c>
      <c r="J769" t="s">
        <v>64</v>
      </c>
      <c r="K769" t="s">
        <v>96</v>
      </c>
      <c r="L769" t="s">
        <v>103</v>
      </c>
      <c r="M769" s="24">
        <v>5</v>
      </c>
      <c r="N769" s="25">
        <v>394567.34</v>
      </c>
      <c r="O769" s="25">
        <f t="shared" si="92"/>
        <v>1972836.7000000002</v>
      </c>
      <c r="P769" s="25">
        <v>293725.2</v>
      </c>
      <c r="Q769" s="25">
        <f t="shared" si="93"/>
        <v>1468626</v>
      </c>
      <c r="R769" s="25">
        <f t="shared" si="94"/>
        <v>504210.70000000019</v>
      </c>
      <c r="S769" s="26">
        <f t="shared" si="95"/>
        <v>0.25557650057909009</v>
      </c>
    </row>
    <row r="770" spans="1:19" ht="15" x14ac:dyDescent="0.2">
      <c r="A770" s="23">
        <v>45857</v>
      </c>
      <c r="B770">
        <f t="shared" ref="B770:B833" si="96">YEAR($A770)</f>
        <v>2025</v>
      </c>
      <c r="C770">
        <f t="shared" ref="C770:C833" si="97">MONTH($A770)</f>
        <v>7</v>
      </c>
      <c r="D770" t="str">
        <f t="shared" ref="D770:D833" si="98">INDEX(lst_Meses,MONTH($A770))</f>
        <v>Julio</v>
      </c>
      <c r="E770" t="str">
        <f t="shared" ref="E770:E833" si="99">"T"&amp;ROUNDUP(MONTH($A770)/3,0)</f>
        <v>T3</v>
      </c>
      <c r="F770" t="s">
        <v>893</v>
      </c>
      <c r="G770" t="s">
        <v>54</v>
      </c>
      <c r="H770" t="s">
        <v>55</v>
      </c>
      <c r="I770" t="s">
        <v>56</v>
      </c>
      <c r="J770" t="s">
        <v>57</v>
      </c>
      <c r="K770" t="s">
        <v>58</v>
      </c>
      <c r="L770" t="s">
        <v>59</v>
      </c>
      <c r="M770" s="24">
        <v>7</v>
      </c>
      <c r="N770" s="25">
        <v>60216.24</v>
      </c>
      <c r="O770" s="25">
        <f t="shared" ref="O770:O833" si="100">$M770*$N770</f>
        <v>421513.68</v>
      </c>
      <c r="P770" s="25">
        <v>44096.52</v>
      </c>
      <c r="Q770" s="25">
        <f t="shared" ref="Q770:Q833" si="101">$M770*$P770</f>
        <v>308675.63999999996</v>
      </c>
      <c r="R770" s="25">
        <f t="shared" ref="R770:R833" si="102">$O770-$Q770</f>
        <v>112838.04000000004</v>
      </c>
      <c r="S770" s="26">
        <f t="shared" ref="S770:S833" si="103">IFERROR($R770/$O770,0)</f>
        <v>0.2676972192219243</v>
      </c>
    </row>
    <row r="771" spans="1:19" ht="15" x14ac:dyDescent="0.2">
      <c r="A771" s="23">
        <v>45857</v>
      </c>
      <c r="B771">
        <f t="shared" si="96"/>
        <v>2025</v>
      </c>
      <c r="C771">
        <f t="shared" si="97"/>
        <v>7</v>
      </c>
      <c r="D771" t="str">
        <f t="shared" si="98"/>
        <v>Julio</v>
      </c>
      <c r="E771" t="str">
        <f t="shared" si="99"/>
        <v>T3</v>
      </c>
      <c r="F771" t="s">
        <v>894</v>
      </c>
      <c r="G771" t="s">
        <v>54</v>
      </c>
      <c r="H771" t="s">
        <v>55</v>
      </c>
      <c r="I771" t="s">
        <v>56</v>
      </c>
      <c r="J771" t="s">
        <v>70</v>
      </c>
      <c r="K771" t="s">
        <v>71</v>
      </c>
      <c r="L771" t="s">
        <v>72</v>
      </c>
      <c r="M771" s="24">
        <v>6</v>
      </c>
      <c r="N771" s="25">
        <v>54953.24</v>
      </c>
      <c r="O771" s="25">
        <f t="shared" si="100"/>
        <v>329719.44</v>
      </c>
      <c r="P771" s="25">
        <v>42261</v>
      </c>
      <c r="Q771" s="25">
        <f t="shared" si="101"/>
        <v>253566</v>
      </c>
      <c r="R771" s="25">
        <f t="shared" si="102"/>
        <v>76153.440000000002</v>
      </c>
      <c r="S771" s="26">
        <f t="shared" si="103"/>
        <v>0.23096436170096613</v>
      </c>
    </row>
    <row r="772" spans="1:19" ht="15" x14ac:dyDescent="0.2">
      <c r="A772" s="23">
        <v>45857</v>
      </c>
      <c r="B772">
        <f t="shared" si="96"/>
        <v>2025</v>
      </c>
      <c r="C772">
        <f t="shared" si="97"/>
        <v>7</v>
      </c>
      <c r="D772" t="str">
        <f t="shared" si="98"/>
        <v>Julio</v>
      </c>
      <c r="E772" t="str">
        <f t="shared" si="99"/>
        <v>T3</v>
      </c>
      <c r="F772" t="s">
        <v>895</v>
      </c>
      <c r="G772" t="s">
        <v>61</v>
      </c>
      <c r="H772" t="s">
        <v>62</v>
      </c>
      <c r="I772" t="s">
        <v>63</v>
      </c>
      <c r="J772" t="s">
        <v>70</v>
      </c>
      <c r="K772" t="s">
        <v>71</v>
      </c>
      <c r="L772" t="s">
        <v>72</v>
      </c>
      <c r="M772" s="24">
        <v>58</v>
      </c>
      <c r="N772" s="25">
        <v>5546.61</v>
      </c>
      <c r="O772" s="25">
        <f t="shared" si="100"/>
        <v>321703.38</v>
      </c>
      <c r="P772" s="25">
        <v>4793.49</v>
      </c>
      <c r="Q772" s="25">
        <f t="shared" si="101"/>
        <v>278022.42</v>
      </c>
      <c r="R772" s="25">
        <f t="shared" si="102"/>
        <v>43680.960000000021</v>
      </c>
      <c r="S772" s="26">
        <f t="shared" si="103"/>
        <v>0.13578023333171077</v>
      </c>
    </row>
    <row r="773" spans="1:19" ht="15" x14ac:dyDescent="0.2">
      <c r="A773" s="23">
        <v>45857</v>
      </c>
      <c r="B773">
        <f t="shared" si="96"/>
        <v>2025</v>
      </c>
      <c r="C773">
        <f t="shared" si="97"/>
        <v>7</v>
      </c>
      <c r="D773" t="str">
        <f t="shared" si="98"/>
        <v>Julio</v>
      </c>
      <c r="E773" t="str">
        <f t="shared" si="99"/>
        <v>T3</v>
      </c>
      <c r="F773" t="s">
        <v>896</v>
      </c>
      <c r="G773" t="s">
        <v>74</v>
      </c>
      <c r="H773" t="s">
        <v>75</v>
      </c>
      <c r="I773" t="s">
        <v>76</v>
      </c>
      <c r="J773" t="s">
        <v>77</v>
      </c>
      <c r="K773" t="s">
        <v>107</v>
      </c>
      <c r="L773" t="s">
        <v>112</v>
      </c>
      <c r="M773" s="24">
        <v>9</v>
      </c>
      <c r="N773" s="25">
        <v>46058.95</v>
      </c>
      <c r="O773" s="25">
        <f t="shared" si="100"/>
        <v>414530.55</v>
      </c>
      <c r="P773" s="25">
        <v>28925.49</v>
      </c>
      <c r="Q773" s="25">
        <f t="shared" si="101"/>
        <v>260329.41</v>
      </c>
      <c r="R773" s="25">
        <f t="shared" si="102"/>
        <v>154201.13999999998</v>
      </c>
      <c r="S773" s="26">
        <f t="shared" si="103"/>
        <v>0.37198980871253035</v>
      </c>
    </row>
    <row r="774" spans="1:19" ht="15" x14ac:dyDescent="0.2">
      <c r="A774" s="23">
        <v>45857</v>
      </c>
      <c r="B774">
        <f t="shared" si="96"/>
        <v>2025</v>
      </c>
      <c r="C774">
        <f t="shared" si="97"/>
        <v>7</v>
      </c>
      <c r="D774" t="str">
        <f t="shared" si="98"/>
        <v>Julio</v>
      </c>
      <c r="E774" t="str">
        <f t="shared" si="99"/>
        <v>T3</v>
      </c>
      <c r="F774" t="s">
        <v>897</v>
      </c>
      <c r="G774" t="s">
        <v>100</v>
      </c>
      <c r="H774" t="s">
        <v>88</v>
      </c>
      <c r="I774" t="s">
        <v>101</v>
      </c>
      <c r="J774" t="s">
        <v>77</v>
      </c>
      <c r="K774" t="s">
        <v>107</v>
      </c>
      <c r="L774" t="s">
        <v>112</v>
      </c>
      <c r="M774" s="24">
        <v>16</v>
      </c>
      <c r="N774" s="25">
        <v>42941.37</v>
      </c>
      <c r="O774" s="25">
        <f t="shared" si="100"/>
        <v>687061.92</v>
      </c>
      <c r="P774" s="25">
        <v>21492.06</v>
      </c>
      <c r="Q774" s="25">
        <f t="shared" si="101"/>
        <v>343872.96</v>
      </c>
      <c r="R774" s="25">
        <f t="shared" si="102"/>
        <v>343188.96</v>
      </c>
      <c r="S774" s="26">
        <f t="shared" si="103"/>
        <v>0.49950222827077945</v>
      </c>
    </row>
    <row r="775" spans="1:19" ht="15" x14ac:dyDescent="0.2">
      <c r="A775" s="23">
        <v>45857</v>
      </c>
      <c r="B775">
        <f t="shared" si="96"/>
        <v>2025</v>
      </c>
      <c r="C775">
        <f t="shared" si="97"/>
        <v>7</v>
      </c>
      <c r="D775" t="str">
        <f t="shared" si="98"/>
        <v>Julio</v>
      </c>
      <c r="E775" t="str">
        <f t="shared" si="99"/>
        <v>T3</v>
      </c>
      <c r="F775" t="s">
        <v>898</v>
      </c>
      <c r="G775" t="s">
        <v>144</v>
      </c>
      <c r="H775" t="s">
        <v>88</v>
      </c>
      <c r="I775" t="s">
        <v>145</v>
      </c>
      <c r="J775" t="s">
        <v>57</v>
      </c>
      <c r="K775" t="s">
        <v>58</v>
      </c>
      <c r="L775" t="s">
        <v>162</v>
      </c>
      <c r="M775" s="24">
        <v>34</v>
      </c>
      <c r="N775" s="25">
        <v>12047.64</v>
      </c>
      <c r="O775" s="25">
        <f t="shared" si="100"/>
        <v>409619.76</v>
      </c>
      <c r="P775" s="25">
        <v>6923.77</v>
      </c>
      <c r="Q775" s="25">
        <f t="shared" si="101"/>
        <v>235408.18000000002</v>
      </c>
      <c r="R775" s="25">
        <f t="shared" si="102"/>
        <v>174211.58</v>
      </c>
      <c r="S775" s="26">
        <f t="shared" si="103"/>
        <v>0.42530072279716191</v>
      </c>
    </row>
    <row r="776" spans="1:19" ht="15" x14ac:dyDescent="0.2">
      <c r="A776" s="23">
        <v>45857</v>
      </c>
      <c r="B776">
        <f t="shared" si="96"/>
        <v>2025</v>
      </c>
      <c r="C776">
        <f t="shared" si="97"/>
        <v>7</v>
      </c>
      <c r="D776" t="str">
        <f t="shared" si="98"/>
        <v>Julio</v>
      </c>
      <c r="E776" t="str">
        <f t="shared" si="99"/>
        <v>T3</v>
      </c>
      <c r="F776" t="s">
        <v>899</v>
      </c>
      <c r="G776" t="s">
        <v>92</v>
      </c>
      <c r="H776" t="s">
        <v>93</v>
      </c>
      <c r="I776" t="s">
        <v>94</v>
      </c>
      <c r="J776" t="s">
        <v>70</v>
      </c>
      <c r="K776" t="s">
        <v>84</v>
      </c>
      <c r="L776" t="s">
        <v>147</v>
      </c>
      <c r="M776" s="24">
        <v>3</v>
      </c>
      <c r="N776" s="25">
        <v>21392.3</v>
      </c>
      <c r="O776" s="25">
        <f t="shared" si="100"/>
        <v>64176.899999999994</v>
      </c>
      <c r="P776" s="25">
        <v>13273.36</v>
      </c>
      <c r="Q776" s="25">
        <f t="shared" si="101"/>
        <v>39820.080000000002</v>
      </c>
      <c r="R776" s="25">
        <f t="shared" si="102"/>
        <v>24356.819999999992</v>
      </c>
      <c r="S776" s="26">
        <f t="shared" si="103"/>
        <v>0.37952627814680973</v>
      </c>
    </row>
    <row r="777" spans="1:19" ht="15" x14ac:dyDescent="0.2">
      <c r="A777" s="23">
        <v>45858</v>
      </c>
      <c r="B777">
        <f t="shared" si="96"/>
        <v>2025</v>
      </c>
      <c r="C777">
        <f t="shared" si="97"/>
        <v>7</v>
      </c>
      <c r="D777" t="str">
        <f t="shared" si="98"/>
        <v>Julio</v>
      </c>
      <c r="E777" t="str">
        <f t="shared" si="99"/>
        <v>T3</v>
      </c>
      <c r="F777" t="s">
        <v>900</v>
      </c>
      <c r="G777" t="s">
        <v>105</v>
      </c>
      <c r="H777" t="s">
        <v>62</v>
      </c>
      <c r="I777" t="s">
        <v>106</v>
      </c>
      <c r="J777" t="s">
        <v>77</v>
      </c>
      <c r="K777" t="s">
        <v>107</v>
      </c>
      <c r="L777" t="s">
        <v>108</v>
      </c>
      <c r="M777" s="24">
        <v>669</v>
      </c>
      <c r="N777" s="25">
        <v>1917.75</v>
      </c>
      <c r="O777" s="25">
        <f t="shared" si="100"/>
        <v>1282974.75</v>
      </c>
      <c r="P777" s="25">
        <v>1499.05</v>
      </c>
      <c r="Q777" s="25">
        <f t="shared" si="101"/>
        <v>1002864.45</v>
      </c>
      <c r="R777" s="25">
        <f t="shared" si="102"/>
        <v>280110.30000000005</v>
      </c>
      <c r="S777" s="26">
        <f t="shared" si="103"/>
        <v>0.2183287706948247</v>
      </c>
    </row>
    <row r="778" spans="1:19" ht="15" x14ac:dyDescent="0.2">
      <c r="A778" s="23">
        <v>45858</v>
      </c>
      <c r="B778">
        <f t="shared" si="96"/>
        <v>2025</v>
      </c>
      <c r="C778">
        <f t="shared" si="97"/>
        <v>7</v>
      </c>
      <c r="D778" t="str">
        <f t="shared" si="98"/>
        <v>Julio</v>
      </c>
      <c r="E778" t="str">
        <f t="shared" si="99"/>
        <v>T3</v>
      </c>
      <c r="F778" t="s">
        <v>901</v>
      </c>
      <c r="G778" t="s">
        <v>114</v>
      </c>
      <c r="H778" t="s">
        <v>75</v>
      </c>
      <c r="I778" t="s">
        <v>115</v>
      </c>
      <c r="J778" t="s">
        <v>57</v>
      </c>
      <c r="K778" t="s">
        <v>81</v>
      </c>
      <c r="L778" t="s">
        <v>129</v>
      </c>
      <c r="M778" s="24">
        <v>9</v>
      </c>
      <c r="N778" s="25">
        <v>92437.6</v>
      </c>
      <c r="O778" s="25">
        <f t="shared" si="100"/>
        <v>831938.4</v>
      </c>
      <c r="P778" s="25">
        <v>63404.95</v>
      </c>
      <c r="Q778" s="25">
        <f t="shared" si="101"/>
        <v>570644.54999999993</v>
      </c>
      <c r="R778" s="25">
        <f t="shared" si="102"/>
        <v>261293.85000000009</v>
      </c>
      <c r="S778" s="26">
        <f t="shared" si="103"/>
        <v>0.31407836205180584</v>
      </c>
    </row>
    <row r="779" spans="1:19" ht="15" x14ac:dyDescent="0.2">
      <c r="A779" s="23">
        <v>45858</v>
      </c>
      <c r="B779">
        <f t="shared" si="96"/>
        <v>2025</v>
      </c>
      <c r="C779">
        <f t="shared" si="97"/>
        <v>7</v>
      </c>
      <c r="D779" t="str">
        <f t="shared" si="98"/>
        <v>Julio</v>
      </c>
      <c r="E779" t="str">
        <f t="shared" si="99"/>
        <v>T3</v>
      </c>
      <c r="F779" t="s">
        <v>902</v>
      </c>
      <c r="G779" t="s">
        <v>149</v>
      </c>
      <c r="H779" t="s">
        <v>93</v>
      </c>
      <c r="I779" t="s">
        <v>150</v>
      </c>
      <c r="J779" t="s">
        <v>125</v>
      </c>
      <c r="K779" t="s">
        <v>126</v>
      </c>
      <c r="L779" t="s">
        <v>127</v>
      </c>
      <c r="M779" s="24">
        <v>3</v>
      </c>
      <c r="N779" s="25">
        <v>44044.9</v>
      </c>
      <c r="O779" s="25">
        <f t="shared" si="100"/>
        <v>132134.70000000001</v>
      </c>
      <c r="P779" s="25">
        <v>26098.13</v>
      </c>
      <c r="Q779" s="25">
        <f t="shared" si="101"/>
        <v>78294.39</v>
      </c>
      <c r="R779" s="25">
        <f t="shared" si="102"/>
        <v>53840.310000000012</v>
      </c>
      <c r="S779" s="26">
        <f t="shared" si="103"/>
        <v>0.40746533650888078</v>
      </c>
    </row>
    <row r="780" spans="1:19" ht="15" x14ac:dyDescent="0.2">
      <c r="A780" s="23">
        <v>45859</v>
      </c>
      <c r="B780">
        <f t="shared" si="96"/>
        <v>2025</v>
      </c>
      <c r="C780">
        <f t="shared" si="97"/>
        <v>7</v>
      </c>
      <c r="D780" t="str">
        <f t="shared" si="98"/>
        <v>Julio</v>
      </c>
      <c r="E780" t="str">
        <f t="shared" si="99"/>
        <v>T3</v>
      </c>
      <c r="F780" t="s">
        <v>903</v>
      </c>
      <c r="G780" t="s">
        <v>54</v>
      </c>
      <c r="H780" t="s">
        <v>55</v>
      </c>
      <c r="I780" t="s">
        <v>56</v>
      </c>
      <c r="J780" t="s">
        <v>70</v>
      </c>
      <c r="K780" t="s">
        <v>71</v>
      </c>
      <c r="L780" t="s">
        <v>72</v>
      </c>
      <c r="M780" s="24">
        <v>1</v>
      </c>
      <c r="N780" s="25">
        <v>58269.03</v>
      </c>
      <c r="O780" s="25">
        <f t="shared" si="100"/>
        <v>58269.03</v>
      </c>
      <c r="P780" s="25">
        <v>45060.82</v>
      </c>
      <c r="Q780" s="25">
        <f t="shared" si="101"/>
        <v>45060.82</v>
      </c>
      <c r="R780" s="25">
        <f t="shared" si="102"/>
        <v>13208.21</v>
      </c>
      <c r="S780" s="26">
        <f t="shared" si="103"/>
        <v>0.22667633217851746</v>
      </c>
    </row>
    <row r="781" spans="1:19" ht="15" x14ac:dyDescent="0.2">
      <c r="A781" s="23">
        <v>45859</v>
      </c>
      <c r="B781">
        <f t="shared" si="96"/>
        <v>2025</v>
      </c>
      <c r="C781">
        <f t="shared" si="97"/>
        <v>7</v>
      </c>
      <c r="D781" t="str">
        <f t="shared" si="98"/>
        <v>Julio</v>
      </c>
      <c r="E781" t="str">
        <f t="shared" si="99"/>
        <v>T3</v>
      </c>
      <c r="F781" t="s">
        <v>904</v>
      </c>
      <c r="G781" t="s">
        <v>61</v>
      </c>
      <c r="H781" t="s">
        <v>62</v>
      </c>
      <c r="I781" t="s">
        <v>63</v>
      </c>
      <c r="J781" t="s">
        <v>57</v>
      </c>
      <c r="K781" t="s">
        <v>58</v>
      </c>
      <c r="L781" t="s">
        <v>162</v>
      </c>
      <c r="M781" s="24">
        <v>53</v>
      </c>
      <c r="N781" s="25">
        <v>5812.03</v>
      </c>
      <c r="O781" s="25">
        <f t="shared" si="100"/>
        <v>308037.58999999997</v>
      </c>
      <c r="P781" s="25">
        <v>4787.63</v>
      </c>
      <c r="Q781" s="25">
        <f t="shared" si="101"/>
        <v>253744.39</v>
      </c>
      <c r="R781" s="25">
        <f t="shared" si="102"/>
        <v>54293.199999999953</v>
      </c>
      <c r="S781" s="26">
        <f t="shared" si="103"/>
        <v>0.17625511224133378</v>
      </c>
    </row>
    <row r="782" spans="1:19" ht="15" x14ac:dyDescent="0.2">
      <c r="A782" s="23">
        <v>45859</v>
      </c>
      <c r="B782">
        <f t="shared" si="96"/>
        <v>2025</v>
      </c>
      <c r="C782">
        <f t="shared" si="97"/>
        <v>7</v>
      </c>
      <c r="D782" t="str">
        <f t="shared" si="98"/>
        <v>Julio</v>
      </c>
      <c r="E782" t="str">
        <f t="shared" si="99"/>
        <v>T3</v>
      </c>
      <c r="F782" t="s">
        <v>905</v>
      </c>
      <c r="G782" t="s">
        <v>74</v>
      </c>
      <c r="H782" t="s">
        <v>75</v>
      </c>
      <c r="I782" t="s">
        <v>76</v>
      </c>
      <c r="J782" t="s">
        <v>125</v>
      </c>
      <c r="K782" t="s">
        <v>126</v>
      </c>
      <c r="L782" t="s">
        <v>131</v>
      </c>
      <c r="M782" s="24">
        <v>4</v>
      </c>
      <c r="N782" s="25">
        <v>45583.91</v>
      </c>
      <c r="O782" s="25">
        <f t="shared" si="100"/>
        <v>182335.64</v>
      </c>
      <c r="P782" s="25">
        <v>31296.89</v>
      </c>
      <c r="Q782" s="25">
        <f t="shared" si="101"/>
        <v>125187.56</v>
      </c>
      <c r="R782" s="25">
        <f t="shared" si="102"/>
        <v>57148.080000000016</v>
      </c>
      <c r="S782" s="26">
        <f t="shared" si="103"/>
        <v>0.31342243348585064</v>
      </c>
    </row>
    <row r="783" spans="1:19" ht="15" x14ac:dyDescent="0.2">
      <c r="A783" s="23">
        <v>45859</v>
      </c>
      <c r="B783">
        <f t="shared" si="96"/>
        <v>2025</v>
      </c>
      <c r="C783">
        <f t="shared" si="97"/>
        <v>7</v>
      </c>
      <c r="D783" t="str">
        <f t="shared" si="98"/>
        <v>Julio</v>
      </c>
      <c r="E783" t="str">
        <f t="shared" si="99"/>
        <v>T3</v>
      </c>
      <c r="F783" t="s">
        <v>906</v>
      </c>
      <c r="G783" t="s">
        <v>74</v>
      </c>
      <c r="H783" t="s">
        <v>75</v>
      </c>
      <c r="I783" t="s">
        <v>76</v>
      </c>
      <c r="J783" t="s">
        <v>125</v>
      </c>
      <c r="K783" t="s">
        <v>126</v>
      </c>
      <c r="L783" t="s">
        <v>127</v>
      </c>
      <c r="M783" s="24">
        <v>7</v>
      </c>
      <c r="N783" s="25">
        <v>42164.82</v>
      </c>
      <c r="O783" s="25">
        <f t="shared" si="100"/>
        <v>295153.74</v>
      </c>
      <c r="P783" s="25">
        <v>28047.52</v>
      </c>
      <c r="Q783" s="25">
        <f t="shared" si="101"/>
        <v>196332.64</v>
      </c>
      <c r="R783" s="25">
        <f t="shared" si="102"/>
        <v>98821.099999999977</v>
      </c>
      <c r="S783" s="26">
        <f t="shared" si="103"/>
        <v>0.33481229138414437</v>
      </c>
    </row>
    <row r="784" spans="1:19" ht="15" x14ac:dyDescent="0.2">
      <c r="A784" s="23">
        <v>45859</v>
      </c>
      <c r="B784">
        <f t="shared" si="96"/>
        <v>2025</v>
      </c>
      <c r="C784">
        <f t="shared" si="97"/>
        <v>7</v>
      </c>
      <c r="D784" t="str">
        <f t="shared" si="98"/>
        <v>Julio</v>
      </c>
      <c r="E784" t="str">
        <f t="shared" si="99"/>
        <v>T3</v>
      </c>
      <c r="F784" t="s">
        <v>907</v>
      </c>
      <c r="G784" t="s">
        <v>87</v>
      </c>
      <c r="H784" t="s">
        <v>88</v>
      </c>
      <c r="I784" t="s">
        <v>89</v>
      </c>
      <c r="J784" t="s">
        <v>70</v>
      </c>
      <c r="K784" t="s">
        <v>71</v>
      </c>
      <c r="L784" t="s">
        <v>90</v>
      </c>
      <c r="M784" s="24">
        <v>6</v>
      </c>
      <c r="N784" s="25">
        <v>55559.3</v>
      </c>
      <c r="O784" s="25">
        <f t="shared" si="100"/>
        <v>333355.80000000005</v>
      </c>
      <c r="P784" s="25">
        <v>32614.45</v>
      </c>
      <c r="Q784" s="25">
        <f t="shared" si="101"/>
        <v>195686.7</v>
      </c>
      <c r="R784" s="25">
        <f t="shared" si="102"/>
        <v>137669.10000000003</v>
      </c>
      <c r="S784" s="26">
        <f t="shared" si="103"/>
        <v>0.41297946518404666</v>
      </c>
    </row>
    <row r="785" spans="1:19" ht="15" x14ac:dyDescent="0.2">
      <c r="A785" s="23">
        <v>45859</v>
      </c>
      <c r="B785">
        <f t="shared" si="96"/>
        <v>2025</v>
      </c>
      <c r="C785">
        <f t="shared" si="97"/>
        <v>7</v>
      </c>
      <c r="D785" t="str">
        <f t="shared" si="98"/>
        <v>Julio</v>
      </c>
      <c r="E785" t="str">
        <f t="shared" si="99"/>
        <v>T3</v>
      </c>
      <c r="F785" t="s">
        <v>908</v>
      </c>
      <c r="G785" t="s">
        <v>149</v>
      </c>
      <c r="H785" t="s">
        <v>93</v>
      </c>
      <c r="I785" t="s">
        <v>150</v>
      </c>
      <c r="J785" t="s">
        <v>64</v>
      </c>
      <c r="K785" t="s">
        <v>96</v>
      </c>
      <c r="L785" t="s">
        <v>97</v>
      </c>
      <c r="M785" s="24">
        <v>10</v>
      </c>
      <c r="N785" s="25">
        <v>41760.79</v>
      </c>
      <c r="O785" s="25">
        <f t="shared" si="100"/>
        <v>417607.9</v>
      </c>
      <c r="P785" s="25">
        <v>25970.19</v>
      </c>
      <c r="Q785" s="25">
        <f t="shared" si="101"/>
        <v>259701.9</v>
      </c>
      <c r="R785" s="25">
        <f t="shared" si="102"/>
        <v>157906.00000000003</v>
      </c>
      <c r="S785" s="26">
        <f t="shared" si="103"/>
        <v>0.37812024149926288</v>
      </c>
    </row>
    <row r="786" spans="1:19" ht="15" x14ac:dyDescent="0.2">
      <c r="A786" s="23">
        <v>45860</v>
      </c>
      <c r="B786">
        <f t="shared" si="96"/>
        <v>2025</v>
      </c>
      <c r="C786">
        <f t="shared" si="97"/>
        <v>7</v>
      </c>
      <c r="D786" t="str">
        <f t="shared" si="98"/>
        <v>Julio</v>
      </c>
      <c r="E786" t="str">
        <f t="shared" si="99"/>
        <v>T3</v>
      </c>
      <c r="F786" t="s">
        <v>909</v>
      </c>
      <c r="G786" t="s">
        <v>54</v>
      </c>
      <c r="H786" t="s">
        <v>55</v>
      </c>
      <c r="I786" t="s">
        <v>56</v>
      </c>
      <c r="J786" t="s">
        <v>64</v>
      </c>
      <c r="K786" t="s">
        <v>96</v>
      </c>
      <c r="L786" t="s">
        <v>97</v>
      </c>
      <c r="M786" s="24">
        <v>14</v>
      </c>
      <c r="N786" s="25">
        <v>57351.57</v>
      </c>
      <c r="O786" s="25">
        <f t="shared" si="100"/>
        <v>802921.98</v>
      </c>
      <c r="P786" s="25">
        <v>42771.55</v>
      </c>
      <c r="Q786" s="25">
        <f t="shared" si="101"/>
        <v>598801.70000000007</v>
      </c>
      <c r="R786" s="25">
        <f t="shared" si="102"/>
        <v>204120.27999999991</v>
      </c>
      <c r="S786" s="26">
        <f t="shared" si="103"/>
        <v>0.25422181119017306</v>
      </c>
    </row>
    <row r="787" spans="1:19" ht="15" x14ac:dyDescent="0.2">
      <c r="A787" s="23">
        <v>45860</v>
      </c>
      <c r="B787">
        <f t="shared" si="96"/>
        <v>2025</v>
      </c>
      <c r="C787">
        <f t="shared" si="97"/>
        <v>7</v>
      </c>
      <c r="D787" t="str">
        <f t="shared" si="98"/>
        <v>Julio</v>
      </c>
      <c r="E787" t="str">
        <f t="shared" si="99"/>
        <v>T3</v>
      </c>
      <c r="F787" t="s">
        <v>910</v>
      </c>
      <c r="G787" t="s">
        <v>54</v>
      </c>
      <c r="H787" t="s">
        <v>55</v>
      </c>
      <c r="I787" t="s">
        <v>56</v>
      </c>
      <c r="J787" t="s">
        <v>125</v>
      </c>
      <c r="K787" t="s">
        <v>138</v>
      </c>
      <c r="L787" t="s">
        <v>139</v>
      </c>
      <c r="M787" s="24">
        <v>7</v>
      </c>
      <c r="N787" s="25">
        <v>58658.8</v>
      </c>
      <c r="O787" s="25">
        <f t="shared" si="100"/>
        <v>410611.60000000003</v>
      </c>
      <c r="P787" s="25">
        <v>41856.120000000003</v>
      </c>
      <c r="Q787" s="25">
        <f t="shared" si="101"/>
        <v>292992.84000000003</v>
      </c>
      <c r="R787" s="25">
        <f t="shared" si="102"/>
        <v>117618.76000000001</v>
      </c>
      <c r="S787" s="26">
        <f t="shared" si="103"/>
        <v>0.28644772821810199</v>
      </c>
    </row>
    <row r="788" spans="1:19" ht="15" x14ac:dyDescent="0.2">
      <c r="A788" s="23">
        <v>45860</v>
      </c>
      <c r="B788">
        <f t="shared" si="96"/>
        <v>2025</v>
      </c>
      <c r="C788">
        <f t="shared" si="97"/>
        <v>7</v>
      </c>
      <c r="D788" t="str">
        <f t="shared" si="98"/>
        <v>Julio</v>
      </c>
      <c r="E788" t="str">
        <f t="shared" si="99"/>
        <v>T3</v>
      </c>
      <c r="F788" t="s">
        <v>911</v>
      </c>
      <c r="G788" t="s">
        <v>68</v>
      </c>
      <c r="H788" t="s">
        <v>62</v>
      </c>
      <c r="I788" t="s">
        <v>69</v>
      </c>
      <c r="J788" t="s">
        <v>70</v>
      </c>
      <c r="K788" t="s">
        <v>84</v>
      </c>
      <c r="L788" t="s">
        <v>85</v>
      </c>
      <c r="M788" s="24">
        <v>106</v>
      </c>
      <c r="N788" s="25">
        <v>3050.21</v>
      </c>
      <c r="O788" s="25">
        <f t="shared" si="100"/>
        <v>323322.26</v>
      </c>
      <c r="P788" s="25">
        <v>2611.1799999999998</v>
      </c>
      <c r="Q788" s="25">
        <f t="shared" si="101"/>
        <v>276785.07999999996</v>
      </c>
      <c r="R788" s="25">
        <f t="shared" si="102"/>
        <v>46537.180000000051</v>
      </c>
      <c r="S788" s="26">
        <f t="shared" si="103"/>
        <v>0.1439343520610058</v>
      </c>
    </row>
    <row r="789" spans="1:19" ht="15" x14ac:dyDescent="0.2">
      <c r="A789" s="23">
        <v>45861</v>
      </c>
      <c r="B789">
        <f t="shared" si="96"/>
        <v>2025</v>
      </c>
      <c r="C789">
        <f t="shared" si="97"/>
        <v>7</v>
      </c>
      <c r="D789" t="str">
        <f t="shared" si="98"/>
        <v>Julio</v>
      </c>
      <c r="E789" t="str">
        <f t="shared" si="99"/>
        <v>T3</v>
      </c>
      <c r="F789" t="s">
        <v>912</v>
      </c>
      <c r="G789" t="s">
        <v>149</v>
      </c>
      <c r="H789" t="s">
        <v>93</v>
      </c>
      <c r="I789" t="s">
        <v>150</v>
      </c>
      <c r="J789" t="s">
        <v>77</v>
      </c>
      <c r="K789" t="s">
        <v>78</v>
      </c>
      <c r="L789" t="s">
        <v>79</v>
      </c>
      <c r="M789" s="24">
        <v>3</v>
      </c>
      <c r="N789" s="25">
        <v>51562.1</v>
      </c>
      <c r="O789" s="25">
        <f t="shared" si="100"/>
        <v>154686.29999999999</v>
      </c>
      <c r="P789" s="25">
        <v>29284.81</v>
      </c>
      <c r="Q789" s="25">
        <f t="shared" si="101"/>
        <v>87854.430000000008</v>
      </c>
      <c r="R789" s="25">
        <f t="shared" si="102"/>
        <v>66831.869999999981</v>
      </c>
      <c r="S789" s="26">
        <f t="shared" si="103"/>
        <v>0.43204776376447035</v>
      </c>
    </row>
    <row r="790" spans="1:19" ht="15" x14ac:dyDescent="0.2">
      <c r="A790" s="23">
        <v>45861</v>
      </c>
      <c r="B790">
        <f t="shared" si="96"/>
        <v>2025</v>
      </c>
      <c r="C790">
        <f t="shared" si="97"/>
        <v>7</v>
      </c>
      <c r="D790" t="str">
        <f t="shared" si="98"/>
        <v>Julio</v>
      </c>
      <c r="E790" t="str">
        <f t="shared" si="99"/>
        <v>T3</v>
      </c>
      <c r="F790" t="s">
        <v>913</v>
      </c>
      <c r="G790" t="s">
        <v>92</v>
      </c>
      <c r="H790" t="s">
        <v>93</v>
      </c>
      <c r="I790" t="s">
        <v>94</v>
      </c>
      <c r="J790" t="s">
        <v>57</v>
      </c>
      <c r="K790" t="s">
        <v>58</v>
      </c>
      <c r="L790" t="s">
        <v>162</v>
      </c>
      <c r="M790" s="24">
        <v>7</v>
      </c>
      <c r="N790" s="25">
        <v>18981.240000000002</v>
      </c>
      <c r="O790" s="25">
        <f t="shared" si="100"/>
        <v>132868.68000000002</v>
      </c>
      <c r="P790" s="25">
        <v>11254.46</v>
      </c>
      <c r="Q790" s="25">
        <f t="shared" si="101"/>
        <v>78781.22</v>
      </c>
      <c r="R790" s="25">
        <f t="shared" si="102"/>
        <v>54087.460000000021</v>
      </c>
      <c r="S790" s="26">
        <f t="shared" si="103"/>
        <v>0.40707456414860155</v>
      </c>
    </row>
    <row r="791" spans="1:19" ht="15" x14ac:dyDescent="0.2">
      <c r="A791" s="23">
        <v>45862</v>
      </c>
      <c r="B791">
        <f t="shared" si="96"/>
        <v>2025</v>
      </c>
      <c r="C791">
        <f t="shared" si="97"/>
        <v>7</v>
      </c>
      <c r="D791" t="str">
        <f t="shared" si="98"/>
        <v>Julio</v>
      </c>
      <c r="E791" t="str">
        <f t="shared" si="99"/>
        <v>T3</v>
      </c>
      <c r="F791" t="s">
        <v>914</v>
      </c>
      <c r="G791" t="s">
        <v>54</v>
      </c>
      <c r="H791" t="s">
        <v>55</v>
      </c>
      <c r="I791" t="s">
        <v>56</v>
      </c>
      <c r="J791" t="s">
        <v>57</v>
      </c>
      <c r="K791" t="s">
        <v>58</v>
      </c>
      <c r="L791" t="s">
        <v>59</v>
      </c>
      <c r="M791" s="24">
        <v>7</v>
      </c>
      <c r="N791" s="25">
        <v>54792.05</v>
      </c>
      <c r="O791" s="25">
        <f t="shared" si="100"/>
        <v>383544.35000000003</v>
      </c>
      <c r="P791" s="25">
        <v>40243.58</v>
      </c>
      <c r="Q791" s="25">
        <f t="shared" si="101"/>
        <v>281705.06</v>
      </c>
      <c r="R791" s="25">
        <f t="shared" si="102"/>
        <v>101839.29000000004</v>
      </c>
      <c r="S791" s="26">
        <f t="shared" si="103"/>
        <v>0.26552154920284976</v>
      </c>
    </row>
    <row r="792" spans="1:19" ht="15" x14ac:dyDescent="0.2">
      <c r="A792" s="23">
        <v>45862</v>
      </c>
      <c r="B792">
        <f t="shared" si="96"/>
        <v>2025</v>
      </c>
      <c r="C792">
        <f t="shared" si="97"/>
        <v>7</v>
      </c>
      <c r="D792" t="str">
        <f t="shared" si="98"/>
        <v>Julio</v>
      </c>
      <c r="E792" t="str">
        <f t="shared" si="99"/>
        <v>T3</v>
      </c>
      <c r="F792" t="s">
        <v>915</v>
      </c>
      <c r="G792" t="s">
        <v>54</v>
      </c>
      <c r="H792" t="s">
        <v>55</v>
      </c>
      <c r="I792" t="s">
        <v>56</v>
      </c>
      <c r="J792" t="s">
        <v>125</v>
      </c>
      <c r="K792" t="s">
        <v>126</v>
      </c>
      <c r="L792" t="s">
        <v>131</v>
      </c>
      <c r="M792" s="24">
        <v>4</v>
      </c>
      <c r="N792" s="25">
        <v>65054.09</v>
      </c>
      <c r="O792" s="25">
        <f t="shared" si="100"/>
        <v>260216.36</v>
      </c>
      <c r="P792" s="25">
        <v>47165.63</v>
      </c>
      <c r="Q792" s="25">
        <f t="shared" si="101"/>
        <v>188662.52</v>
      </c>
      <c r="R792" s="25">
        <f t="shared" si="102"/>
        <v>71553.84</v>
      </c>
      <c r="S792" s="26">
        <f t="shared" si="103"/>
        <v>0.27497825271247356</v>
      </c>
    </row>
    <row r="793" spans="1:19" ht="15" x14ac:dyDescent="0.2">
      <c r="A793" s="23">
        <v>45862</v>
      </c>
      <c r="B793">
        <f t="shared" si="96"/>
        <v>2025</v>
      </c>
      <c r="C793">
        <f t="shared" si="97"/>
        <v>7</v>
      </c>
      <c r="D793" t="str">
        <f t="shared" si="98"/>
        <v>Julio</v>
      </c>
      <c r="E793" t="str">
        <f t="shared" si="99"/>
        <v>T3</v>
      </c>
      <c r="F793" t="s">
        <v>916</v>
      </c>
      <c r="G793" t="s">
        <v>68</v>
      </c>
      <c r="H793" t="s">
        <v>62</v>
      </c>
      <c r="I793" t="s">
        <v>69</v>
      </c>
      <c r="J793" t="s">
        <v>57</v>
      </c>
      <c r="K793" t="s">
        <v>81</v>
      </c>
      <c r="L793" t="s">
        <v>82</v>
      </c>
      <c r="M793" s="24">
        <v>157</v>
      </c>
      <c r="N793" s="25">
        <v>3161.05</v>
      </c>
      <c r="O793" s="25">
        <f t="shared" si="100"/>
        <v>496284.85000000003</v>
      </c>
      <c r="P793" s="25">
        <v>2606.34</v>
      </c>
      <c r="Q793" s="25">
        <f t="shared" si="101"/>
        <v>409195.38</v>
      </c>
      <c r="R793" s="25">
        <f t="shared" si="102"/>
        <v>87089.47000000003</v>
      </c>
      <c r="S793" s="26">
        <f t="shared" si="103"/>
        <v>0.17548283007228616</v>
      </c>
    </row>
    <row r="794" spans="1:19" ht="15" x14ac:dyDescent="0.2">
      <c r="A794" s="23">
        <v>45862</v>
      </c>
      <c r="B794">
        <f t="shared" si="96"/>
        <v>2025</v>
      </c>
      <c r="C794">
        <f t="shared" si="97"/>
        <v>7</v>
      </c>
      <c r="D794" t="str">
        <f t="shared" si="98"/>
        <v>Julio</v>
      </c>
      <c r="E794" t="str">
        <f t="shared" si="99"/>
        <v>T3</v>
      </c>
      <c r="F794" t="s">
        <v>917</v>
      </c>
      <c r="G794" t="s">
        <v>121</v>
      </c>
      <c r="H794" t="s">
        <v>75</v>
      </c>
      <c r="I794" t="s">
        <v>122</v>
      </c>
      <c r="J794" t="s">
        <v>64</v>
      </c>
      <c r="K794" t="s">
        <v>65</v>
      </c>
      <c r="L794" t="s">
        <v>66</v>
      </c>
      <c r="M794" s="24">
        <v>3</v>
      </c>
      <c r="N794" s="25">
        <v>398930.61</v>
      </c>
      <c r="O794" s="25">
        <f t="shared" si="100"/>
        <v>1196791.83</v>
      </c>
      <c r="P794" s="25">
        <v>277211.14</v>
      </c>
      <c r="Q794" s="25">
        <f t="shared" si="101"/>
        <v>831633.42</v>
      </c>
      <c r="R794" s="25">
        <f t="shared" si="102"/>
        <v>365158.41000000003</v>
      </c>
      <c r="S794" s="26">
        <f t="shared" si="103"/>
        <v>0.30511439069566509</v>
      </c>
    </row>
    <row r="795" spans="1:19" ht="15" x14ac:dyDescent="0.2">
      <c r="A795" s="23">
        <v>45862</v>
      </c>
      <c r="B795">
        <f t="shared" si="96"/>
        <v>2025</v>
      </c>
      <c r="C795">
        <f t="shared" si="97"/>
        <v>7</v>
      </c>
      <c r="D795" t="str">
        <f t="shared" si="98"/>
        <v>Julio</v>
      </c>
      <c r="E795" t="str">
        <f t="shared" si="99"/>
        <v>T3</v>
      </c>
      <c r="F795" t="s">
        <v>918</v>
      </c>
      <c r="G795" t="s">
        <v>114</v>
      </c>
      <c r="H795" t="s">
        <v>75</v>
      </c>
      <c r="I795" t="s">
        <v>115</v>
      </c>
      <c r="J795" t="s">
        <v>77</v>
      </c>
      <c r="K795" t="s">
        <v>107</v>
      </c>
      <c r="L795" t="s">
        <v>112</v>
      </c>
      <c r="M795" s="24">
        <v>8</v>
      </c>
      <c r="N795" s="25">
        <v>107962.07</v>
      </c>
      <c r="O795" s="25">
        <f t="shared" si="100"/>
        <v>863696.56</v>
      </c>
      <c r="P795" s="25">
        <v>67724.02</v>
      </c>
      <c r="Q795" s="25">
        <f t="shared" si="101"/>
        <v>541792.16</v>
      </c>
      <c r="R795" s="25">
        <f t="shared" si="102"/>
        <v>321904.40000000002</v>
      </c>
      <c r="S795" s="26">
        <f t="shared" si="103"/>
        <v>0.3727054325653445</v>
      </c>
    </row>
    <row r="796" spans="1:19" ht="15" x14ac:dyDescent="0.2">
      <c r="A796" s="23">
        <v>45863</v>
      </c>
      <c r="B796">
        <f t="shared" si="96"/>
        <v>2025</v>
      </c>
      <c r="C796">
        <f t="shared" si="97"/>
        <v>7</v>
      </c>
      <c r="D796" t="str">
        <f t="shared" si="98"/>
        <v>Julio</v>
      </c>
      <c r="E796" t="str">
        <f t="shared" si="99"/>
        <v>T3</v>
      </c>
      <c r="F796" t="s">
        <v>919</v>
      </c>
      <c r="G796" t="s">
        <v>110</v>
      </c>
      <c r="H796" t="s">
        <v>62</v>
      </c>
      <c r="I796" t="s">
        <v>69</v>
      </c>
      <c r="J796" t="s">
        <v>125</v>
      </c>
      <c r="K796" t="s">
        <v>138</v>
      </c>
      <c r="L796" t="s">
        <v>139</v>
      </c>
      <c r="M796" s="24">
        <v>41</v>
      </c>
      <c r="N796" s="25">
        <v>6782.32</v>
      </c>
      <c r="O796" s="25">
        <f t="shared" si="100"/>
        <v>278075.12</v>
      </c>
      <c r="P796" s="25">
        <v>5460.55</v>
      </c>
      <c r="Q796" s="25">
        <f t="shared" si="101"/>
        <v>223882.55000000002</v>
      </c>
      <c r="R796" s="25">
        <f t="shared" si="102"/>
        <v>54192.569999999978</v>
      </c>
      <c r="S796" s="26">
        <f t="shared" si="103"/>
        <v>0.19488464124370414</v>
      </c>
    </row>
    <row r="797" spans="1:19" ht="15" x14ac:dyDescent="0.2">
      <c r="A797" s="23">
        <v>45863</v>
      </c>
      <c r="B797">
        <f t="shared" si="96"/>
        <v>2025</v>
      </c>
      <c r="C797">
        <f t="shared" si="97"/>
        <v>7</v>
      </c>
      <c r="D797" t="str">
        <f t="shared" si="98"/>
        <v>Julio</v>
      </c>
      <c r="E797" t="str">
        <f t="shared" si="99"/>
        <v>T3</v>
      </c>
      <c r="F797" t="s">
        <v>920</v>
      </c>
      <c r="G797" t="s">
        <v>110</v>
      </c>
      <c r="H797" t="s">
        <v>62</v>
      </c>
      <c r="I797" t="s">
        <v>69</v>
      </c>
      <c r="J797" t="s">
        <v>70</v>
      </c>
      <c r="K797" t="s">
        <v>71</v>
      </c>
      <c r="L797" t="s">
        <v>90</v>
      </c>
      <c r="M797" s="24">
        <v>24</v>
      </c>
      <c r="N797" s="25">
        <v>6145.07</v>
      </c>
      <c r="O797" s="25">
        <f t="shared" si="100"/>
        <v>147481.68</v>
      </c>
      <c r="P797" s="25">
        <v>5292.85</v>
      </c>
      <c r="Q797" s="25">
        <f t="shared" si="101"/>
        <v>127028.40000000001</v>
      </c>
      <c r="R797" s="25">
        <f t="shared" si="102"/>
        <v>20453.279999999984</v>
      </c>
      <c r="S797" s="26">
        <f t="shared" si="103"/>
        <v>0.13868353004929146</v>
      </c>
    </row>
    <row r="798" spans="1:19" ht="15" x14ac:dyDescent="0.2">
      <c r="A798" s="23">
        <v>45863</v>
      </c>
      <c r="B798">
        <f t="shared" si="96"/>
        <v>2025</v>
      </c>
      <c r="C798">
        <f t="shared" si="97"/>
        <v>7</v>
      </c>
      <c r="D798" t="str">
        <f t="shared" si="98"/>
        <v>Julio</v>
      </c>
      <c r="E798" t="str">
        <f t="shared" si="99"/>
        <v>T3</v>
      </c>
      <c r="F798" t="s">
        <v>921</v>
      </c>
      <c r="G798" t="s">
        <v>114</v>
      </c>
      <c r="H798" t="s">
        <v>75</v>
      </c>
      <c r="I798" t="s">
        <v>115</v>
      </c>
      <c r="J798" t="s">
        <v>70</v>
      </c>
      <c r="K798" t="s">
        <v>84</v>
      </c>
      <c r="L798" t="s">
        <v>147</v>
      </c>
      <c r="M798" s="24">
        <v>4</v>
      </c>
      <c r="N798" s="25">
        <v>98452.38</v>
      </c>
      <c r="O798" s="25">
        <f t="shared" si="100"/>
        <v>393809.52</v>
      </c>
      <c r="P798" s="25">
        <v>69305.2</v>
      </c>
      <c r="Q798" s="25">
        <f t="shared" si="101"/>
        <v>277220.8</v>
      </c>
      <c r="R798" s="25">
        <f t="shared" si="102"/>
        <v>116588.72000000003</v>
      </c>
      <c r="S798" s="26">
        <f t="shared" si="103"/>
        <v>0.29605358448419433</v>
      </c>
    </row>
    <row r="799" spans="1:19" ht="15" x14ac:dyDescent="0.2">
      <c r="A799" s="23">
        <v>45863</v>
      </c>
      <c r="B799">
        <f t="shared" si="96"/>
        <v>2025</v>
      </c>
      <c r="C799">
        <f t="shared" si="97"/>
        <v>7</v>
      </c>
      <c r="D799" t="str">
        <f t="shared" si="98"/>
        <v>Julio</v>
      </c>
      <c r="E799" t="str">
        <f t="shared" si="99"/>
        <v>T3</v>
      </c>
      <c r="F799" t="s">
        <v>922</v>
      </c>
      <c r="G799" t="s">
        <v>87</v>
      </c>
      <c r="H799" t="s">
        <v>88</v>
      </c>
      <c r="I799" t="s">
        <v>89</v>
      </c>
      <c r="J799" t="s">
        <v>57</v>
      </c>
      <c r="K799" t="s">
        <v>81</v>
      </c>
      <c r="L799" t="s">
        <v>129</v>
      </c>
      <c r="M799" s="24">
        <v>7</v>
      </c>
      <c r="N799" s="25">
        <v>65462.720000000001</v>
      </c>
      <c r="O799" s="25">
        <f t="shared" si="100"/>
        <v>458239.04000000004</v>
      </c>
      <c r="P799" s="25">
        <v>34995.42</v>
      </c>
      <c r="Q799" s="25">
        <f t="shared" si="101"/>
        <v>244967.94</v>
      </c>
      <c r="R799" s="25">
        <f t="shared" si="102"/>
        <v>213271.10000000003</v>
      </c>
      <c r="S799" s="26">
        <f t="shared" si="103"/>
        <v>0.46541451378738924</v>
      </c>
    </row>
    <row r="800" spans="1:19" ht="15" x14ac:dyDescent="0.2">
      <c r="A800" s="23">
        <v>45863</v>
      </c>
      <c r="B800">
        <f t="shared" si="96"/>
        <v>2025</v>
      </c>
      <c r="C800">
        <f t="shared" si="97"/>
        <v>7</v>
      </c>
      <c r="D800" t="str">
        <f t="shared" si="98"/>
        <v>Julio</v>
      </c>
      <c r="E800" t="str">
        <f t="shared" si="99"/>
        <v>T3</v>
      </c>
      <c r="F800" t="s">
        <v>923</v>
      </c>
      <c r="G800" t="s">
        <v>92</v>
      </c>
      <c r="H800" t="s">
        <v>93</v>
      </c>
      <c r="I800" t="s">
        <v>94</v>
      </c>
      <c r="J800" t="s">
        <v>70</v>
      </c>
      <c r="K800" t="s">
        <v>84</v>
      </c>
      <c r="L800" t="s">
        <v>147</v>
      </c>
      <c r="M800" s="24">
        <v>6</v>
      </c>
      <c r="N800" s="25">
        <v>19644.439999999999</v>
      </c>
      <c r="O800" s="25">
        <f t="shared" si="100"/>
        <v>117866.63999999998</v>
      </c>
      <c r="P800" s="25">
        <v>12136.01</v>
      </c>
      <c r="Q800" s="25">
        <f t="shared" si="101"/>
        <v>72816.06</v>
      </c>
      <c r="R800" s="25">
        <f t="shared" si="102"/>
        <v>45050.579999999987</v>
      </c>
      <c r="S800" s="26">
        <f t="shared" si="103"/>
        <v>0.38221654575034963</v>
      </c>
    </row>
    <row r="801" spans="1:19" ht="15" x14ac:dyDescent="0.2">
      <c r="A801" s="23">
        <v>45864</v>
      </c>
      <c r="B801">
        <f t="shared" si="96"/>
        <v>2025</v>
      </c>
      <c r="C801">
        <f t="shared" si="97"/>
        <v>7</v>
      </c>
      <c r="D801" t="str">
        <f t="shared" si="98"/>
        <v>Julio</v>
      </c>
      <c r="E801" t="str">
        <f t="shared" si="99"/>
        <v>T3</v>
      </c>
      <c r="F801" t="s">
        <v>924</v>
      </c>
      <c r="G801" t="s">
        <v>105</v>
      </c>
      <c r="H801" t="s">
        <v>62</v>
      </c>
      <c r="I801" t="s">
        <v>106</v>
      </c>
      <c r="J801" t="s">
        <v>57</v>
      </c>
      <c r="K801" t="s">
        <v>58</v>
      </c>
      <c r="L801" t="s">
        <v>59</v>
      </c>
      <c r="M801" s="24">
        <v>161</v>
      </c>
      <c r="N801" s="25">
        <v>1813.86</v>
      </c>
      <c r="O801" s="25">
        <f t="shared" si="100"/>
        <v>292031.45999999996</v>
      </c>
      <c r="P801" s="25">
        <v>1502.89</v>
      </c>
      <c r="Q801" s="25">
        <f t="shared" si="101"/>
        <v>241965.29</v>
      </c>
      <c r="R801" s="25">
        <f t="shared" si="102"/>
        <v>50066.169999999955</v>
      </c>
      <c r="S801" s="26">
        <f t="shared" si="103"/>
        <v>0.17144101529335218</v>
      </c>
    </row>
    <row r="802" spans="1:19" ht="15" x14ac:dyDescent="0.2">
      <c r="A802" s="23">
        <v>45864</v>
      </c>
      <c r="B802">
        <f t="shared" si="96"/>
        <v>2025</v>
      </c>
      <c r="C802">
        <f t="shared" si="97"/>
        <v>7</v>
      </c>
      <c r="D802" t="str">
        <f t="shared" si="98"/>
        <v>Julio</v>
      </c>
      <c r="E802" t="str">
        <f t="shared" si="99"/>
        <v>T3</v>
      </c>
      <c r="F802" t="s">
        <v>925</v>
      </c>
      <c r="G802" t="s">
        <v>74</v>
      </c>
      <c r="H802" t="s">
        <v>75</v>
      </c>
      <c r="I802" t="s">
        <v>76</v>
      </c>
      <c r="J802" t="s">
        <v>70</v>
      </c>
      <c r="K802" t="s">
        <v>71</v>
      </c>
      <c r="L802" t="s">
        <v>90</v>
      </c>
      <c r="M802" s="24">
        <v>4</v>
      </c>
      <c r="N802" s="25">
        <v>35476.69</v>
      </c>
      <c r="O802" s="25">
        <f t="shared" si="100"/>
        <v>141906.76</v>
      </c>
      <c r="P802" s="25">
        <v>25814.14</v>
      </c>
      <c r="Q802" s="25">
        <f t="shared" si="101"/>
        <v>103256.56</v>
      </c>
      <c r="R802" s="25">
        <f t="shared" si="102"/>
        <v>38650.200000000012</v>
      </c>
      <c r="S802" s="26">
        <f t="shared" si="103"/>
        <v>0.27236334618590413</v>
      </c>
    </row>
    <row r="803" spans="1:19" ht="15" x14ac:dyDescent="0.2">
      <c r="A803" s="23">
        <v>45864</v>
      </c>
      <c r="B803">
        <f t="shared" si="96"/>
        <v>2025</v>
      </c>
      <c r="C803">
        <f t="shared" si="97"/>
        <v>7</v>
      </c>
      <c r="D803" t="str">
        <f t="shared" si="98"/>
        <v>Julio</v>
      </c>
      <c r="E803" t="str">
        <f t="shared" si="99"/>
        <v>T3</v>
      </c>
      <c r="F803" t="s">
        <v>926</v>
      </c>
      <c r="G803" t="s">
        <v>144</v>
      </c>
      <c r="H803" t="s">
        <v>88</v>
      </c>
      <c r="I803" t="s">
        <v>145</v>
      </c>
      <c r="J803" t="s">
        <v>70</v>
      </c>
      <c r="K803" t="s">
        <v>84</v>
      </c>
      <c r="L803" t="s">
        <v>147</v>
      </c>
      <c r="M803" s="24">
        <v>35</v>
      </c>
      <c r="N803" s="25">
        <v>12338.47</v>
      </c>
      <c r="O803" s="25">
        <f t="shared" si="100"/>
        <v>431846.44999999995</v>
      </c>
      <c r="P803" s="25">
        <v>7095.78</v>
      </c>
      <c r="Q803" s="25">
        <f t="shared" si="101"/>
        <v>248352.3</v>
      </c>
      <c r="R803" s="25">
        <f t="shared" si="102"/>
        <v>183494.14999999997</v>
      </c>
      <c r="S803" s="26">
        <f t="shared" si="103"/>
        <v>0.42490600536371198</v>
      </c>
    </row>
    <row r="804" spans="1:19" ht="15" x14ac:dyDescent="0.2">
      <c r="A804" s="23">
        <v>45864</v>
      </c>
      <c r="B804">
        <f t="shared" si="96"/>
        <v>2025</v>
      </c>
      <c r="C804">
        <f t="shared" si="97"/>
        <v>7</v>
      </c>
      <c r="D804" t="str">
        <f t="shared" si="98"/>
        <v>Julio</v>
      </c>
      <c r="E804" t="str">
        <f t="shared" si="99"/>
        <v>T3</v>
      </c>
      <c r="F804" t="s">
        <v>927</v>
      </c>
      <c r="G804" t="s">
        <v>206</v>
      </c>
      <c r="H804" t="s">
        <v>93</v>
      </c>
      <c r="I804" t="s">
        <v>207</v>
      </c>
      <c r="J804" t="s">
        <v>64</v>
      </c>
      <c r="K804" t="s">
        <v>65</v>
      </c>
      <c r="L804" t="s">
        <v>123</v>
      </c>
      <c r="M804" s="24">
        <v>4</v>
      </c>
      <c r="N804" s="25">
        <v>117988.75</v>
      </c>
      <c r="O804" s="25">
        <f t="shared" si="100"/>
        <v>471955</v>
      </c>
      <c r="P804" s="25">
        <v>69618.649999999994</v>
      </c>
      <c r="Q804" s="25">
        <f t="shared" si="101"/>
        <v>278474.59999999998</v>
      </c>
      <c r="R804" s="25">
        <f t="shared" si="102"/>
        <v>193480.40000000002</v>
      </c>
      <c r="S804" s="26">
        <f t="shared" si="103"/>
        <v>0.40995518640548362</v>
      </c>
    </row>
    <row r="805" spans="1:19" ht="15" x14ac:dyDescent="0.2">
      <c r="A805" s="23">
        <v>45865</v>
      </c>
      <c r="B805">
        <f t="shared" si="96"/>
        <v>2025</v>
      </c>
      <c r="C805">
        <f t="shared" si="97"/>
        <v>7</v>
      </c>
      <c r="D805" t="str">
        <f t="shared" si="98"/>
        <v>Julio</v>
      </c>
      <c r="E805" t="str">
        <f t="shared" si="99"/>
        <v>T3</v>
      </c>
      <c r="F805" t="s">
        <v>928</v>
      </c>
      <c r="G805" t="s">
        <v>105</v>
      </c>
      <c r="H805" t="s">
        <v>62</v>
      </c>
      <c r="I805" t="s">
        <v>106</v>
      </c>
      <c r="J805" t="s">
        <v>64</v>
      </c>
      <c r="K805" t="s">
        <v>65</v>
      </c>
      <c r="L805" t="s">
        <v>66</v>
      </c>
      <c r="M805" s="24">
        <v>419</v>
      </c>
      <c r="N805" s="25">
        <v>1797.9</v>
      </c>
      <c r="O805" s="25">
        <f t="shared" si="100"/>
        <v>753320.10000000009</v>
      </c>
      <c r="P805" s="25">
        <v>1498.62</v>
      </c>
      <c r="Q805" s="25">
        <f t="shared" si="101"/>
        <v>627921.77999999991</v>
      </c>
      <c r="R805" s="25">
        <f t="shared" si="102"/>
        <v>125398.32000000018</v>
      </c>
      <c r="S805" s="26">
        <f t="shared" si="103"/>
        <v>0.16646087101618576</v>
      </c>
    </row>
    <row r="806" spans="1:19" ht="15" x14ac:dyDescent="0.2">
      <c r="A806" s="23">
        <v>45865</v>
      </c>
      <c r="B806">
        <f t="shared" si="96"/>
        <v>2025</v>
      </c>
      <c r="C806">
        <f t="shared" si="97"/>
        <v>7</v>
      </c>
      <c r="D806" t="str">
        <f t="shared" si="98"/>
        <v>Julio</v>
      </c>
      <c r="E806" t="str">
        <f t="shared" si="99"/>
        <v>T3</v>
      </c>
      <c r="F806" t="s">
        <v>929</v>
      </c>
      <c r="G806" t="s">
        <v>74</v>
      </c>
      <c r="H806" t="s">
        <v>75</v>
      </c>
      <c r="I806" t="s">
        <v>76</v>
      </c>
      <c r="J806" t="s">
        <v>77</v>
      </c>
      <c r="K806" t="s">
        <v>78</v>
      </c>
      <c r="L806" t="s">
        <v>79</v>
      </c>
      <c r="M806" s="24">
        <v>7</v>
      </c>
      <c r="N806" s="25">
        <v>40523.870000000003</v>
      </c>
      <c r="O806" s="25">
        <f t="shared" si="100"/>
        <v>283667.09000000003</v>
      </c>
      <c r="P806" s="25">
        <v>26658.560000000001</v>
      </c>
      <c r="Q806" s="25">
        <f t="shared" si="101"/>
        <v>186609.92000000001</v>
      </c>
      <c r="R806" s="25">
        <f t="shared" si="102"/>
        <v>97057.170000000013</v>
      </c>
      <c r="S806" s="26">
        <f t="shared" si="103"/>
        <v>0.34215167504979166</v>
      </c>
    </row>
    <row r="807" spans="1:19" ht="15" x14ac:dyDescent="0.2">
      <c r="A807" s="23">
        <v>45865</v>
      </c>
      <c r="B807">
        <f t="shared" si="96"/>
        <v>2025</v>
      </c>
      <c r="C807">
        <f t="shared" si="97"/>
        <v>7</v>
      </c>
      <c r="D807" t="str">
        <f t="shared" si="98"/>
        <v>Julio</v>
      </c>
      <c r="E807" t="str">
        <f t="shared" si="99"/>
        <v>T3</v>
      </c>
      <c r="F807" t="s">
        <v>930</v>
      </c>
      <c r="G807" t="s">
        <v>114</v>
      </c>
      <c r="H807" t="s">
        <v>75</v>
      </c>
      <c r="I807" t="s">
        <v>115</v>
      </c>
      <c r="J807" t="s">
        <v>125</v>
      </c>
      <c r="K807" t="s">
        <v>138</v>
      </c>
      <c r="L807" t="s">
        <v>142</v>
      </c>
      <c r="M807" s="24">
        <v>6</v>
      </c>
      <c r="N807" s="25">
        <v>103965.68</v>
      </c>
      <c r="O807" s="25">
        <f t="shared" si="100"/>
        <v>623794.07999999996</v>
      </c>
      <c r="P807" s="25">
        <v>70411.179999999993</v>
      </c>
      <c r="Q807" s="25">
        <f t="shared" si="101"/>
        <v>422467.07999999996</v>
      </c>
      <c r="R807" s="25">
        <f t="shared" si="102"/>
        <v>201327</v>
      </c>
      <c r="S807" s="26">
        <f t="shared" si="103"/>
        <v>0.32274592923357015</v>
      </c>
    </row>
    <row r="808" spans="1:19" ht="15" x14ac:dyDescent="0.2">
      <c r="A808" s="23">
        <v>45865</v>
      </c>
      <c r="B808">
        <f t="shared" si="96"/>
        <v>2025</v>
      </c>
      <c r="C808">
        <f t="shared" si="97"/>
        <v>7</v>
      </c>
      <c r="D808" t="str">
        <f t="shared" si="98"/>
        <v>Julio</v>
      </c>
      <c r="E808" t="str">
        <f t="shared" si="99"/>
        <v>T3</v>
      </c>
      <c r="F808" t="s">
        <v>931</v>
      </c>
      <c r="G808" t="s">
        <v>188</v>
      </c>
      <c r="H808" t="s">
        <v>88</v>
      </c>
      <c r="I808" t="s">
        <v>189</v>
      </c>
      <c r="J808" t="s">
        <v>70</v>
      </c>
      <c r="K808" t="s">
        <v>84</v>
      </c>
      <c r="L808" t="s">
        <v>85</v>
      </c>
      <c r="M808" s="24">
        <v>3</v>
      </c>
      <c r="N808" s="25">
        <v>74301.429999999993</v>
      </c>
      <c r="O808" s="25">
        <f t="shared" si="100"/>
        <v>222904.28999999998</v>
      </c>
      <c r="P808" s="25">
        <v>43468.14</v>
      </c>
      <c r="Q808" s="25">
        <f t="shared" si="101"/>
        <v>130404.42</v>
      </c>
      <c r="R808" s="25">
        <f t="shared" si="102"/>
        <v>92499.869999999981</v>
      </c>
      <c r="S808" s="26">
        <f t="shared" si="103"/>
        <v>0.41497572792340598</v>
      </c>
    </row>
    <row r="809" spans="1:19" ht="15" x14ac:dyDescent="0.2">
      <c r="A809" s="23">
        <v>45865</v>
      </c>
      <c r="B809">
        <f t="shared" si="96"/>
        <v>2025</v>
      </c>
      <c r="C809">
        <f t="shared" si="97"/>
        <v>7</v>
      </c>
      <c r="D809" t="str">
        <f t="shared" si="98"/>
        <v>Julio</v>
      </c>
      <c r="E809" t="str">
        <f t="shared" si="99"/>
        <v>T3</v>
      </c>
      <c r="F809" t="s">
        <v>932</v>
      </c>
      <c r="G809" t="s">
        <v>149</v>
      </c>
      <c r="H809" t="s">
        <v>93</v>
      </c>
      <c r="I809" t="s">
        <v>150</v>
      </c>
      <c r="J809" t="s">
        <v>57</v>
      </c>
      <c r="K809" t="s">
        <v>81</v>
      </c>
      <c r="L809" t="s">
        <v>129</v>
      </c>
      <c r="M809" s="24">
        <v>5</v>
      </c>
      <c r="N809" s="25">
        <v>43393.64</v>
      </c>
      <c r="O809" s="25">
        <f t="shared" si="100"/>
        <v>216968.2</v>
      </c>
      <c r="P809" s="25">
        <v>25133.97</v>
      </c>
      <c r="Q809" s="25">
        <f t="shared" si="101"/>
        <v>125669.85</v>
      </c>
      <c r="R809" s="25">
        <f t="shared" si="102"/>
        <v>91298.35</v>
      </c>
      <c r="S809" s="26">
        <f t="shared" si="103"/>
        <v>0.42079138786236875</v>
      </c>
    </row>
    <row r="810" spans="1:19" ht="15" x14ac:dyDescent="0.2">
      <c r="A810" s="23">
        <v>45865</v>
      </c>
      <c r="B810">
        <f t="shared" si="96"/>
        <v>2025</v>
      </c>
      <c r="C810">
        <f t="shared" si="97"/>
        <v>7</v>
      </c>
      <c r="D810" t="str">
        <f t="shared" si="98"/>
        <v>Julio</v>
      </c>
      <c r="E810" t="str">
        <f t="shared" si="99"/>
        <v>T3</v>
      </c>
      <c r="F810" t="s">
        <v>933</v>
      </c>
      <c r="G810" t="s">
        <v>149</v>
      </c>
      <c r="H810" t="s">
        <v>93</v>
      </c>
      <c r="I810" t="s">
        <v>150</v>
      </c>
      <c r="J810" t="s">
        <v>125</v>
      </c>
      <c r="K810" t="s">
        <v>138</v>
      </c>
      <c r="L810" t="s">
        <v>142</v>
      </c>
      <c r="M810" s="24">
        <v>3</v>
      </c>
      <c r="N810" s="25">
        <v>44080.45</v>
      </c>
      <c r="O810" s="25">
        <f t="shared" si="100"/>
        <v>132241.34999999998</v>
      </c>
      <c r="P810" s="25">
        <v>25019.64</v>
      </c>
      <c r="Q810" s="25">
        <f t="shared" si="101"/>
        <v>75058.92</v>
      </c>
      <c r="R810" s="25">
        <f t="shared" si="102"/>
        <v>57182.429999999978</v>
      </c>
      <c r="S810" s="26">
        <f t="shared" si="103"/>
        <v>0.43240960561881731</v>
      </c>
    </row>
    <row r="811" spans="1:19" ht="15" x14ac:dyDescent="0.2">
      <c r="A811" s="23">
        <v>45866</v>
      </c>
      <c r="B811">
        <f t="shared" si="96"/>
        <v>2025</v>
      </c>
      <c r="C811">
        <f t="shared" si="97"/>
        <v>7</v>
      </c>
      <c r="D811" t="str">
        <f t="shared" si="98"/>
        <v>Julio</v>
      </c>
      <c r="E811" t="str">
        <f t="shared" si="99"/>
        <v>T3</v>
      </c>
      <c r="F811" t="s">
        <v>934</v>
      </c>
      <c r="G811" t="s">
        <v>54</v>
      </c>
      <c r="H811" t="s">
        <v>55</v>
      </c>
      <c r="I811" t="s">
        <v>56</v>
      </c>
      <c r="J811" t="s">
        <v>57</v>
      </c>
      <c r="K811" t="s">
        <v>81</v>
      </c>
      <c r="L811" t="s">
        <v>82</v>
      </c>
      <c r="M811" s="24">
        <v>18</v>
      </c>
      <c r="N811" s="25">
        <v>59889.440000000002</v>
      </c>
      <c r="O811" s="25">
        <f t="shared" si="100"/>
        <v>1078009.92</v>
      </c>
      <c r="P811" s="25">
        <v>43099.79</v>
      </c>
      <c r="Q811" s="25">
        <f t="shared" si="101"/>
        <v>775796.22</v>
      </c>
      <c r="R811" s="25">
        <f t="shared" si="102"/>
        <v>302213.69999999995</v>
      </c>
      <c r="S811" s="26">
        <f t="shared" si="103"/>
        <v>0.28034408069268968</v>
      </c>
    </row>
    <row r="812" spans="1:19" ht="15" x14ac:dyDescent="0.2">
      <c r="A812" s="23">
        <v>45866</v>
      </c>
      <c r="B812">
        <f t="shared" si="96"/>
        <v>2025</v>
      </c>
      <c r="C812">
        <f t="shared" si="97"/>
        <v>7</v>
      </c>
      <c r="D812" t="str">
        <f t="shared" si="98"/>
        <v>Julio</v>
      </c>
      <c r="E812" t="str">
        <f t="shared" si="99"/>
        <v>T3</v>
      </c>
      <c r="F812" t="s">
        <v>935</v>
      </c>
      <c r="G812" t="s">
        <v>105</v>
      </c>
      <c r="H812" t="s">
        <v>62</v>
      </c>
      <c r="I812" t="s">
        <v>106</v>
      </c>
      <c r="J812" t="s">
        <v>57</v>
      </c>
      <c r="K812" t="s">
        <v>81</v>
      </c>
      <c r="L812" t="s">
        <v>129</v>
      </c>
      <c r="M812" s="24">
        <v>369</v>
      </c>
      <c r="N812" s="25">
        <v>1828.38</v>
      </c>
      <c r="O812" s="25">
        <f t="shared" si="100"/>
        <v>674672.22000000009</v>
      </c>
      <c r="P812" s="25">
        <v>1501.53</v>
      </c>
      <c r="Q812" s="25">
        <f t="shared" si="101"/>
        <v>554064.56999999995</v>
      </c>
      <c r="R812" s="25">
        <f t="shared" si="102"/>
        <v>120607.65000000014</v>
      </c>
      <c r="S812" s="26">
        <f t="shared" si="103"/>
        <v>0.17876480819085766</v>
      </c>
    </row>
    <row r="813" spans="1:19" ht="15" x14ac:dyDescent="0.2">
      <c r="A813" s="23">
        <v>45866</v>
      </c>
      <c r="B813">
        <f t="shared" si="96"/>
        <v>2025</v>
      </c>
      <c r="C813">
        <f t="shared" si="97"/>
        <v>7</v>
      </c>
      <c r="D813" t="str">
        <f t="shared" si="98"/>
        <v>Julio</v>
      </c>
      <c r="E813" t="str">
        <f t="shared" si="99"/>
        <v>T3</v>
      </c>
      <c r="F813" t="s">
        <v>936</v>
      </c>
      <c r="G813" t="s">
        <v>105</v>
      </c>
      <c r="H813" t="s">
        <v>62</v>
      </c>
      <c r="I813" t="s">
        <v>106</v>
      </c>
      <c r="J813" t="s">
        <v>70</v>
      </c>
      <c r="K813" t="s">
        <v>84</v>
      </c>
      <c r="L813" t="s">
        <v>147</v>
      </c>
      <c r="M813" s="24">
        <v>255</v>
      </c>
      <c r="N813" s="25">
        <v>1757.2</v>
      </c>
      <c r="O813" s="25">
        <f t="shared" si="100"/>
        <v>448086</v>
      </c>
      <c r="P813" s="25">
        <v>1502.33</v>
      </c>
      <c r="Q813" s="25">
        <f t="shared" si="101"/>
        <v>383094.14999999997</v>
      </c>
      <c r="R813" s="25">
        <f t="shared" si="102"/>
        <v>64991.850000000035</v>
      </c>
      <c r="S813" s="26">
        <f t="shared" si="103"/>
        <v>0.14504325062599599</v>
      </c>
    </row>
    <row r="814" spans="1:19" ht="15" x14ac:dyDescent="0.2">
      <c r="A814" s="23">
        <v>45866</v>
      </c>
      <c r="B814">
        <f t="shared" si="96"/>
        <v>2025</v>
      </c>
      <c r="C814">
        <f t="shared" si="97"/>
        <v>7</v>
      </c>
      <c r="D814" t="str">
        <f t="shared" si="98"/>
        <v>Julio</v>
      </c>
      <c r="E814" t="str">
        <f t="shared" si="99"/>
        <v>T3</v>
      </c>
      <c r="F814" t="s">
        <v>937</v>
      </c>
      <c r="G814" t="s">
        <v>114</v>
      </c>
      <c r="H814" t="s">
        <v>75</v>
      </c>
      <c r="I814" t="s">
        <v>115</v>
      </c>
      <c r="J814" t="s">
        <v>57</v>
      </c>
      <c r="K814" t="s">
        <v>58</v>
      </c>
      <c r="L814" t="s">
        <v>162</v>
      </c>
      <c r="M814" s="24">
        <v>5</v>
      </c>
      <c r="N814" s="25">
        <v>95856.21</v>
      </c>
      <c r="O814" s="25">
        <f t="shared" si="100"/>
        <v>479281.05000000005</v>
      </c>
      <c r="P814" s="25">
        <v>65554.19</v>
      </c>
      <c r="Q814" s="25">
        <f t="shared" si="101"/>
        <v>327770.95</v>
      </c>
      <c r="R814" s="25">
        <f t="shared" si="102"/>
        <v>151510.10000000003</v>
      </c>
      <c r="S814" s="26">
        <f t="shared" si="103"/>
        <v>0.31611952944937011</v>
      </c>
    </row>
    <row r="815" spans="1:19" ht="15" x14ac:dyDescent="0.2">
      <c r="A815" s="23">
        <v>45866</v>
      </c>
      <c r="B815">
        <f t="shared" si="96"/>
        <v>2025</v>
      </c>
      <c r="C815">
        <f t="shared" si="97"/>
        <v>7</v>
      </c>
      <c r="D815" t="str">
        <f t="shared" si="98"/>
        <v>Julio</v>
      </c>
      <c r="E815" t="str">
        <f t="shared" si="99"/>
        <v>T3</v>
      </c>
      <c r="F815" t="s">
        <v>938</v>
      </c>
      <c r="G815" t="s">
        <v>74</v>
      </c>
      <c r="H815" t="s">
        <v>75</v>
      </c>
      <c r="I815" t="s">
        <v>76</v>
      </c>
      <c r="J815" t="s">
        <v>70</v>
      </c>
      <c r="K815" t="s">
        <v>71</v>
      </c>
      <c r="L815" t="s">
        <v>90</v>
      </c>
      <c r="M815" s="24">
        <v>3</v>
      </c>
      <c r="N815" s="25">
        <v>40603.919999999998</v>
      </c>
      <c r="O815" s="25">
        <f t="shared" si="100"/>
        <v>121811.76</v>
      </c>
      <c r="P815" s="25">
        <v>29067.08</v>
      </c>
      <c r="Q815" s="25">
        <f t="shared" si="101"/>
        <v>87201.24</v>
      </c>
      <c r="R815" s="25">
        <f t="shared" si="102"/>
        <v>34610.51999999999</v>
      </c>
      <c r="S815" s="26">
        <f t="shared" si="103"/>
        <v>0.28413118733363668</v>
      </c>
    </row>
    <row r="816" spans="1:19" ht="15" x14ac:dyDescent="0.2">
      <c r="A816" s="23">
        <v>45866</v>
      </c>
      <c r="B816">
        <f t="shared" si="96"/>
        <v>2025</v>
      </c>
      <c r="C816">
        <f t="shared" si="97"/>
        <v>7</v>
      </c>
      <c r="D816" t="str">
        <f t="shared" si="98"/>
        <v>Julio</v>
      </c>
      <c r="E816" t="str">
        <f t="shared" si="99"/>
        <v>T3</v>
      </c>
      <c r="F816" t="s">
        <v>939</v>
      </c>
      <c r="G816" t="s">
        <v>144</v>
      </c>
      <c r="H816" t="s">
        <v>88</v>
      </c>
      <c r="I816" t="s">
        <v>145</v>
      </c>
      <c r="J816" t="s">
        <v>77</v>
      </c>
      <c r="K816" t="s">
        <v>78</v>
      </c>
      <c r="L816" t="s">
        <v>117</v>
      </c>
      <c r="M816" s="24">
        <v>36</v>
      </c>
      <c r="N816" s="25">
        <v>12678.83</v>
      </c>
      <c r="O816" s="25">
        <f t="shared" si="100"/>
        <v>456437.88</v>
      </c>
      <c r="P816" s="25">
        <v>6908.66</v>
      </c>
      <c r="Q816" s="25">
        <f t="shared" si="101"/>
        <v>248711.76</v>
      </c>
      <c r="R816" s="25">
        <f t="shared" si="102"/>
        <v>207726.12</v>
      </c>
      <c r="S816" s="26">
        <f t="shared" si="103"/>
        <v>0.4551027184685022</v>
      </c>
    </row>
    <row r="817" spans="1:19" ht="15" x14ac:dyDescent="0.2">
      <c r="A817" s="23">
        <v>45866</v>
      </c>
      <c r="B817">
        <f t="shared" si="96"/>
        <v>2025</v>
      </c>
      <c r="C817">
        <f t="shared" si="97"/>
        <v>7</v>
      </c>
      <c r="D817" t="str">
        <f t="shared" si="98"/>
        <v>Julio</v>
      </c>
      <c r="E817" t="str">
        <f t="shared" si="99"/>
        <v>T3</v>
      </c>
      <c r="F817" t="s">
        <v>940</v>
      </c>
      <c r="G817" t="s">
        <v>92</v>
      </c>
      <c r="H817" t="s">
        <v>93</v>
      </c>
      <c r="I817" t="s">
        <v>94</v>
      </c>
      <c r="J817" t="s">
        <v>70</v>
      </c>
      <c r="K817" t="s">
        <v>71</v>
      </c>
      <c r="L817" t="s">
        <v>72</v>
      </c>
      <c r="M817" s="24">
        <v>7</v>
      </c>
      <c r="N817" s="25">
        <v>18921.580000000002</v>
      </c>
      <c r="O817" s="25">
        <f t="shared" si="100"/>
        <v>132451.06</v>
      </c>
      <c r="P817" s="25">
        <v>11907.68</v>
      </c>
      <c r="Q817" s="25">
        <f t="shared" si="101"/>
        <v>83353.760000000009</v>
      </c>
      <c r="R817" s="25">
        <f t="shared" si="102"/>
        <v>49097.299999999988</v>
      </c>
      <c r="S817" s="26">
        <f t="shared" si="103"/>
        <v>0.37068257513378894</v>
      </c>
    </row>
    <row r="818" spans="1:19" ht="15" x14ac:dyDescent="0.2">
      <c r="A818" s="23">
        <v>45870</v>
      </c>
      <c r="B818">
        <f t="shared" si="96"/>
        <v>2025</v>
      </c>
      <c r="C818">
        <f t="shared" si="97"/>
        <v>8</v>
      </c>
      <c r="D818" t="str">
        <f t="shared" si="98"/>
        <v>Agosto</v>
      </c>
      <c r="E818" t="str">
        <f t="shared" si="99"/>
        <v>T3</v>
      </c>
      <c r="F818" t="s">
        <v>941</v>
      </c>
      <c r="G818" t="s">
        <v>68</v>
      </c>
      <c r="H818" t="s">
        <v>62</v>
      </c>
      <c r="I818" t="s">
        <v>69</v>
      </c>
      <c r="J818" t="s">
        <v>77</v>
      </c>
      <c r="K818" t="s">
        <v>107</v>
      </c>
      <c r="L818" t="s">
        <v>108</v>
      </c>
      <c r="M818" s="24">
        <v>255</v>
      </c>
      <c r="N818" s="25">
        <v>3319.37</v>
      </c>
      <c r="O818" s="25">
        <f t="shared" si="100"/>
        <v>846439.35</v>
      </c>
      <c r="P818" s="25">
        <v>2600.2399999999998</v>
      </c>
      <c r="Q818" s="25">
        <f t="shared" si="101"/>
        <v>663061.19999999995</v>
      </c>
      <c r="R818" s="25">
        <f t="shared" si="102"/>
        <v>183378.15000000002</v>
      </c>
      <c r="S818" s="26">
        <f t="shared" si="103"/>
        <v>0.21664653232390488</v>
      </c>
    </row>
    <row r="819" spans="1:19" ht="15" x14ac:dyDescent="0.2">
      <c r="A819" s="23">
        <v>45870</v>
      </c>
      <c r="B819">
        <f t="shared" si="96"/>
        <v>2025</v>
      </c>
      <c r="C819">
        <f t="shared" si="97"/>
        <v>8</v>
      </c>
      <c r="D819" t="str">
        <f t="shared" si="98"/>
        <v>Agosto</v>
      </c>
      <c r="E819" t="str">
        <f t="shared" si="99"/>
        <v>T3</v>
      </c>
      <c r="F819" t="s">
        <v>942</v>
      </c>
      <c r="G819" t="s">
        <v>74</v>
      </c>
      <c r="H819" t="s">
        <v>75</v>
      </c>
      <c r="I819" t="s">
        <v>76</v>
      </c>
      <c r="J819" t="s">
        <v>125</v>
      </c>
      <c r="K819" t="s">
        <v>138</v>
      </c>
      <c r="L819" t="s">
        <v>139</v>
      </c>
      <c r="M819" s="24">
        <v>8</v>
      </c>
      <c r="N819" s="25">
        <v>42998.2</v>
      </c>
      <c r="O819" s="25">
        <f t="shared" si="100"/>
        <v>343985.6</v>
      </c>
      <c r="P819" s="25">
        <v>28348.959999999999</v>
      </c>
      <c r="Q819" s="25">
        <f t="shared" si="101"/>
        <v>226791.67999999999</v>
      </c>
      <c r="R819" s="25">
        <f t="shared" si="102"/>
        <v>117193.91999999998</v>
      </c>
      <c r="S819" s="26">
        <f t="shared" si="103"/>
        <v>0.34069426162025385</v>
      </c>
    </row>
    <row r="820" spans="1:19" ht="15" x14ac:dyDescent="0.2">
      <c r="A820" s="23">
        <v>45870</v>
      </c>
      <c r="B820">
        <f t="shared" si="96"/>
        <v>2025</v>
      </c>
      <c r="C820">
        <f t="shared" si="97"/>
        <v>8</v>
      </c>
      <c r="D820" t="str">
        <f t="shared" si="98"/>
        <v>Agosto</v>
      </c>
      <c r="E820" t="str">
        <f t="shared" si="99"/>
        <v>T3</v>
      </c>
      <c r="F820" t="s">
        <v>943</v>
      </c>
      <c r="G820" t="s">
        <v>74</v>
      </c>
      <c r="H820" t="s">
        <v>75</v>
      </c>
      <c r="I820" t="s">
        <v>76</v>
      </c>
      <c r="J820" t="s">
        <v>70</v>
      </c>
      <c r="K820" t="s">
        <v>84</v>
      </c>
      <c r="L820" t="s">
        <v>85</v>
      </c>
      <c r="M820" s="24">
        <v>5</v>
      </c>
      <c r="N820" s="25">
        <v>40149.480000000003</v>
      </c>
      <c r="O820" s="25">
        <f t="shared" si="100"/>
        <v>200747.40000000002</v>
      </c>
      <c r="P820" s="25">
        <v>28994.639999999999</v>
      </c>
      <c r="Q820" s="25">
        <f t="shared" si="101"/>
        <v>144973.20000000001</v>
      </c>
      <c r="R820" s="25">
        <f t="shared" si="102"/>
        <v>55774.200000000012</v>
      </c>
      <c r="S820" s="26">
        <f t="shared" si="103"/>
        <v>0.27783273905415468</v>
      </c>
    </row>
    <row r="821" spans="1:19" ht="15" x14ac:dyDescent="0.2">
      <c r="A821" s="23">
        <v>45871</v>
      </c>
      <c r="B821">
        <f t="shared" si="96"/>
        <v>2025</v>
      </c>
      <c r="C821">
        <f t="shared" si="97"/>
        <v>8</v>
      </c>
      <c r="D821" t="str">
        <f t="shared" si="98"/>
        <v>Agosto</v>
      </c>
      <c r="E821" t="str">
        <f t="shared" si="99"/>
        <v>T3</v>
      </c>
      <c r="F821" t="s">
        <v>944</v>
      </c>
      <c r="G821" t="s">
        <v>100</v>
      </c>
      <c r="H821" t="s">
        <v>88</v>
      </c>
      <c r="I821" t="s">
        <v>101</v>
      </c>
      <c r="J821" t="s">
        <v>125</v>
      </c>
      <c r="K821" t="s">
        <v>126</v>
      </c>
      <c r="L821" t="s">
        <v>131</v>
      </c>
      <c r="M821" s="24">
        <v>3</v>
      </c>
      <c r="N821" s="25">
        <v>39232.97</v>
      </c>
      <c r="O821" s="25">
        <f t="shared" si="100"/>
        <v>117698.91</v>
      </c>
      <c r="P821" s="25">
        <v>20970.2</v>
      </c>
      <c r="Q821" s="25">
        <f t="shared" si="101"/>
        <v>62910.600000000006</v>
      </c>
      <c r="R821" s="25">
        <f t="shared" si="102"/>
        <v>54788.31</v>
      </c>
      <c r="S821" s="26">
        <f t="shared" si="103"/>
        <v>0.46549547485189113</v>
      </c>
    </row>
    <row r="822" spans="1:19" ht="15" x14ac:dyDescent="0.2">
      <c r="A822" s="23">
        <v>45871</v>
      </c>
      <c r="B822">
        <f t="shared" si="96"/>
        <v>2025</v>
      </c>
      <c r="C822">
        <f t="shared" si="97"/>
        <v>8</v>
      </c>
      <c r="D822" t="str">
        <f t="shared" si="98"/>
        <v>Agosto</v>
      </c>
      <c r="E822" t="str">
        <f t="shared" si="99"/>
        <v>T3</v>
      </c>
      <c r="F822" t="s">
        <v>945</v>
      </c>
      <c r="G822" t="s">
        <v>92</v>
      </c>
      <c r="H822" t="s">
        <v>93</v>
      </c>
      <c r="I822" t="s">
        <v>94</v>
      </c>
      <c r="J822" t="s">
        <v>64</v>
      </c>
      <c r="K822" t="s">
        <v>96</v>
      </c>
      <c r="L822" t="s">
        <v>103</v>
      </c>
      <c r="M822" s="24">
        <v>6</v>
      </c>
      <c r="N822" s="25">
        <v>19254.5</v>
      </c>
      <c r="O822" s="25">
        <f t="shared" si="100"/>
        <v>115527</v>
      </c>
      <c r="P822" s="25">
        <v>11652.85</v>
      </c>
      <c r="Q822" s="25">
        <f t="shared" si="101"/>
        <v>69917.100000000006</v>
      </c>
      <c r="R822" s="25">
        <f t="shared" si="102"/>
        <v>45609.899999999994</v>
      </c>
      <c r="S822" s="26">
        <f t="shared" si="103"/>
        <v>0.39479861850476505</v>
      </c>
    </row>
    <row r="823" spans="1:19" ht="15" x14ac:dyDescent="0.2">
      <c r="A823" s="23">
        <v>45871</v>
      </c>
      <c r="B823">
        <f t="shared" si="96"/>
        <v>2025</v>
      </c>
      <c r="C823">
        <f t="shared" si="97"/>
        <v>8</v>
      </c>
      <c r="D823" t="str">
        <f t="shared" si="98"/>
        <v>Agosto</v>
      </c>
      <c r="E823" t="str">
        <f t="shared" si="99"/>
        <v>T3</v>
      </c>
      <c r="F823" t="s">
        <v>946</v>
      </c>
      <c r="G823" t="s">
        <v>92</v>
      </c>
      <c r="H823" t="s">
        <v>93</v>
      </c>
      <c r="I823" t="s">
        <v>94</v>
      </c>
      <c r="J823" t="s">
        <v>125</v>
      </c>
      <c r="K823" t="s">
        <v>138</v>
      </c>
      <c r="L823" t="s">
        <v>139</v>
      </c>
      <c r="M823" s="24">
        <v>9</v>
      </c>
      <c r="N823" s="25">
        <v>21174.89</v>
      </c>
      <c r="O823" s="25">
        <f t="shared" si="100"/>
        <v>190574.01</v>
      </c>
      <c r="P823" s="25">
        <v>12535.86</v>
      </c>
      <c r="Q823" s="25">
        <f t="shared" si="101"/>
        <v>112822.74</v>
      </c>
      <c r="R823" s="25">
        <f t="shared" si="102"/>
        <v>77751.27</v>
      </c>
      <c r="S823" s="26">
        <f t="shared" si="103"/>
        <v>0.40798464596510303</v>
      </c>
    </row>
    <row r="824" spans="1:19" ht="15" x14ac:dyDescent="0.2">
      <c r="A824" s="23">
        <v>45872</v>
      </c>
      <c r="B824">
        <f t="shared" si="96"/>
        <v>2025</v>
      </c>
      <c r="C824">
        <f t="shared" si="97"/>
        <v>8</v>
      </c>
      <c r="D824" t="str">
        <f t="shared" si="98"/>
        <v>Agosto</v>
      </c>
      <c r="E824" t="str">
        <f t="shared" si="99"/>
        <v>T3</v>
      </c>
      <c r="F824" t="s">
        <v>947</v>
      </c>
      <c r="G824" t="s">
        <v>54</v>
      </c>
      <c r="H824" t="s">
        <v>55</v>
      </c>
      <c r="I824" t="s">
        <v>56</v>
      </c>
      <c r="J824" t="s">
        <v>70</v>
      </c>
      <c r="K824" t="s">
        <v>71</v>
      </c>
      <c r="L824" t="s">
        <v>72</v>
      </c>
      <c r="M824" s="24">
        <v>10</v>
      </c>
      <c r="N824" s="25">
        <v>55284.41</v>
      </c>
      <c r="O824" s="25">
        <f t="shared" si="100"/>
        <v>552844.10000000009</v>
      </c>
      <c r="P824" s="25">
        <v>43246.93</v>
      </c>
      <c r="Q824" s="25">
        <f t="shared" si="101"/>
        <v>432469.3</v>
      </c>
      <c r="R824" s="25">
        <f t="shared" si="102"/>
        <v>120374.8000000001</v>
      </c>
      <c r="S824" s="26">
        <f t="shared" si="103"/>
        <v>0.21773733318308017</v>
      </c>
    </row>
    <row r="825" spans="1:19" ht="15" x14ac:dyDescent="0.2">
      <c r="A825" s="23">
        <v>45872</v>
      </c>
      <c r="B825">
        <f t="shared" si="96"/>
        <v>2025</v>
      </c>
      <c r="C825">
        <f t="shared" si="97"/>
        <v>8</v>
      </c>
      <c r="D825" t="str">
        <f t="shared" si="98"/>
        <v>Agosto</v>
      </c>
      <c r="E825" t="str">
        <f t="shared" si="99"/>
        <v>T3</v>
      </c>
      <c r="F825" t="s">
        <v>948</v>
      </c>
      <c r="G825" t="s">
        <v>54</v>
      </c>
      <c r="H825" t="s">
        <v>55</v>
      </c>
      <c r="I825" t="s">
        <v>56</v>
      </c>
      <c r="J825" t="s">
        <v>70</v>
      </c>
      <c r="K825" t="s">
        <v>71</v>
      </c>
      <c r="L825" t="s">
        <v>72</v>
      </c>
      <c r="M825" s="24">
        <v>4</v>
      </c>
      <c r="N825" s="25">
        <v>49561.16</v>
      </c>
      <c r="O825" s="25">
        <f t="shared" si="100"/>
        <v>198244.64</v>
      </c>
      <c r="P825" s="25">
        <v>38386.99</v>
      </c>
      <c r="Q825" s="25">
        <f t="shared" si="101"/>
        <v>153547.96</v>
      </c>
      <c r="R825" s="25">
        <f t="shared" si="102"/>
        <v>44696.680000000022</v>
      </c>
      <c r="S825" s="26">
        <f t="shared" si="103"/>
        <v>0.22546223696136258</v>
      </c>
    </row>
    <row r="826" spans="1:19" ht="15" x14ac:dyDescent="0.2">
      <c r="A826" s="23">
        <v>45872</v>
      </c>
      <c r="B826">
        <f t="shared" si="96"/>
        <v>2025</v>
      </c>
      <c r="C826">
        <f t="shared" si="97"/>
        <v>8</v>
      </c>
      <c r="D826" t="str">
        <f t="shared" si="98"/>
        <v>Agosto</v>
      </c>
      <c r="E826" t="str">
        <f t="shared" si="99"/>
        <v>T3</v>
      </c>
      <c r="F826" t="s">
        <v>949</v>
      </c>
      <c r="G826" t="s">
        <v>105</v>
      </c>
      <c r="H826" t="s">
        <v>62</v>
      </c>
      <c r="I826" t="s">
        <v>106</v>
      </c>
      <c r="J826" t="s">
        <v>125</v>
      </c>
      <c r="K826" t="s">
        <v>138</v>
      </c>
      <c r="L826" t="s">
        <v>142</v>
      </c>
      <c r="M826" s="24">
        <v>145</v>
      </c>
      <c r="N826" s="25">
        <v>1844.46</v>
      </c>
      <c r="O826" s="25">
        <f t="shared" si="100"/>
        <v>267446.7</v>
      </c>
      <c r="P826" s="25">
        <v>1502.78</v>
      </c>
      <c r="Q826" s="25">
        <f t="shared" si="101"/>
        <v>217903.1</v>
      </c>
      <c r="R826" s="25">
        <f t="shared" si="102"/>
        <v>49543.600000000006</v>
      </c>
      <c r="S826" s="26">
        <f t="shared" si="103"/>
        <v>0.18524663045010464</v>
      </c>
    </row>
    <row r="827" spans="1:19" ht="15" x14ac:dyDescent="0.2">
      <c r="A827" s="23">
        <v>45872</v>
      </c>
      <c r="B827">
        <f t="shared" si="96"/>
        <v>2025</v>
      </c>
      <c r="C827">
        <f t="shared" si="97"/>
        <v>8</v>
      </c>
      <c r="D827" t="str">
        <f t="shared" si="98"/>
        <v>Agosto</v>
      </c>
      <c r="E827" t="str">
        <f t="shared" si="99"/>
        <v>T3</v>
      </c>
      <c r="F827" t="s">
        <v>950</v>
      </c>
      <c r="G827" t="s">
        <v>74</v>
      </c>
      <c r="H827" t="s">
        <v>75</v>
      </c>
      <c r="I827" t="s">
        <v>76</v>
      </c>
      <c r="J827" t="s">
        <v>125</v>
      </c>
      <c r="K827" t="s">
        <v>126</v>
      </c>
      <c r="L827" t="s">
        <v>127</v>
      </c>
      <c r="M827" s="24">
        <v>3</v>
      </c>
      <c r="N827" s="25">
        <v>36789.480000000003</v>
      </c>
      <c r="O827" s="25">
        <f t="shared" si="100"/>
        <v>110368.44</v>
      </c>
      <c r="P827" s="25">
        <v>25350.38</v>
      </c>
      <c r="Q827" s="25">
        <f t="shared" si="101"/>
        <v>76051.14</v>
      </c>
      <c r="R827" s="25">
        <f t="shared" si="102"/>
        <v>34317.300000000003</v>
      </c>
      <c r="S827" s="26">
        <f t="shared" si="103"/>
        <v>0.31093399526168897</v>
      </c>
    </row>
    <row r="828" spans="1:19" ht="15" x14ac:dyDescent="0.2">
      <c r="A828" s="23">
        <v>45872</v>
      </c>
      <c r="B828">
        <f t="shared" si="96"/>
        <v>2025</v>
      </c>
      <c r="C828">
        <f t="shared" si="97"/>
        <v>8</v>
      </c>
      <c r="D828" t="str">
        <f t="shared" si="98"/>
        <v>Agosto</v>
      </c>
      <c r="E828" t="str">
        <f t="shared" si="99"/>
        <v>T3</v>
      </c>
      <c r="F828" t="s">
        <v>951</v>
      </c>
      <c r="G828" t="s">
        <v>149</v>
      </c>
      <c r="H828" t="s">
        <v>93</v>
      </c>
      <c r="I828" t="s">
        <v>150</v>
      </c>
      <c r="J828" t="s">
        <v>77</v>
      </c>
      <c r="K828" t="s">
        <v>107</v>
      </c>
      <c r="L828" t="s">
        <v>108</v>
      </c>
      <c r="M828" s="24">
        <v>6</v>
      </c>
      <c r="N828" s="25">
        <v>45829.919999999998</v>
      </c>
      <c r="O828" s="25">
        <f t="shared" si="100"/>
        <v>274979.52</v>
      </c>
      <c r="P828" s="25">
        <v>25885.5</v>
      </c>
      <c r="Q828" s="25">
        <f t="shared" si="101"/>
        <v>155313</v>
      </c>
      <c r="R828" s="25">
        <f t="shared" si="102"/>
        <v>119666.52000000002</v>
      </c>
      <c r="S828" s="26">
        <f t="shared" si="103"/>
        <v>0.43518339111218179</v>
      </c>
    </row>
    <row r="829" spans="1:19" ht="15" x14ac:dyDescent="0.2">
      <c r="A829" s="23">
        <v>45872</v>
      </c>
      <c r="B829">
        <f t="shared" si="96"/>
        <v>2025</v>
      </c>
      <c r="C829">
        <f t="shared" si="97"/>
        <v>8</v>
      </c>
      <c r="D829" t="str">
        <f t="shared" si="98"/>
        <v>Agosto</v>
      </c>
      <c r="E829" t="str">
        <f t="shared" si="99"/>
        <v>T3</v>
      </c>
      <c r="F829" t="s">
        <v>952</v>
      </c>
      <c r="G829" t="s">
        <v>206</v>
      </c>
      <c r="H829" t="s">
        <v>93</v>
      </c>
      <c r="I829" t="s">
        <v>207</v>
      </c>
      <c r="J829" t="s">
        <v>77</v>
      </c>
      <c r="K829" t="s">
        <v>107</v>
      </c>
      <c r="L829" t="s">
        <v>108</v>
      </c>
      <c r="M829" s="24">
        <v>3</v>
      </c>
      <c r="N829" s="25">
        <v>101548.56</v>
      </c>
      <c r="O829" s="25">
        <f t="shared" si="100"/>
        <v>304645.68</v>
      </c>
      <c r="P829" s="25">
        <v>57017.09</v>
      </c>
      <c r="Q829" s="25">
        <f t="shared" si="101"/>
        <v>171051.27</v>
      </c>
      <c r="R829" s="25">
        <f t="shared" si="102"/>
        <v>133594.41</v>
      </c>
      <c r="S829" s="26">
        <f t="shared" si="103"/>
        <v>0.43852389438117095</v>
      </c>
    </row>
    <row r="830" spans="1:19" ht="15" x14ac:dyDescent="0.2">
      <c r="A830" s="23">
        <v>45872</v>
      </c>
      <c r="B830">
        <f t="shared" si="96"/>
        <v>2025</v>
      </c>
      <c r="C830">
        <f t="shared" si="97"/>
        <v>8</v>
      </c>
      <c r="D830" t="str">
        <f t="shared" si="98"/>
        <v>Agosto</v>
      </c>
      <c r="E830" t="str">
        <f t="shared" si="99"/>
        <v>T3</v>
      </c>
      <c r="F830" t="s">
        <v>953</v>
      </c>
      <c r="G830" t="s">
        <v>92</v>
      </c>
      <c r="H830" t="s">
        <v>93</v>
      </c>
      <c r="I830" t="s">
        <v>94</v>
      </c>
      <c r="J830" t="s">
        <v>57</v>
      </c>
      <c r="K830" t="s">
        <v>58</v>
      </c>
      <c r="L830" t="s">
        <v>59</v>
      </c>
      <c r="M830" s="24">
        <v>9</v>
      </c>
      <c r="N830" s="25">
        <v>20983.22</v>
      </c>
      <c r="O830" s="25">
        <f t="shared" si="100"/>
        <v>188848.98</v>
      </c>
      <c r="P830" s="25">
        <v>12395.19</v>
      </c>
      <c r="Q830" s="25">
        <f t="shared" si="101"/>
        <v>111556.71</v>
      </c>
      <c r="R830" s="25">
        <f t="shared" si="102"/>
        <v>77292.27</v>
      </c>
      <c r="S830" s="26">
        <f t="shared" si="103"/>
        <v>0.40928084440805557</v>
      </c>
    </row>
    <row r="831" spans="1:19" ht="15" x14ac:dyDescent="0.2">
      <c r="A831" s="23">
        <v>45872</v>
      </c>
      <c r="B831">
        <f t="shared" si="96"/>
        <v>2025</v>
      </c>
      <c r="C831">
        <f t="shared" si="97"/>
        <v>8</v>
      </c>
      <c r="D831" t="str">
        <f t="shared" si="98"/>
        <v>Agosto</v>
      </c>
      <c r="E831" t="str">
        <f t="shared" si="99"/>
        <v>T3</v>
      </c>
      <c r="F831" t="s">
        <v>954</v>
      </c>
      <c r="G831" t="s">
        <v>92</v>
      </c>
      <c r="H831" t="s">
        <v>93</v>
      </c>
      <c r="I831" t="s">
        <v>94</v>
      </c>
      <c r="J831" t="s">
        <v>70</v>
      </c>
      <c r="K831" t="s">
        <v>84</v>
      </c>
      <c r="L831" t="s">
        <v>147</v>
      </c>
      <c r="M831" s="24">
        <v>6</v>
      </c>
      <c r="N831" s="25">
        <v>18441.560000000001</v>
      </c>
      <c r="O831" s="25">
        <f t="shared" si="100"/>
        <v>110649.36000000002</v>
      </c>
      <c r="P831" s="25">
        <v>11343.11</v>
      </c>
      <c r="Q831" s="25">
        <f t="shared" si="101"/>
        <v>68058.66</v>
      </c>
      <c r="R831" s="25">
        <f t="shared" si="102"/>
        <v>42590.700000000012</v>
      </c>
      <c r="S831" s="26">
        <f t="shared" si="103"/>
        <v>0.38491591817611964</v>
      </c>
    </row>
    <row r="832" spans="1:19" ht="15" x14ac:dyDescent="0.2">
      <c r="A832" s="23">
        <v>45874</v>
      </c>
      <c r="B832">
        <f t="shared" si="96"/>
        <v>2025</v>
      </c>
      <c r="C832">
        <f t="shared" si="97"/>
        <v>8</v>
      </c>
      <c r="D832" t="str">
        <f t="shared" si="98"/>
        <v>Agosto</v>
      </c>
      <c r="E832" t="str">
        <f t="shared" si="99"/>
        <v>T3</v>
      </c>
      <c r="F832" t="s">
        <v>955</v>
      </c>
      <c r="G832" t="s">
        <v>54</v>
      </c>
      <c r="H832" t="s">
        <v>55</v>
      </c>
      <c r="I832" t="s">
        <v>56</v>
      </c>
      <c r="J832" t="s">
        <v>57</v>
      </c>
      <c r="K832" t="s">
        <v>81</v>
      </c>
      <c r="L832" t="s">
        <v>129</v>
      </c>
      <c r="M832" s="24">
        <v>8</v>
      </c>
      <c r="N832" s="25">
        <v>58817.7</v>
      </c>
      <c r="O832" s="25">
        <f t="shared" si="100"/>
        <v>470541.6</v>
      </c>
      <c r="P832" s="25">
        <v>42669.14</v>
      </c>
      <c r="Q832" s="25">
        <f t="shared" si="101"/>
        <v>341353.12</v>
      </c>
      <c r="R832" s="25">
        <f t="shared" si="102"/>
        <v>129188.47999999998</v>
      </c>
      <c r="S832" s="26">
        <f t="shared" si="103"/>
        <v>0.27455272817536214</v>
      </c>
    </row>
    <row r="833" spans="1:19" ht="15" x14ac:dyDescent="0.2">
      <c r="A833" s="23">
        <v>45874</v>
      </c>
      <c r="B833">
        <f t="shared" si="96"/>
        <v>2025</v>
      </c>
      <c r="C833">
        <f t="shared" si="97"/>
        <v>8</v>
      </c>
      <c r="D833" t="str">
        <f t="shared" si="98"/>
        <v>Agosto</v>
      </c>
      <c r="E833" t="str">
        <f t="shared" si="99"/>
        <v>T3</v>
      </c>
      <c r="F833" t="s">
        <v>956</v>
      </c>
      <c r="G833" t="s">
        <v>110</v>
      </c>
      <c r="H833" t="s">
        <v>62</v>
      </c>
      <c r="I833" t="s">
        <v>69</v>
      </c>
      <c r="J833" t="s">
        <v>64</v>
      </c>
      <c r="K833" t="s">
        <v>65</v>
      </c>
      <c r="L833" t="s">
        <v>123</v>
      </c>
      <c r="M833" s="24">
        <v>79</v>
      </c>
      <c r="N833" s="25">
        <v>6453.76</v>
      </c>
      <c r="O833" s="25">
        <f t="shared" si="100"/>
        <v>509847.04000000004</v>
      </c>
      <c r="P833" s="25">
        <v>5410.88</v>
      </c>
      <c r="Q833" s="25">
        <f t="shared" si="101"/>
        <v>427459.52</v>
      </c>
      <c r="R833" s="25">
        <f t="shared" si="102"/>
        <v>82387.520000000019</v>
      </c>
      <c r="S833" s="26">
        <f t="shared" si="103"/>
        <v>0.16159262197540661</v>
      </c>
    </row>
    <row r="834" spans="1:19" ht="15" x14ac:dyDescent="0.2">
      <c r="A834" s="23">
        <v>45874</v>
      </c>
      <c r="B834">
        <f t="shared" ref="B834:B897" si="104">YEAR($A834)</f>
        <v>2025</v>
      </c>
      <c r="C834">
        <f t="shared" ref="C834:C897" si="105">MONTH($A834)</f>
        <v>8</v>
      </c>
      <c r="D834" t="str">
        <f t="shared" ref="D834:D897" si="106">INDEX(lst_Meses,MONTH($A834))</f>
        <v>Agosto</v>
      </c>
      <c r="E834" t="str">
        <f t="shared" ref="E834:E897" si="107">"T"&amp;ROUNDUP(MONTH($A834)/3,0)</f>
        <v>T3</v>
      </c>
      <c r="F834" t="s">
        <v>957</v>
      </c>
      <c r="G834" t="s">
        <v>105</v>
      </c>
      <c r="H834" t="s">
        <v>62</v>
      </c>
      <c r="I834" t="s">
        <v>106</v>
      </c>
      <c r="J834" t="s">
        <v>64</v>
      </c>
      <c r="K834" t="s">
        <v>96</v>
      </c>
      <c r="L834" t="s">
        <v>103</v>
      </c>
      <c r="M834" s="24">
        <v>363</v>
      </c>
      <c r="N834" s="25">
        <v>1779.68</v>
      </c>
      <c r="O834" s="25">
        <f t="shared" ref="O834:O897" si="108">$M834*$N834</f>
        <v>646023.84</v>
      </c>
      <c r="P834" s="25">
        <v>1500.27</v>
      </c>
      <c r="Q834" s="25">
        <f t="shared" ref="Q834:Q897" si="109">$M834*$P834</f>
        <v>544598.01</v>
      </c>
      <c r="R834" s="25">
        <f t="shared" ref="R834:R897" si="110">$O834-$Q834</f>
        <v>101425.82999999996</v>
      </c>
      <c r="S834" s="26">
        <f t="shared" ref="S834:S897" si="111">IFERROR($R834/$O834,0)</f>
        <v>0.15700013485570433</v>
      </c>
    </row>
    <row r="835" spans="1:19" ht="15" x14ac:dyDescent="0.2">
      <c r="A835" s="23">
        <v>45874</v>
      </c>
      <c r="B835">
        <f t="shared" si="104"/>
        <v>2025</v>
      </c>
      <c r="C835">
        <f t="shared" si="105"/>
        <v>8</v>
      </c>
      <c r="D835" t="str">
        <f t="shared" si="106"/>
        <v>Agosto</v>
      </c>
      <c r="E835" t="str">
        <f t="shared" si="107"/>
        <v>T3</v>
      </c>
      <c r="F835" t="s">
        <v>958</v>
      </c>
      <c r="G835" t="s">
        <v>105</v>
      </c>
      <c r="H835" t="s">
        <v>62</v>
      </c>
      <c r="I835" t="s">
        <v>106</v>
      </c>
      <c r="J835" t="s">
        <v>70</v>
      </c>
      <c r="K835" t="s">
        <v>84</v>
      </c>
      <c r="L835" t="s">
        <v>147</v>
      </c>
      <c r="M835" s="24">
        <v>225</v>
      </c>
      <c r="N835" s="25">
        <v>1746.8</v>
      </c>
      <c r="O835" s="25">
        <f t="shared" si="108"/>
        <v>393030</v>
      </c>
      <c r="P835" s="25">
        <v>1498.58</v>
      </c>
      <c r="Q835" s="25">
        <f t="shared" si="109"/>
        <v>337180.5</v>
      </c>
      <c r="R835" s="25">
        <f t="shared" si="110"/>
        <v>55849.5</v>
      </c>
      <c r="S835" s="26">
        <f t="shared" si="111"/>
        <v>0.14209983970689261</v>
      </c>
    </row>
    <row r="836" spans="1:19" ht="15" x14ac:dyDescent="0.2">
      <c r="A836" s="23">
        <v>45874</v>
      </c>
      <c r="B836">
        <f t="shared" si="104"/>
        <v>2025</v>
      </c>
      <c r="C836">
        <f t="shared" si="105"/>
        <v>8</v>
      </c>
      <c r="D836" t="str">
        <f t="shared" si="106"/>
        <v>Agosto</v>
      </c>
      <c r="E836" t="str">
        <f t="shared" si="107"/>
        <v>T3</v>
      </c>
      <c r="F836" t="s">
        <v>959</v>
      </c>
      <c r="G836" t="s">
        <v>144</v>
      </c>
      <c r="H836" t="s">
        <v>88</v>
      </c>
      <c r="I836" t="s">
        <v>145</v>
      </c>
      <c r="J836" t="s">
        <v>77</v>
      </c>
      <c r="K836" t="s">
        <v>78</v>
      </c>
      <c r="L836" t="s">
        <v>79</v>
      </c>
      <c r="M836" s="24">
        <v>3</v>
      </c>
      <c r="N836" s="25">
        <v>11190.77</v>
      </c>
      <c r="O836" s="25">
        <f t="shared" si="108"/>
        <v>33572.31</v>
      </c>
      <c r="P836" s="25">
        <v>6152.29</v>
      </c>
      <c r="Q836" s="25">
        <f t="shared" si="109"/>
        <v>18456.87</v>
      </c>
      <c r="R836" s="25">
        <f t="shared" si="110"/>
        <v>15115.439999999999</v>
      </c>
      <c r="S836" s="26">
        <f t="shared" si="111"/>
        <v>0.45023532786394499</v>
      </c>
    </row>
    <row r="837" spans="1:19" ht="15" x14ac:dyDescent="0.2">
      <c r="A837" s="23">
        <v>45875</v>
      </c>
      <c r="B837">
        <f t="shared" si="104"/>
        <v>2025</v>
      </c>
      <c r="C837">
        <f t="shared" si="105"/>
        <v>8</v>
      </c>
      <c r="D837" t="str">
        <f t="shared" si="106"/>
        <v>Agosto</v>
      </c>
      <c r="E837" t="str">
        <f t="shared" si="107"/>
        <v>T3</v>
      </c>
      <c r="F837" t="s">
        <v>960</v>
      </c>
      <c r="G837" t="s">
        <v>105</v>
      </c>
      <c r="H837" t="s">
        <v>62</v>
      </c>
      <c r="I837" t="s">
        <v>106</v>
      </c>
      <c r="J837" t="s">
        <v>77</v>
      </c>
      <c r="K837" t="s">
        <v>78</v>
      </c>
      <c r="L837" t="s">
        <v>117</v>
      </c>
      <c r="M837" s="24">
        <v>237</v>
      </c>
      <c r="N837" s="25">
        <v>1862.93</v>
      </c>
      <c r="O837" s="25">
        <f t="shared" si="108"/>
        <v>441514.41000000003</v>
      </c>
      <c r="P837" s="25">
        <v>1498.27</v>
      </c>
      <c r="Q837" s="25">
        <f t="shared" si="109"/>
        <v>355089.99</v>
      </c>
      <c r="R837" s="25">
        <f t="shared" si="110"/>
        <v>86424.420000000042</v>
      </c>
      <c r="S837" s="26">
        <f t="shared" si="111"/>
        <v>0.19574541179754482</v>
      </c>
    </row>
    <row r="838" spans="1:19" ht="15" x14ac:dyDescent="0.2">
      <c r="A838" s="23">
        <v>45876</v>
      </c>
      <c r="B838">
        <f t="shared" si="104"/>
        <v>2025</v>
      </c>
      <c r="C838">
        <f t="shared" si="105"/>
        <v>8</v>
      </c>
      <c r="D838" t="str">
        <f t="shared" si="106"/>
        <v>Agosto</v>
      </c>
      <c r="E838" t="str">
        <f t="shared" si="107"/>
        <v>T3</v>
      </c>
      <c r="F838" t="s">
        <v>961</v>
      </c>
      <c r="G838" t="s">
        <v>110</v>
      </c>
      <c r="H838" t="s">
        <v>62</v>
      </c>
      <c r="I838" t="s">
        <v>69</v>
      </c>
      <c r="J838" t="s">
        <v>64</v>
      </c>
      <c r="K838" t="s">
        <v>96</v>
      </c>
      <c r="L838" t="s">
        <v>97</v>
      </c>
      <c r="M838" s="24">
        <v>63</v>
      </c>
      <c r="N838" s="25">
        <v>6505.35</v>
      </c>
      <c r="O838" s="25">
        <f t="shared" si="108"/>
        <v>409837.05000000005</v>
      </c>
      <c r="P838" s="25">
        <v>5433.89</v>
      </c>
      <c r="Q838" s="25">
        <f t="shared" si="109"/>
        <v>342335.07</v>
      </c>
      <c r="R838" s="25">
        <f t="shared" si="110"/>
        <v>67501.98000000004</v>
      </c>
      <c r="S838" s="26">
        <f t="shared" si="111"/>
        <v>0.16470443557994582</v>
      </c>
    </row>
    <row r="839" spans="1:19" ht="15" x14ac:dyDescent="0.2">
      <c r="A839" s="23">
        <v>45876</v>
      </c>
      <c r="B839">
        <f t="shared" si="104"/>
        <v>2025</v>
      </c>
      <c r="C839">
        <f t="shared" si="105"/>
        <v>8</v>
      </c>
      <c r="D839" t="str">
        <f t="shared" si="106"/>
        <v>Agosto</v>
      </c>
      <c r="E839" t="str">
        <f t="shared" si="107"/>
        <v>T3</v>
      </c>
      <c r="F839" t="s">
        <v>962</v>
      </c>
      <c r="G839" t="s">
        <v>114</v>
      </c>
      <c r="H839" t="s">
        <v>75</v>
      </c>
      <c r="I839" t="s">
        <v>115</v>
      </c>
      <c r="J839" t="s">
        <v>57</v>
      </c>
      <c r="K839" t="s">
        <v>58</v>
      </c>
      <c r="L839" t="s">
        <v>59</v>
      </c>
      <c r="M839" s="24">
        <v>4</v>
      </c>
      <c r="N839" s="25">
        <v>105421.06</v>
      </c>
      <c r="O839" s="25">
        <f t="shared" si="108"/>
        <v>421684.24</v>
      </c>
      <c r="P839" s="25">
        <v>71913.740000000005</v>
      </c>
      <c r="Q839" s="25">
        <f t="shared" si="109"/>
        <v>287654.96000000002</v>
      </c>
      <c r="R839" s="25">
        <f t="shared" si="110"/>
        <v>134029.27999999997</v>
      </c>
      <c r="S839" s="26">
        <f t="shared" si="111"/>
        <v>0.31784275362057629</v>
      </c>
    </row>
    <row r="840" spans="1:19" ht="15" x14ac:dyDescent="0.2">
      <c r="A840" s="23">
        <v>45876</v>
      </c>
      <c r="B840">
        <f t="shared" si="104"/>
        <v>2025</v>
      </c>
      <c r="C840">
        <f t="shared" si="105"/>
        <v>8</v>
      </c>
      <c r="D840" t="str">
        <f t="shared" si="106"/>
        <v>Agosto</v>
      </c>
      <c r="E840" t="str">
        <f t="shared" si="107"/>
        <v>T3</v>
      </c>
      <c r="F840" t="s">
        <v>963</v>
      </c>
      <c r="G840" t="s">
        <v>87</v>
      </c>
      <c r="H840" t="s">
        <v>88</v>
      </c>
      <c r="I840" t="s">
        <v>89</v>
      </c>
      <c r="J840" t="s">
        <v>77</v>
      </c>
      <c r="K840" t="s">
        <v>78</v>
      </c>
      <c r="L840" t="s">
        <v>117</v>
      </c>
      <c r="M840" s="24">
        <v>4</v>
      </c>
      <c r="N840" s="25">
        <v>63132.06</v>
      </c>
      <c r="O840" s="25">
        <f t="shared" si="108"/>
        <v>252528.24</v>
      </c>
      <c r="P840" s="25">
        <v>34693.160000000003</v>
      </c>
      <c r="Q840" s="25">
        <f t="shared" si="109"/>
        <v>138772.64000000001</v>
      </c>
      <c r="R840" s="25">
        <f t="shared" si="110"/>
        <v>113755.59999999998</v>
      </c>
      <c r="S840" s="26">
        <f t="shared" si="111"/>
        <v>0.4504668467970156</v>
      </c>
    </row>
    <row r="841" spans="1:19" ht="15" x14ac:dyDescent="0.2">
      <c r="A841" s="23">
        <v>45876</v>
      </c>
      <c r="B841">
        <f t="shared" si="104"/>
        <v>2025</v>
      </c>
      <c r="C841">
        <f t="shared" si="105"/>
        <v>8</v>
      </c>
      <c r="D841" t="str">
        <f t="shared" si="106"/>
        <v>Agosto</v>
      </c>
      <c r="E841" t="str">
        <f t="shared" si="107"/>
        <v>T3</v>
      </c>
      <c r="F841" t="s">
        <v>964</v>
      </c>
      <c r="G841" t="s">
        <v>92</v>
      </c>
      <c r="H841" t="s">
        <v>93</v>
      </c>
      <c r="I841" t="s">
        <v>94</v>
      </c>
      <c r="J841" t="s">
        <v>64</v>
      </c>
      <c r="K841" t="s">
        <v>96</v>
      </c>
      <c r="L841" t="s">
        <v>103</v>
      </c>
      <c r="M841" s="24">
        <v>22</v>
      </c>
      <c r="N841" s="25">
        <v>20195.61</v>
      </c>
      <c r="O841" s="25">
        <f t="shared" si="108"/>
        <v>444303.42000000004</v>
      </c>
      <c r="P841" s="25">
        <v>12209.07</v>
      </c>
      <c r="Q841" s="25">
        <f t="shared" si="109"/>
        <v>268599.53999999998</v>
      </c>
      <c r="R841" s="25">
        <f t="shared" si="110"/>
        <v>175703.88000000006</v>
      </c>
      <c r="S841" s="26">
        <f t="shared" si="111"/>
        <v>0.39545921118500516</v>
      </c>
    </row>
    <row r="842" spans="1:19" ht="15" x14ac:dyDescent="0.2">
      <c r="A842" s="23">
        <v>45877</v>
      </c>
      <c r="B842">
        <f t="shared" si="104"/>
        <v>2025</v>
      </c>
      <c r="C842">
        <f t="shared" si="105"/>
        <v>8</v>
      </c>
      <c r="D842" t="str">
        <f t="shared" si="106"/>
        <v>Agosto</v>
      </c>
      <c r="E842" t="str">
        <f t="shared" si="107"/>
        <v>T3</v>
      </c>
      <c r="F842" t="s">
        <v>965</v>
      </c>
      <c r="G842" t="s">
        <v>114</v>
      </c>
      <c r="H842" t="s">
        <v>75</v>
      </c>
      <c r="I842" t="s">
        <v>115</v>
      </c>
      <c r="J842" t="s">
        <v>125</v>
      </c>
      <c r="K842" t="s">
        <v>138</v>
      </c>
      <c r="L842" t="s">
        <v>142</v>
      </c>
      <c r="M842" s="24">
        <v>3</v>
      </c>
      <c r="N842" s="25">
        <v>99619.14</v>
      </c>
      <c r="O842" s="25">
        <f t="shared" si="108"/>
        <v>298857.42</v>
      </c>
      <c r="P842" s="25">
        <v>66783.44</v>
      </c>
      <c r="Q842" s="25">
        <f t="shared" si="109"/>
        <v>200350.32</v>
      </c>
      <c r="R842" s="25">
        <f t="shared" si="110"/>
        <v>98507.099999999977</v>
      </c>
      <c r="S842" s="26">
        <f t="shared" si="111"/>
        <v>0.32961236164054414</v>
      </c>
    </row>
    <row r="843" spans="1:19" ht="15" x14ac:dyDescent="0.2">
      <c r="A843" s="23">
        <v>45877</v>
      </c>
      <c r="B843">
        <f t="shared" si="104"/>
        <v>2025</v>
      </c>
      <c r="C843">
        <f t="shared" si="105"/>
        <v>8</v>
      </c>
      <c r="D843" t="str">
        <f t="shared" si="106"/>
        <v>Agosto</v>
      </c>
      <c r="E843" t="str">
        <f t="shared" si="107"/>
        <v>T3</v>
      </c>
      <c r="F843" t="s">
        <v>966</v>
      </c>
      <c r="G843" t="s">
        <v>188</v>
      </c>
      <c r="H843" t="s">
        <v>88</v>
      </c>
      <c r="I843" t="s">
        <v>189</v>
      </c>
      <c r="J843" t="s">
        <v>77</v>
      </c>
      <c r="K843" t="s">
        <v>107</v>
      </c>
      <c r="L843" t="s">
        <v>112</v>
      </c>
      <c r="M843" s="24">
        <v>5</v>
      </c>
      <c r="N843" s="25">
        <v>84041.03</v>
      </c>
      <c r="O843" s="25">
        <f t="shared" si="108"/>
        <v>420205.15</v>
      </c>
      <c r="P843" s="25">
        <v>43187.97</v>
      </c>
      <c r="Q843" s="25">
        <f t="shared" si="109"/>
        <v>215939.85</v>
      </c>
      <c r="R843" s="25">
        <f t="shared" si="110"/>
        <v>204265.30000000002</v>
      </c>
      <c r="S843" s="26">
        <f t="shared" si="111"/>
        <v>0.48610851152109869</v>
      </c>
    </row>
    <row r="844" spans="1:19" ht="15" x14ac:dyDescent="0.2">
      <c r="A844" s="23">
        <v>45878</v>
      </c>
      <c r="B844">
        <f t="shared" si="104"/>
        <v>2025</v>
      </c>
      <c r="C844">
        <f t="shared" si="105"/>
        <v>8</v>
      </c>
      <c r="D844" t="str">
        <f t="shared" si="106"/>
        <v>Agosto</v>
      </c>
      <c r="E844" t="str">
        <f t="shared" si="107"/>
        <v>T3</v>
      </c>
      <c r="F844" t="s">
        <v>967</v>
      </c>
      <c r="G844" t="s">
        <v>54</v>
      </c>
      <c r="H844" t="s">
        <v>55</v>
      </c>
      <c r="I844" t="s">
        <v>56</v>
      </c>
      <c r="J844" t="s">
        <v>57</v>
      </c>
      <c r="K844" t="s">
        <v>81</v>
      </c>
      <c r="L844" t="s">
        <v>82</v>
      </c>
      <c r="M844" s="24">
        <v>18</v>
      </c>
      <c r="N844" s="25">
        <v>56827.49</v>
      </c>
      <c r="O844" s="25">
        <f t="shared" si="108"/>
        <v>1022894.82</v>
      </c>
      <c r="P844" s="25">
        <v>41816.519999999997</v>
      </c>
      <c r="Q844" s="25">
        <f t="shared" si="109"/>
        <v>752697.36</v>
      </c>
      <c r="R844" s="25">
        <f t="shared" si="110"/>
        <v>270197.45999999996</v>
      </c>
      <c r="S844" s="26">
        <f t="shared" si="111"/>
        <v>0.26414979792350496</v>
      </c>
    </row>
    <row r="845" spans="1:19" ht="15" x14ac:dyDescent="0.2">
      <c r="A845" s="23">
        <v>45878</v>
      </c>
      <c r="B845">
        <f t="shared" si="104"/>
        <v>2025</v>
      </c>
      <c r="C845">
        <f t="shared" si="105"/>
        <v>8</v>
      </c>
      <c r="D845" t="str">
        <f t="shared" si="106"/>
        <v>Agosto</v>
      </c>
      <c r="E845" t="str">
        <f t="shared" si="107"/>
        <v>T3</v>
      </c>
      <c r="F845" t="s">
        <v>968</v>
      </c>
      <c r="G845" t="s">
        <v>54</v>
      </c>
      <c r="H845" t="s">
        <v>55</v>
      </c>
      <c r="I845" t="s">
        <v>56</v>
      </c>
      <c r="J845" t="s">
        <v>70</v>
      </c>
      <c r="K845" t="s">
        <v>84</v>
      </c>
      <c r="L845" t="s">
        <v>85</v>
      </c>
      <c r="M845" s="24">
        <v>9</v>
      </c>
      <c r="N845" s="25">
        <v>53517.63</v>
      </c>
      <c r="O845" s="25">
        <f t="shared" si="108"/>
        <v>481658.67</v>
      </c>
      <c r="P845" s="25">
        <v>41774.480000000003</v>
      </c>
      <c r="Q845" s="25">
        <f t="shared" si="109"/>
        <v>375970.32</v>
      </c>
      <c r="R845" s="25">
        <f t="shared" si="110"/>
        <v>105688.34999999998</v>
      </c>
      <c r="S845" s="26">
        <f t="shared" si="111"/>
        <v>0.21942582285501055</v>
      </c>
    </row>
    <row r="846" spans="1:19" ht="15" x14ac:dyDescent="0.2">
      <c r="A846" s="23">
        <v>45878</v>
      </c>
      <c r="B846">
        <f t="shared" si="104"/>
        <v>2025</v>
      </c>
      <c r="C846">
        <f t="shared" si="105"/>
        <v>8</v>
      </c>
      <c r="D846" t="str">
        <f t="shared" si="106"/>
        <v>Agosto</v>
      </c>
      <c r="E846" t="str">
        <f t="shared" si="107"/>
        <v>T3</v>
      </c>
      <c r="F846" t="s">
        <v>969</v>
      </c>
      <c r="G846" t="s">
        <v>110</v>
      </c>
      <c r="H846" t="s">
        <v>62</v>
      </c>
      <c r="I846" t="s">
        <v>69</v>
      </c>
      <c r="J846" t="s">
        <v>125</v>
      </c>
      <c r="K846" t="s">
        <v>138</v>
      </c>
      <c r="L846" t="s">
        <v>139</v>
      </c>
      <c r="M846" s="24">
        <v>68</v>
      </c>
      <c r="N846" s="25">
        <v>6658.29</v>
      </c>
      <c r="O846" s="25">
        <f t="shared" si="108"/>
        <v>452763.72</v>
      </c>
      <c r="P846" s="25">
        <v>5425.79</v>
      </c>
      <c r="Q846" s="25">
        <f t="shared" si="109"/>
        <v>368953.72</v>
      </c>
      <c r="R846" s="25">
        <f t="shared" si="110"/>
        <v>83810</v>
      </c>
      <c r="S846" s="26">
        <f t="shared" si="111"/>
        <v>0.18510758768392485</v>
      </c>
    </row>
    <row r="847" spans="1:19" ht="15" x14ac:dyDescent="0.2">
      <c r="A847" s="23">
        <v>45878</v>
      </c>
      <c r="B847">
        <f t="shared" si="104"/>
        <v>2025</v>
      </c>
      <c r="C847">
        <f t="shared" si="105"/>
        <v>8</v>
      </c>
      <c r="D847" t="str">
        <f t="shared" si="106"/>
        <v>Agosto</v>
      </c>
      <c r="E847" t="str">
        <f t="shared" si="107"/>
        <v>T3</v>
      </c>
      <c r="F847" t="s">
        <v>970</v>
      </c>
      <c r="G847" t="s">
        <v>74</v>
      </c>
      <c r="H847" t="s">
        <v>75</v>
      </c>
      <c r="I847" t="s">
        <v>76</v>
      </c>
      <c r="J847" t="s">
        <v>125</v>
      </c>
      <c r="K847" t="s">
        <v>126</v>
      </c>
      <c r="L847" t="s">
        <v>127</v>
      </c>
      <c r="M847" s="24">
        <v>6</v>
      </c>
      <c r="N847" s="25">
        <v>44876.06</v>
      </c>
      <c r="O847" s="25">
        <f t="shared" si="108"/>
        <v>269256.36</v>
      </c>
      <c r="P847" s="25">
        <v>29872.639999999999</v>
      </c>
      <c r="Q847" s="25">
        <f t="shared" si="109"/>
        <v>179235.84</v>
      </c>
      <c r="R847" s="25">
        <f t="shared" si="110"/>
        <v>90020.51999999999</v>
      </c>
      <c r="S847" s="26">
        <f t="shared" si="111"/>
        <v>0.33433015286992662</v>
      </c>
    </row>
    <row r="848" spans="1:19" ht="15" x14ac:dyDescent="0.2">
      <c r="A848" s="23">
        <v>45878</v>
      </c>
      <c r="B848">
        <f t="shared" si="104"/>
        <v>2025</v>
      </c>
      <c r="C848">
        <f t="shared" si="105"/>
        <v>8</v>
      </c>
      <c r="D848" t="str">
        <f t="shared" si="106"/>
        <v>Agosto</v>
      </c>
      <c r="E848" t="str">
        <f t="shared" si="107"/>
        <v>T3</v>
      </c>
      <c r="F848" t="s">
        <v>971</v>
      </c>
      <c r="G848" t="s">
        <v>100</v>
      </c>
      <c r="H848" t="s">
        <v>88</v>
      </c>
      <c r="I848" t="s">
        <v>101</v>
      </c>
      <c r="J848" t="s">
        <v>64</v>
      </c>
      <c r="K848" t="s">
        <v>65</v>
      </c>
      <c r="L848" t="s">
        <v>66</v>
      </c>
      <c r="M848" s="24">
        <v>30</v>
      </c>
      <c r="N848" s="25">
        <v>36088.65</v>
      </c>
      <c r="O848" s="25">
        <f t="shared" si="108"/>
        <v>1082659.5</v>
      </c>
      <c r="P848" s="25">
        <v>20885.25</v>
      </c>
      <c r="Q848" s="25">
        <f t="shared" si="109"/>
        <v>626557.5</v>
      </c>
      <c r="R848" s="25">
        <f t="shared" si="110"/>
        <v>456102</v>
      </c>
      <c r="S848" s="26">
        <f t="shared" si="111"/>
        <v>0.42127926647297698</v>
      </c>
    </row>
    <row r="849" spans="1:19" ht="15" x14ac:dyDescent="0.2">
      <c r="A849" s="23">
        <v>45878</v>
      </c>
      <c r="B849">
        <f t="shared" si="104"/>
        <v>2025</v>
      </c>
      <c r="C849">
        <f t="shared" si="105"/>
        <v>8</v>
      </c>
      <c r="D849" t="str">
        <f t="shared" si="106"/>
        <v>Agosto</v>
      </c>
      <c r="E849" t="str">
        <f t="shared" si="107"/>
        <v>T3</v>
      </c>
      <c r="F849" t="s">
        <v>972</v>
      </c>
      <c r="G849" t="s">
        <v>100</v>
      </c>
      <c r="H849" t="s">
        <v>88</v>
      </c>
      <c r="I849" t="s">
        <v>101</v>
      </c>
      <c r="J849" t="s">
        <v>77</v>
      </c>
      <c r="K849" t="s">
        <v>107</v>
      </c>
      <c r="L849" t="s">
        <v>108</v>
      </c>
      <c r="M849" s="24">
        <v>11</v>
      </c>
      <c r="N849" s="25">
        <v>41068.019999999997</v>
      </c>
      <c r="O849" s="25">
        <f t="shared" si="108"/>
        <v>451748.22</v>
      </c>
      <c r="P849" s="25">
        <v>21741.69</v>
      </c>
      <c r="Q849" s="25">
        <f t="shared" si="109"/>
        <v>239158.59</v>
      </c>
      <c r="R849" s="25">
        <f t="shared" si="110"/>
        <v>212589.62999999998</v>
      </c>
      <c r="S849" s="26">
        <f t="shared" si="111"/>
        <v>0.47059317688069691</v>
      </c>
    </row>
    <row r="850" spans="1:19" ht="15" x14ac:dyDescent="0.2">
      <c r="A850" s="23">
        <v>45878</v>
      </c>
      <c r="B850">
        <f t="shared" si="104"/>
        <v>2025</v>
      </c>
      <c r="C850">
        <f t="shared" si="105"/>
        <v>8</v>
      </c>
      <c r="D850" t="str">
        <f t="shared" si="106"/>
        <v>Agosto</v>
      </c>
      <c r="E850" t="str">
        <f t="shared" si="107"/>
        <v>T3</v>
      </c>
      <c r="F850" t="s">
        <v>973</v>
      </c>
      <c r="G850" t="s">
        <v>92</v>
      </c>
      <c r="H850" t="s">
        <v>93</v>
      </c>
      <c r="I850" t="s">
        <v>94</v>
      </c>
      <c r="J850" t="s">
        <v>125</v>
      </c>
      <c r="K850" t="s">
        <v>138</v>
      </c>
      <c r="L850" t="s">
        <v>139</v>
      </c>
      <c r="M850" s="24">
        <v>6</v>
      </c>
      <c r="N850" s="25">
        <v>20598.39</v>
      </c>
      <c r="O850" s="25">
        <f t="shared" si="108"/>
        <v>123590.34</v>
      </c>
      <c r="P850" s="25">
        <v>12046.45</v>
      </c>
      <c r="Q850" s="25">
        <f t="shared" si="109"/>
        <v>72278.700000000012</v>
      </c>
      <c r="R850" s="25">
        <f t="shared" si="110"/>
        <v>51311.639999999985</v>
      </c>
      <c r="S850" s="26">
        <f t="shared" si="111"/>
        <v>0.41517516660282661</v>
      </c>
    </row>
    <row r="851" spans="1:19" ht="15" x14ac:dyDescent="0.2">
      <c r="A851" s="23">
        <v>45879</v>
      </c>
      <c r="B851">
        <f t="shared" si="104"/>
        <v>2025</v>
      </c>
      <c r="C851">
        <f t="shared" si="105"/>
        <v>8</v>
      </c>
      <c r="D851" t="str">
        <f t="shared" si="106"/>
        <v>Agosto</v>
      </c>
      <c r="E851" t="str">
        <f t="shared" si="107"/>
        <v>T3</v>
      </c>
      <c r="F851" t="s">
        <v>974</v>
      </c>
      <c r="G851" t="s">
        <v>54</v>
      </c>
      <c r="H851" t="s">
        <v>55</v>
      </c>
      <c r="I851" t="s">
        <v>56</v>
      </c>
      <c r="J851" t="s">
        <v>64</v>
      </c>
      <c r="K851" t="s">
        <v>96</v>
      </c>
      <c r="L851" t="s">
        <v>97</v>
      </c>
      <c r="M851" s="24">
        <v>12</v>
      </c>
      <c r="N851" s="25">
        <v>57792.2</v>
      </c>
      <c r="O851" s="25">
        <f t="shared" si="108"/>
        <v>693506.39999999991</v>
      </c>
      <c r="P851" s="25">
        <v>43642.93</v>
      </c>
      <c r="Q851" s="25">
        <f t="shared" si="109"/>
        <v>523715.16000000003</v>
      </c>
      <c r="R851" s="25">
        <f t="shared" si="110"/>
        <v>169791.23999999987</v>
      </c>
      <c r="S851" s="26">
        <f t="shared" si="111"/>
        <v>0.24483009817933893</v>
      </c>
    </row>
    <row r="852" spans="1:19" ht="15" x14ac:dyDescent="0.2">
      <c r="A852" s="23">
        <v>45879</v>
      </c>
      <c r="B852">
        <f t="shared" si="104"/>
        <v>2025</v>
      </c>
      <c r="C852">
        <f t="shared" si="105"/>
        <v>8</v>
      </c>
      <c r="D852" t="str">
        <f t="shared" si="106"/>
        <v>Agosto</v>
      </c>
      <c r="E852" t="str">
        <f t="shared" si="107"/>
        <v>T3</v>
      </c>
      <c r="F852" t="s">
        <v>975</v>
      </c>
      <c r="G852" t="s">
        <v>54</v>
      </c>
      <c r="H852" t="s">
        <v>55</v>
      </c>
      <c r="I852" t="s">
        <v>56</v>
      </c>
      <c r="J852" t="s">
        <v>57</v>
      </c>
      <c r="K852" t="s">
        <v>58</v>
      </c>
      <c r="L852" t="s">
        <v>162</v>
      </c>
      <c r="M852" s="24">
        <v>3</v>
      </c>
      <c r="N852" s="25">
        <v>55603.46</v>
      </c>
      <c r="O852" s="25">
        <f t="shared" si="108"/>
        <v>166810.38</v>
      </c>
      <c r="P852" s="25">
        <v>40956.21</v>
      </c>
      <c r="Q852" s="25">
        <f t="shared" si="109"/>
        <v>122868.63</v>
      </c>
      <c r="R852" s="25">
        <f t="shared" si="110"/>
        <v>43941.75</v>
      </c>
      <c r="S852" s="26">
        <f t="shared" si="111"/>
        <v>0.26342335530918398</v>
      </c>
    </row>
    <row r="853" spans="1:19" ht="15" x14ac:dyDescent="0.2">
      <c r="A853" s="23">
        <v>45879</v>
      </c>
      <c r="B853">
        <f t="shared" si="104"/>
        <v>2025</v>
      </c>
      <c r="C853">
        <f t="shared" si="105"/>
        <v>8</v>
      </c>
      <c r="D853" t="str">
        <f t="shared" si="106"/>
        <v>Agosto</v>
      </c>
      <c r="E853" t="str">
        <f t="shared" si="107"/>
        <v>T3</v>
      </c>
      <c r="F853" t="s">
        <v>976</v>
      </c>
      <c r="G853" t="s">
        <v>121</v>
      </c>
      <c r="H853" t="s">
        <v>75</v>
      </c>
      <c r="I853" t="s">
        <v>122</v>
      </c>
      <c r="J853" t="s">
        <v>64</v>
      </c>
      <c r="K853" t="s">
        <v>65</v>
      </c>
      <c r="L853" t="s">
        <v>66</v>
      </c>
      <c r="M853" s="24">
        <v>3</v>
      </c>
      <c r="N853" s="25">
        <v>416734.57</v>
      </c>
      <c r="O853" s="25">
        <f t="shared" si="108"/>
        <v>1250203.71</v>
      </c>
      <c r="P853" s="25">
        <v>292994.01</v>
      </c>
      <c r="Q853" s="25">
        <f t="shared" si="109"/>
        <v>878982.03</v>
      </c>
      <c r="R853" s="25">
        <f t="shared" si="110"/>
        <v>371221.67999999993</v>
      </c>
      <c r="S853" s="26">
        <f t="shared" si="111"/>
        <v>0.29692895408221109</v>
      </c>
    </row>
    <row r="854" spans="1:19" ht="15" x14ac:dyDescent="0.2">
      <c r="A854" s="23">
        <v>45879</v>
      </c>
      <c r="B854">
        <f t="shared" si="104"/>
        <v>2025</v>
      </c>
      <c r="C854">
        <f t="shared" si="105"/>
        <v>8</v>
      </c>
      <c r="D854" t="str">
        <f t="shared" si="106"/>
        <v>Agosto</v>
      </c>
      <c r="E854" t="str">
        <f t="shared" si="107"/>
        <v>T3</v>
      </c>
      <c r="F854" t="s">
        <v>977</v>
      </c>
      <c r="G854" t="s">
        <v>100</v>
      </c>
      <c r="H854" t="s">
        <v>88</v>
      </c>
      <c r="I854" t="s">
        <v>101</v>
      </c>
      <c r="J854" t="s">
        <v>70</v>
      </c>
      <c r="K854" t="s">
        <v>71</v>
      </c>
      <c r="L854" t="s">
        <v>90</v>
      </c>
      <c r="M854" s="24">
        <v>3</v>
      </c>
      <c r="N854" s="25">
        <v>29639.360000000001</v>
      </c>
      <c r="O854" s="25">
        <f t="shared" si="108"/>
        <v>88918.080000000002</v>
      </c>
      <c r="P854" s="25">
        <v>17946.150000000001</v>
      </c>
      <c r="Q854" s="25">
        <f t="shared" si="109"/>
        <v>53838.450000000004</v>
      </c>
      <c r="R854" s="25">
        <f t="shared" si="110"/>
        <v>35079.629999999997</v>
      </c>
      <c r="S854" s="26">
        <f t="shared" si="111"/>
        <v>0.39451627835418845</v>
      </c>
    </row>
    <row r="855" spans="1:19" ht="15" x14ac:dyDescent="0.2">
      <c r="A855" s="23">
        <v>45879</v>
      </c>
      <c r="B855">
        <f t="shared" si="104"/>
        <v>2025</v>
      </c>
      <c r="C855">
        <f t="shared" si="105"/>
        <v>8</v>
      </c>
      <c r="D855" t="str">
        <f t="shared" si="106"/>
        <v>Agosto</v>
      </c>
      <c r="E855" t="str">
        <f t="shared" si="107"/>
        <v>T3</v>
      </c>
      <c r="F855" t="s">
        <v>978</v>
      </c>
      <c r="G855" t="s">
        <v>149</v>
      </c>
      <c r="H855" t="s">
        <v>93</v>
      </c>
      <c r="I855" t="s">
        <v>150</v>
      </c>
      <c r="J855" t="s">
        <v>77</v>
      </c>
      <c r="K855" t="s">
        <v>78</v>
      </c>
      <c r="L855" t="s">
        <v>117</v>
      </c>
      <c r="M855" s="24">
        <v>5</v>
      </c>
      <c r="N855" s="25">
        <v>45889.61</v>
      </c>
      <c r="O855" s="25">
        <f t="shared" si="108"/>
        <v>229448.05</v>
      </c>
      <c r="P855" s="25">
        <v>26591.67</v>
      </c>
      <c r="Q855" s="25">
        <f t="shared" si="109"/>
        <v>132958.34999999998</v>
      </c>
      <c r="R855" s="25">
        <f t="shared" si="110"/>
        <v>96489.700000000012</v>
      </c>
      <c r="S855" s="26">
        <f t="shared" si="111"/>
        <v>0.42052961443777803</v>
      </c>
    </row>
    <row r="856" spans="1:19" ht="15" x14ac:dyDescent="0.2">
      <c r="A856" s="23">
        <v>45879</v>
      </c>
      <c r="B856">
        <f t="shared" si="104"/>
        <v>2025</v>
      </c>
      <c r="C856">
        <f t="shared" si="105"/>
        <v>8</v>
      </c>
      <c r="D856" t="str">
        <f t="shared" si="106"/>
        <v>Agosto</v>
      </c>
      <c r="E856" t="str">
        <f t="shared" si="107"/>
        <v>T3</v>
      </c>
      <c r="F856" t="s">
        <v>979</v>
      </c>
      <c r="G856" t="s">
        <v>149</v>
      </c>
      <c r="H856" t="s">
        <v>93</v>
      </c>
      <c r="I856" t="s">
        <v>150</v>
      </c>
      <c r="J856" t="s">
        <v>125</v>
      </c>
      <c r="K856" t="s">
        <v>126</v>
      </c>
      <c r="L856" t="s">
        <v>127</v>
      </c>
      <c r="M856" s="24">
        <v>2</v>
      </c>
      <c r="N856" s="25">
        <v>44919.5</v>
      </c>
      <c r="O856" s="25">
        <f t="shared" si="108"/>
        <v>89839</v>
      </c>
      <c r="P856" s="25">
        <v>26420</v>
      </c>
      <c r="Q856" s="25">
        <f t="shared" si="109"/>
        <v>52840</v>
      </c>
      <c r="R856" s="25">
        <f t="shared" si="110"/>
        <v>36999</v>
      </c>
      <c r="S856" s="26">
        <f t="shared" si="111"/>
        <v>0.41183673015060274</v>
      </c>
    </row>
    <row r="857" spans="1:19" ht="15" x14ac:dyDescent="0.2">
      <c r="A857" s="23">
        <v>45880</v>
      </c>
      <c r="B857">
        <f t="shared" si="104"/>
        <v>2025</v>
      </c>
      <c r="C857">
        <f t="shared" si="105"/>
        <v>8</v>
      </c>
      <c r="D857" t="str">
        <f t="shared" si="106"/>
        <v>Agosto</v>
      </c>
      <c r="E857" t="str">
        <f t="shared" si="107"/>
        <v>T3</v>
      </c>
      <c r="F857" t="s">
        <v>980</v>
      </c>
      <c r="G857" t="s">
        <v>110</v>
      </c>
      <c r="H857" t="s">
        <v>62</v>
      </c>
      <c r="I857" t="s">
        <v>69</v>
      </c>
      <c r="J857" t="s">
        <v>57</v>
      </c>
      <c r="K857" t="s">
        <v>58</v>
      </c>
      <c r="L857" t="s">
        <v>59</v>
      </c>
      <c r="M857" s="24">
        <v>48</v>
      </c>
      <c r="N857" s="25">
        <v>6571.73</v>
      </c>
      <c r="O857" s="25">
        <f t="shared" si="108"/>
        <v>315443.03999999998</v>
      </c>
      <c r="P857" s="25">
        <v>5402.75</v>
      </c>
      <c r="Q857" s="25">
        <f t="shared" si="109"/>
        <v>259332</v>
      </c>
      <c r="R857" s="25">
        <f t="shared" si="110"/>
        <v>56111.039999999979</v>
      </c>
      <c r="S857" s="26">
        <f t="shared" si="111"/>
        <v>0.17788010158664455</v>
      </c>
    </row>
    <row r="858" spans="1:19" ht="15" x14ac:dyDescent="0.2">
      <c r="A858" s="23">
        <v>45880</v>
      </c>
      <c r="B858">
        <f t="shared" si="104"/>
        <v>2025</v>
      </c>
      <c r="C858">
        <f t="shared" si="105"/>
        <v>8</v>
      </c>
      <c r="D858" t="str">
        <f t="shared" si="106"/>
        <v>Agosto</v>
      </c>
      <c r="E858" t="str">
        <f t="shared" si="107"/>
        <v>T3</v>
      </c>
      <c r="F858" t="s">
        <v>981</v>
      </c>
      <c r="G858" t="s">
        <v>61</v>
      </c>
      <c r="H858" t="s">
        <v>62</v>
      </c>
      <c r="I858" t="s">
        <v>63</v>
      </c>
      <c r="J858" t="s">
        <v>125</v>
      </c>
      <c r="K858" t="s">
        <v>126</v>
      </c>
      <c r="L858" t="s">
        <v>131</v>
      </c>
      <c r="M858" s="24">
        <v>3</v>
      </c>
      <c r="N858" s="25">
        <v>5074.96</v>
      </c>
      <c r="O858" s="25">
        <f t="shared" si="108"/>
        <v>15224.880000000001</v>
      </c>
      <c r="P858" s="25">
        <v>4154.0600000000004</v>
      </c>
      <c r="Q858" s="25">
        <f t="shared" si="109"/>
        <v>12462.18</v>
      </c>
      <c r="R858" s="25">
        <f t="shared" si="110"/>
        <v>2762.7000000000007</v>
      </c>
      <c r="S858" s="26">
        <f t="shared" si="111"/>
        <v>0.18145955830193738</v>
      </c>
    </row>
    <row r="859" spans="1:19" ht="15" x14ac:dyDescent="0.2">
      <c r="A859" s="23">
        <v>45880</v>
      </c>
      <c r="B859">
        <f t="shared" si="104"/>
        <v>2025</v>
      </c>
      <c r="C859">
        <f t="shared" si="105"/>
        <v>8</v>
      </c>
      <c r="D859" t="str">
        <f t="shared" si="106"/>
        <v>Agosto</v>
      </c>
      <c r="E859" t="str">
        <f t="shared" si="107"/>
        <v>T3</v>
      </c>
      <c r="F859" t="s">
        <v>982</v>
      </c>
      <c r="G859" t="s">
        <v>105</v>
      </c>
      <c r="H859" t="s">
        <v>62</v>
      </c>
      <c r="I859" t="s">
        <v>106</v>
      </c>
      <c r="J859" t="s">
        <v>70</v>
      </c>
      <c r="K859" t="s">
        <v>71</v>
      </c>
      <c r="L859" t="s">
        <v>72</v>
      </c>
      <c r="M859" s="24">
        <v>84</v>
      </c>
      <c r="N859" s="25">
        <v>1755.64</v>
      </c>
      <c r="O859" s="25">
        <f t="shared" si="108"/>
        <v>147473.76</v>
      </c>
      <c r="P859" s="25">
        <v>1508.77</v>
      </c>
      <c r="Q859" s="25">
        <f t="shared" si="109"/>
        <v>126736.68</v>
      </c>
      <c r="R859" s="25">
        <f t="shared" si="110"/>
        <v>20737.080000000016</v>
      </c>
      <c r="S859" s="26">
        <f t="shared" si="111"/>
        <v>0.14061538812057151</v>
      </c>
    </row>
    <row r="860" spans="1:19" ht="15" x14ac:dyDescent="0.2">
      <c r="A860" s="23">
        <v>45880</v>
      </c>
      <c r="B860">
        <f t="shared" si="104"/>
        <v>2025</v>
      </c>
      <c r="C860">
        <f t="shared" si="105"/>
        <v>8</v>
      </c>
      <c r="D860" t="str">
        <f t="shared" si="106"/>
        <v>Agosto</v>
      </c>
      <c r="E860" t="str">
        <f t="shared" si="107"/>
        <v>T3</v>
      </c>
      <c r="F860" t="s">
        <v>983</v>
      </c>
      <c r="G860" t="s">
        <v>100</v>
      </c>
      <c r="H860" t="s">
        <v>88</v>
      </c>
      <c r="I860" t="s">
        <v>101</v>
      </c>
      <c r="J860" t="s">
        <v>57</v>
      </c>
      <c r="K860" t="s">
        <v>58</v>
      </c>
      <c r="L860" t="s">
        <v>59</v>
      </c>
      <c r="M860" s="24">
        <v>7</v>
      </c>
      <c r="N860" s="25">
        <v>35176.89</v>
      </c>
      <c r="O860" s="25">
        <f t="shared" si="108"/>
        <v>246238.22999999998</v>
      </c>
      <c r="P860" s="25">
        <v>19802.41</v>
      </c>
      <c r="Q860" s="25">
        <f t="shared" si="109"/>
        <v>138616.87</v>
      </c>
      <c r="R860" s="25">
        <f t="shared" si="110"/>
        <v>107621.35999999999</v>
      </c>
      <c r="S860" s="26">
        <f t="shared" si="111"/>
        <v>0.43706194606743232</v>
      </c>
    </row>
    <row r="861" spans="1:19" ht="15" x14ac:dyDescent="0.2">
      <c r="A861" s="23">
        <v>45880</v>
      </c>
      <c r="B861">
        <f t="shared" si="104"/>
        <v>2025</v>
      </c>
      <c r="C861">
        <f t="shared" si="105"/>
        <v>8</v>
      </c>
      <c r="D861" t="str">
        <f t="shared" si="106"/>
        <v>Agosto</v>
      </c>
      <c r="E861" t="str">
        <f t="shared" si="107"/>
        <v>T3</v>
      </c>
      <c r="F861" t="s">
        <v>984</v>
      </c>
      <c r="G861" t="s">
        <v>144</v>
      </c>
      <c r="H861" t="s">
        <v>88</v>
      </c>
      <c r="I861" t="s">
        <v>145</v>
      </c>
      <c r="J861" t="s">
        <v>125</v>
      </c>
      <c r="K861" t="s">
        <v>138</v>
      </c>
      <c r="L861" t="s">
        <v>139</v>
      </c>
      <c r="M861" s="24">
        <v>31</v>
      </c>
      <c r="N861" s="25">
        <v>13180.8</v>
      </c>
      <c r="O861" s="25">
        <f t="shared" si="108"/>
        <v>408604.8</v>
      </c>
      <c r="P861" s="25">
        <v>7109.23</v>
      </c>
      <c r="Q861" s="25">
        <f t="shared" si="109"/>
        <v>220386.12999999998</v>
      </c>
      <c r="R861" s="25">
        <f t="shared" si="110"/>
        <v>188218.67</v>
      </c>
      <c r="S861" s="26">
        <f t="shared" si="111"/>
        <v>0.4606374423403739</v>
      </c>
    </row>
    <row r="862" spans="1:19" ht="15" x14ac:dyDescent="0.2">
      <c r="A862" s="23">
        <v>45880</v>
      </c>
      <c r="B862">
        <f t="shared" si="104"/>
        <v>2025</v>
      </c>
      <c r="C862">
        <f t="shared" si="105"/>
        <v>8</v>
      </c>
      <c r="D862" t="str">
        <f t="shared" si="106"/>
        <v>Agosto</v>
      </c>
      <c r="E862" t="str">
        <f t="shared" si="107"/>
        <v>T3</v>
      </c>
      <c r="F862" t="s">
        <v>985</v>
      </c>
      <c r="G862" t="s">
        <v>149</v>
      </c>
      <c r="H862" t="s">
        <v>93</v>
      </c>
      <c r="I862" t="s">
        <v>150</v>
      </c>
      <c r="J862" t="s">
        <v>70</v>
      </c>
      <c r="K862" t="s">
        <v>71</v>
      </c>
      <c r="L862" t="s">
        <v>72</v>
      </c>
      <c r="M862" s="24">
        <v>3</v>
      </c>
      <c r="N862" s="25">
        <v>45452.35</v>
      </c>
      <c r="O862" s="25">
        <f t="shared" si="108"/>
        <v>136357.04999999999</v>
      </c>
      <c r="P862" s="25">
        <v>28010.99</v>
      </c>
      <c r="Q862" s="25">
        <f t="shared" si="109"/>
        <v>84032.97</v>
      </c>
      <c r="R862" s="25">
        <f t="shared" si="110"/>
        <v>52324.079999999987</v>
      </c>
      <c r="S862" s="26">
        <f t="shared" si="111"/>
        <v>0.3837284540843322</v>
      </c>
    </row>
    <row r="863" spans="1:19" ht="15" x14ac:dyDescent="0.2">
      <c r="A863" s="23">
        <v>45881</v>
      </c>
      <c r="B863">
        <f t="shared" si="104"/>
        <v>2025</v>
      </c>
      <c r="C863">
        <f t="shared" si="105"/>
        <v>8</v>
      </c>
      <c r="D863" t="str">
        <f t="shared" si="106"/>
        <v>Agosto</v>
      </c>
      <c r="E863" t="str">
        <f t="shared" si="107"/>
        <v>T3</v>
      </c>
      <c r="F863" t="s">
        <v>986</v>
      </c>
      <c r="G863" t="s">
        <v>54</v>
      </c>
      <c r="H863" t="s">
        <v>55</v>
      </c>
      <c r="I863" t="s">
        <v>56</v>
      </c>
      <c r="J863" t="s">
        <v>125</v>
      </c>
      <c r="K863" t="s">
        <v>138</v>
      </c>
      <c r="L863" t="s">
        <v>139</v>
      </c>
      <c r="M863" s="24">
        <v>10</v>
      </c>
      <c r="N863" s="25">
        <v>55570.59</v>
      </c>
      <c r="O863" s="25">
        <f t="shared" si="108"/>
        <v>555705.89999999991</v>
      </c>
      <c r="P863" s="25">
        <v>40613.089999999997</v>
      </c>
      <c r="Q863" s="25">
        <f t="shared" si="109"/>
        <v>406130.89999999997</v>
      </c>
      <c r="R863" s="25">
        <f t="shared" si="110"/>
        <v>149574.99999999994</v>
      </c>
      <c r="S863" s="26">
        <f t="shared" si="111"/>
        <v>0.26916215933644033</v>
      </c>
    </row>
    <row r="864" spans="1:19" ht="15" x14ac:dyDescent="0.2">
      <c r="A864" s="23">
        <v>45881</v>
      </c>
      <c r="B864">
        <f t="shared" si="104"/>
        <v>2025</v>
      </c>
      <c r="C864">
        <f t="shared" si="105"/>
        <v>8</v>
      </c>
      <c r="D864" t="str">
        <f t="shared" si="106"/>
        <v>Agosto</v>
      </c>
      <c r="E864" t="str">
        <f t="shared" si="107"/>
        <v>T3</v>
      </c>
      <c r="F864" t="s">
        <v>987</v>
      </c>
      <c r="G864" t="s">
        <v>68</v>
      </c>
      <c r="H864" t="s">
        <v>62</v>
      </c>
      <c r="I864" t="s">
        <v>69</v>
      </c>
      <c r="J864" t="s">
        <v>64</v>
      </c>
      <c r="K864" t="s">
        <v>65</v>
      </c>
      <c r="L864" t="s">
        <v>123</v>
      </c>
      <c r="M864" s="24">
        <v>452</v>
      </c>
      <c r="N864" s="25">
        <v>3094.26</v>
      </c>
      <c r="O864" s="25">
        <f t="shared" si="108"/>
        <v>1398605.52</v>
      </c>
      <c r="P864" s="25">
        <v>2599.89</v>
      </c>
      <c r="Q864" s="25">
        <f t="shared" si="109"/>
        <v>1175150.28</v>
      </c>
      <c r="R864" s="25">
        <f t="shared" si="110"/>
        <v>223455.24</v>
      </c>
      <c r="S864" s="26">
        <f t="shared" si="111"/>
        <v>0.15977002578968799</v>
      </c>
    </row>
    <row r="865" spans="1:19" ht="15" x14ac:dyDescent="0.2">
      <c r="A865" s="23">
        <v>45881</v>
      </c>
      <c r="B865">
        <f t="shared" si="104"/>
        <v>2025</v>
      </c>
      <c r="C865">
        <f t="shared" si="105"/>
        <v>8</v>
      </c>
      <c r="D865" t="str">
        <f t="shared" si="106"/>
        <v>Agosto</v>
      </c>
      <c r="E865" t="str">
        <f t="shared" si="107"/>
        <v>T3</v>
      </c>
      <c r="F865" t="s">
        <v>988</v>
      </c>
      <c r="G865" t="s">
        <v>114</v>
      </c>
      <c r="H865" t="s">
        <v>75</v>
      </c>
      <c r="I865" t="s">
        <v>115</v>
      </c>
      <c r="J865" t="s">
        <v>77</v>
      </c>
      <c r="K865" t="s">
        <v>107</v>
      </c>
      <c r="L865" t="s">
        <v>108</v>
      </c>
      <c r="M865" s="24">
        <v>4</v>
      </c>
      <c r="N865" s="25">
        <v>100977.1</v>
      </c>
      <c r="O865" s="25">
        <f t="shared" si="108"/>
        <v>403908.4</v>
      </c>
      <c r="P865" s="25">
        <v>64145.71</v>
      </c>
      <c r="Q865" s="25">
        <f t="shared" si="109"/>
        <v>256582.84</v>
      </c>
      <c r="R865" s="25">
        <f t="shared" si="110"/>
        <v>147325.56000000003</v>
      </c>
      <c r="S865" s="26">
        <f t="shared" si="111"/>
        <v>0.36474992844912368</v>
      </c>
    </row>
    <row r="866" spans="1:19" ht="15" x14ac:dyDescent="0.2">
      <c r="A866" s="23">
        <v>45881</v>
      </c>
      <c r="B866">
        <f t="shared" si="104"/>
        <v>2025</v>
      </c>
      <c r="C866">
        <f t="shared" si="105"/>
        <v>8</v>
      </c>
      <c r="D866" t="str">
        <f t="shared" si="106"/>
        <v>Agosto</v>
      </c>
      <c r="E866" t="str">
        <f t="shared" si="107"/>
        <v>T3</v>
      </c>
      <c r="F866" t="s">
        <v>989</v>
      </c>
      <c r="G866" t="s">
        <v>114</v>
      </c>
      <c r="H866" t="s">
        <v>75</v>
      </c>
      <c r="I866" t="s">
        <v>115</v>
      </c>
      <c r="J866" t="s">
        <v>70</v>
      </c>
      <c r="K866" t="s">
        <v>71</v>
      </c>
      <c r="L866" t="s">
        <v>72</v>
      </c>
      <c r="M866" s="24">
        <v>2</v>
      </c>
      <c r="N866" s="25">
        <v>100600.14</v>
      </c>
      <c r="O866" s="25">
        <f t="shared" si="108"/>
        <v>201200.28</v>
      </c>
      <c r="P866" s="25">
        <v>71518.45</v>
      </c>
      <c r="Q866" s="25">
        <f t="shared" si="109"/>
        <v>143036.9</v>
      </c>
      <c r="R866" s="25">
        <f t="shared" si="110"/>
        <v>58163.380000000005</v>
      </c>
      <c r="S866" s="26">
        <f t="shared" si="111"/>
        <v>0.28908200326560185</v>
      </c>
    </row>
    <row r="867" spans="1:19" ht="15" x14ac:dyDescent="0.2">
      <c r="A867" s="23">
        <v>45881</v>
      </c>
      <c r="B867">
        <f t="shared" si="104"/>
        <v>2025</v>
      </c>
      <c r="C867">
        <f t="shared" si="105"/>
        <v>8</v>
      </c>
      <c r="D867" t="str">
        <f t="shared" si="106"/>
        <v>Agosto</v>
      </c>
      <c r="E867" t="str">
        <f t="shared" si="107"/>
        <v>T3</v>
      </c>
      <c r="F867" t="s">
        <v>990</v>
      </c>
      <c r="G867" t="s">
        <v>100</v>
      </c>
      <c r="H867" t="s">
        <v>88</v>
      </c>
      <c r="I867" t="s">
        <v>101</v>
      </c>
      <c r="J867" t="s">
        <v>64</v>
      </c>
      <c r="K867" t="s">
        <v>96</v>
      </c>
      <c r="L867" t="s">
        <v>97</v>
      </c>
      <c r="M867" s="24">
        <v>11</v>
      </c>
      <c r="N867" s="25">
        <v>35044.730000000003</v>
      </c>
      <c r="O867" s="25">
        <f t="shared" si="108"/>
        <v>385492.03</v>
      </c>
      <c r="P867" s="25">
        <v>20226.759999999998</v>
      </c>
      <c r="Q867" s="25">
        <f t="shared" si="109"/>
        <v>222494.36</v>
      </c>
      <c r="R867" s="25">
        <f t="shared" si="110"/>
        <v>162997.67000000004</v>
      </c>
      <c r="S867" s="26">
        <f t="shared" si="111"/>
        <v>0.42283019444007708</v>
      </c>
    </row>
    <row r="868" spans="1:19" ht="15" x14ac:dyDescent="0.2">
      <c r="A868" s="23">
        <v>45881</v>
      </c>
      <c r="B868">
        <f t="shared" si="104"/>
        <v>2025</v>
      </c>
      <c r="C868">
        <f t="shared" si="105"/>
        <v>8</v>
      </c>
      <c r="D868" t="str">
        <f t="shared" si="106"/>
        <v>Agosto</v>
      </c>
      <c r="E868" t="str">
        <f t="shared" si="107"/>
        <v>T3</v>
      </c>
      <c r="F868" t="s">
        <v>991</v>
      </c>
      <c r="G868" t="s">
        <v>188</v>
      </c>
      <c r="H868" t="s">
        <v>88</v>
      </c>
      <c r="I868" t="s">
        <v>189</v>
      </c>
      <c r="J868" t="s">
        <v>57</v>
      </c>
      <c r="K868" t="s">
        <v>58</v>
      </c>
      <c r="L868" t="s">
        <v>59</v>
      </c>
      <c r="M868" s="24">
        <v>3</v>
      </c>
      <c r="N868" s="25">
        <v>75779.39</v>
      </c>
      <c r="O868" s="25">
        <f t="shared" si="108"/>
        <v>227338.16999999998</v>
      </c>
      <c r="P868" s="25">
        <v>43340.82</v>
      </c>
      <c r="Q868" s="25">
        <f t="shared" si="109"/>
        <v>130022.45999999999</v>
      </c>
      <c r="R868" s="25">
        <f t="shared" si="110"/>
        <v>97315.709999999992</v>
      </c>
      <c r="S868" s="26">
        <f t="shared" si="111"/>
        <v>0.42806586329079716</v>
      </c>
    </row>
    <row r="869" spans="1:19" ht="15" x14ac:dyDescent="0.2">
      <c r="A869" s="23">
        <v>45881</v>
      </c>
      <c r="B869">
        <f t="shared" si="104"/>
        <v>2025</v>
      </c>
      <c r="C869">
        <f t="shared" si="105"/>
        <v>8</v>
      </c>
      <c r="D869" t="str">
        <f t="shared" si="106"/>
        <v>Agosto</v>
      </c>
      <c r="E869" t="str">
        <f t="shared" si="107"/>
        <v>T3</v>
      </c>
      <c r="F869" t="s">
        <v>992</v>
      </c>
      <c r="G869" t="s">
        <v>100</v>
      </c>
      <c r="H869" t="s">
        <v>88</v>
      </c>
      <c r="I869" t="s">
        <v>101</v>
      </c>
      <c r="J869" t="s">
        <v>70</v>
      </c>
      <c r="K869" t="s">
        <v>84</v>
      </c>
      <c r="L869" t="s">
        <v>147</v>
      </c>
      <c r="M869" s="24">
        <v>5</v>
      </c>
      <c r="N869" s="25">
        <v>34614.51</v>
      </c>
      <c r="O869" s="25">
        <f t="shared" si="108"/>
        <v>173072.55000000002</v>
      </c>
      <c r="P869" s="25">
        <v>20220.46</v>
      </c>
      <c r="Q869" s="25">
        <f t="shared" si="109"/>
        <v>101102.29999999999</v>
      </c>
      <c r="R869" s="25">
        <f t="shared" si="110"/>
        <v>71970.250000000029</v>
      </c>
      <c r="S869" s="26">
        <f t="shared" si="111"/>
        <v>0.41583861796685856</v>
      </c>
    </row>
    <row r="870" spans="1:19" ht="15" x14ac:dyDescent="0.2">
      <c r="A870" s="23">
        <v>45882</v>
      </c>
      <c r="B870">
        <f t="shared" si="104"/>
        <v>2025</v>
      </c>
      <c r="C870">
        <f t="shared" si="105"/>
        <v>8</v>
      </c>
      <c r="D870" t="str">
        <f t="shared" si="106"/>
        <v>Agosto</v>
      </c>
      <c r="E870" t="str">
        <f t="shared" si="107"/>
        <v>T3</v>
      </c>
      <c r="F870" t="s">
        <v>993</v>
      </c>
      <c r="G870" t="s">
        <v>54</v>
      </c>
      <c r="H870" t="s">
        <v>55</v>
      </c>
      <c r="I870" t="s">
        <v>56</v>
      </c>
      <c r="J870" t="s">
        <v>77</v>
      </c>
      <c r="K870" t="s">
        <v>107</v>
      </c>
      <c r="L870" t="s">
        <v>108</v>
      </c>
      <c r="M870" s="24">
        <v>1</v>
      </c>
      <c r="N870" s="25">
        <v>482.04</v>
      </c>
      <c r="O870" s="25">
        <f t="shared" si="108"/>
        <v>482.04</v>
      </c>
      <c r="P870" s="25">
        <v>339.84</v>
      </c>
      <c r="Q870" s="25">
        <f t="shared" si="109"/>
        <v>339.84</v>
      </c>
      <c r="R870" s="25">
        <f t="shared" si="110"/>
        <v>142.20000000000005</v>
      </c>
      <c r="S870" s="26">
        <f t="shared" si="111"/>
        <v>0.29499626587005234</v>
      </c>
    </row>
    <row r="871" spans="1:19" ht="15" x14ac:dyDescent="0.2">
      <c r="A871" s="23">
        <v>45882</v>
      </c>
      <c r="B871">
        <f t="shared" si="104"/>
        <v>2025</v>
      </c>
      <c r="C871">
        <f t="shared" si="105"/>
        <v>8</v>
      </c>
      <c r="D871" t="str">
        <f t="shared" si="106"/>
        <v>Agosto</v>
      </c>
      <c r="E871" t="str">
        <f t="shared" si="107"/>
        <v>T3</v>
      </c>
      <c r="F871" t="s">
        <v>994</v>
      </c>
      <c r="G871" t="s">
        <v>110</v>
      </c>
      <c r="H871" t="s">
        <v>62</v>
      </c>
      <c r="I871" t="s">
        <v>69</v>
      </c>
      <c r="J871" t="s">
        <v>77</v>
      </c>
      <c r="K871" t="s">
        <v>107</v>
      </c>
      <c r="L871" t="s">
        <v>108</v>
      </c>
      <c r="M871" s="24">
        <v>20</v>
      </c>
      <c r="N871" s="25">
        <v>6935.66</v>
      </c>
      <c r="O871" s="25">
        <f t="shared" si="108"/>
        <v>138713.20000000001</v>
      </c>
      <c r="P871" s="25">
        <v>5408.93</v>
      </c>
      <c r="Q871" s="25">
        <f t="shared" si="109"/>
        <v>108178.6</v>
      </c>
      <c r="R871" s="25">
        <f t="shared" si="110"/>
        <v>30534.600000000006</v>
      </c>
      <c r="S871" s="26">
        <f t="shared" si="111"/>
        <v>0.22012757257420348</v>
      </c>
    </row>
    <row r="872" spans="1:19" ht="15" x14ac:dyDescent="0.2">
      <c r="A872" s="23">
        <v>45882</v>
      </c>
      <c r="B872">
        <f t="shared" si="104"/>
        <v>2025</v>
      </c>
      <c r="C872">
        <f t="shared" si="105"/>
        <v>8</v>
      </c>
      <c r="D872" t="str">
        <f t="shared" si="106"/>
        <v>Agosto</v>
      </c>
      <c r="E872" t="str">
        <f t="shared" si="107"/>
        <v>T3</v>
      </c>
      <c r="F872" t="s">
        <v>995</v>
      </c>
      <c r="G872" t="s">
        <v>105</v>
      </c>
      <c r="H872" t="s">
        <v>62</v>
      </c>
      <c r="I872" t="s">
        <v>106</v>
      </c>
      <c r="J872" t="s">
        <v>77</v>
      </c>
      <c r="K872" t="s">
        <v>78</v>
      </c>
      <c r="L872" t="s">
        <v>117</v>
      </c>
      <c r="M872" s="24">
        <v>78</v>
      </c>
      <c r="N872" s="25">
        <v>1867.42</v>
      </c>
      <c r="O872" s="25">
        <f t="shared" si="108"/>
        <v>145658.76</v>
      </c>
      <c r="P872" s="25">
        <v>1504.59</v>
      </c>
      <c r="Q872" s="25">
        <f t="shared" si="109"/>
        <v>117358.01999999999</v>
      </c>
      <c r="R872" s="25">
        <f t="shared" si="110"/>
        <v>28300.74000000002</v>
      </c>
      <c r="S872" s="26">
        <f t="shared" si="111"/>
        <v>0.19429480245472375</v>
      </c>
    </row>
    <row r="873" spans="1:19" ht="15" x14ac:dyDescent="0.2">
      <c r="A873" s="23">
        <v>45882</v>
      </c>
      <c r="B873">
        <f t="shared" si="104"/>
        <v>2025</v>
      </c>
      <c r="C873">
        <f t="shared" si="105"/>
        <v>8</v>
      </c>
      <c r="D873" t="str">
        <f t="shared" si="106"/>
        <v>Agosto</v>
      </c>
      <c r="E873" t="str">
        <f t="shared" si="107"/>
        <v>T3</v>
      </c>
      <c r="F873" t="s">
        <v>996</v>
      </c>
      <c r="G873" t="s">
        <v>68</v>
      </c>
      <c r="H873" t="s">
        <v>62</v>
      </c>
      <c r="I873" t="s">
        <v>69</v>
      </c>
      <c r="J873" t="s">
        <v>125</v>
      </c>
      <c r="K873" t="s">
        <v>126</v>
      </c>
      <c r="L873" t="s">
        <v>127</v>
      </c>
      <c r="M873" s="24">
        <v>92</v>
      </c>
      <c r="N873" s="25">
        <v>3180.69</v>
      </c>
      <c r="O873" s="25">
        <f t="shared" si="108"/>
        <v>292623.48</v>
      </c>
      <c r="P873" s="25">
        <v>2602.89</v>
      </c>
      <c r="Q873" s="25">
        <f t="shared" si="109"/>
        <v>239465.87999999998</v>
      </c>
      <c r="R873" s="25">
        <f t="shared" si="110"/>
        <v>53157.600000000006</v>
      </c>
      <c r="S873" s="26">
        <f t="shared" si="111"/>
        <v>0.18165869669788634</v>
      </c>
    </row>
    <row r="874" spans="1:19" ht="15" x14ac:dyDescent="0.2">
      <c r="A874" s="23">
        <v>45882</v>
      </c>
      <c r="B874">
        <f t="shared" si="104"/>
        <v>2025</v>
      </c>
      <c r="C874">
        <f t="shared" si="105"/>
        <v>8</v>
      </c>
      <c r="D874" t="str">
        <f t="shared" si="106"/>
        <v>Agosto</v>
      </c>
      <c r="E874" t="str">
        <f t="shared" si="107"/>
        <v>T3</v>
      </c>
      <c r="F874" t="s">
        <v>997</v>
      </c>
      <c r="G874" t="s">
        <v>114</v>
      </c>
      <c r="H874" t="s">
        <v>75</v>
      </c>
      <c r="I874" t="s">
        <v>115</v>
      </c>
      <c r="J874" t="s">
        <v>70</v>
      </c>
      <c r="K874" t="s">
        <v>71</v>
      </c>
      <c r="L874" t="s">
        <v>72</v>
      </c>
      <c r="M874" s="24">
        <v>3</v>
      </c>
      <c r="N874" s="25">
        <v>75165.22</v>
      </c>
      <c r="O874" s="25">
        <f t="shared" si="108"/>
        <v>225495.66</v>
      </c>
      <c r="P874" s="25">
        <v>55064.44</v>
      </c>
      <c r="Q874" s="25">
        <f t="shared" si="109"/>
        <v>165193.32</v>
      </c>
      <c r="R874" s="25">
        <f t="shared" si="110"/>
        <v>60302.34</v>
      </c>
      <c r="S874" s="26">
        <f t="shared" si="111"/>
        <v>0.26742128872901588</v>
      </c>
    </row>
    <row r="875" spans="1:19" ht="15" x14ac:dyDescent="0.2">
      <c r="A875" s="23">
        <v>45882</v>
      </c>
      <c r="B875">
        <f t="shared" si="104"/>
        <v>2025</v>
      </c>
      <c r="C875">
        <f t="shared" si="105"/>
        <v>8</v>
      </c>
      <c r="D875" t="str">
        <f t="shared" si="106"/>
        <v>Agosto</v>
      </c>
      <c r="E875" t="str">
        <f t="shared" si="107"/>
        <v>T3</v>
      </c>
      <c r="F875" t="s">
        <v>998</v>
      </c>
      <c r="G875" t="s">
        <v>100</v>
      </c>
      <c r="H875" t="s">
        <v>88</v>
      </c>
      <c r="I875" t="s">
        <v>101</v>
      </c>
      <c r="J875" t="s">
        <v>64</v>
      </c>
      <c r="K875" t="s">
        <v>65</v>
      </c>
      <c r="L875" t="s">
        <v>123</v>
      </c>
      <c r="M875" s="24">
        <v>12</v>
      </c>
      <c r="N875" s="25">
        <v>37020.93</v>
      </c>
      <c r="O875" s="25">
        <f t="shared" si="108"/>
        <v>444251.16000000003</v>
      </c>
      <c r="P875" s="25">
        <v>21509.38</v>
      </c>
      <c r="Q875" s="25">
        <f t="shared" si="109"/>
        <v>258112.56</v>
      </c>
      <c r="R875" s="25">
        <f t="shared" si="110"/>
        <v>186138.60000000003</v>
      </c>
      <c r="S875" s="26">
        <f t="shared" si="111"/>
        <v>0.41899406632950609</v>
      </c>
    </row>
    <row r="876" spans="1:19" ht="15" x14ac:dyDescent="0.2">
      <c r="A876" s="23">
        <v>45882</v>
      </c>
      <c r="B876">
        <f t="shared" si="104"/>
        <v>2025</v>
      </c>
      <c r="C876">
        <f t="shared" si="105"/>
        <v>8</v>
      </c>
      <c r="D876" t="str">
        <f t="shared" si="106"/>
        <v>Agosto</v>
      </c>
      <c r="E876" t="str">
        <f t="shared" si="107"/>
        <v>T3</v>
      </c>
      <c r="F876" t="s">
        <v>999</v>
      </c>
      <c r="G876" t="s">
        <v>149</v>
      </c>
      <c r="H876" t="s">
        <v>93</v>
      </c>
      <c r="I876" t="s">
        <v>150</v>
      </c>
      <c r="J876" t="s">
        <v>57</v>
      </c>
      <c r="K876" t="s">
        <v>81</v>
      </c>
      <c r="L876" t="s">
        <v>82</v>
      </c>
      <c r="M876" s="24">
        <v>3</v>
      </c>
      <c r="N876" s="25">
        <v>47671.55</v>
      </c>
      <c r="O876" s="25">
        <f t="shared" si="108"/>
        <v>143014.65000000002</v>
      </c>
      <c r="P876" s="25">
        <v>27655.67</v>
      </c>
      <c r="Q876" s="25">
        <f t="shared" si="109"/>
        <v>82967.009999999995</v>
      </c>
      <c r="R876" s="25">
        <f t="shared" si="110"/>
        <v>60047.640000000029</v>
      </c>
      <c r="S876" s="26">
        <f t="shared" si="111"/>
        <v>0.4198705517231977</v>
      </c>
    </row>
    <row r="877" spans="1:19" ht="15" x14ac:dyDescent="0.2">
      <c r="A877" s="23">
        <v>45883</v>
      </c>
      <c r="B877">
        <f t="shared" si="104"/>
        <v>2025</v>
      </c>
      <c r="C877">
        <f t="shared" si="105"/>
        <v>8</v>
      </c>
      <c r="D877" t="str">
        <f t="shared" si="106"/>
        <v>Agosto</v>
      </c>
      <c r="E877" t="str">
        <f t="shared" si="107"/>
        <v>T3</v>
      </c>
      <c r="F877" t="s">
        <v>1000</v>
      </c>
      <c r="G877" t="s">
        <v>92</v>
      </c>
      <c r="H877" t="s">
        <v>93</v>
      </c>
      <c r="I877" t="s">
        <v>94</v>
      </c>
      <c r="J877" t="s">
        <v>70</v>
      </c>
      <c r="K877" t="s">
        <v>71</v>
      </c>
      <c r="L877" t="s">
        <v>72</v>
      </c>
      <c r="M877" s="24">
        <v>4</v>
      </c>
      <c r="N877" s="25">
        <v>17213.05</v>
      </c>
      <c r="O877" s="25">
        <f t="shared" si="108"/>
        <v>68852.2</v>
      </c>
      <c r="P877" s="25">
        <v>10786.95</v>
      </c>
      <c r="Q877" s="25">
        <f t="shared" si="109"/>
        <v>43147.8</v>
      </c>
      <c r="R877" s="25">
        <f t="shared" si="110"/>
        <v>25704.399999999994</v>
      </c>
      <c r="S877" s="26">
        <f t="shared" si="111"/>
        <v>0.37332721394523333</v>
      </c>
    </row>
    <row r="878" spans="1:19" ht="15" x14ac:dyDescent="0.2">
      <c r="A878" s="23">
        <v>45885</v>
      </c>
      <c r="B878">
        <f t="shared" si="104"/>
        <v>2025</v>
      </c>
      <c r="C878">
        <f t="shared" si="105"/>
        <v>8</v>
      </c>
      <c r="D878" t="str">
        <f t="shared" si="106"/>
        <v>Agosto</v>
      </c>
      <c r="E878" t="str">
        <f t="shared" si="107"/>
        <v>T3</v>
      </c>
      <c r="F878" t="s">
        <v>1001</v>
      </c>
      <c r="G878" t="s">
        <v>110</v>
      </c>
      <c r="H878" t="s">
        <v>62</v>
      </c>
      <c r="I878" t="s">
        <v>69</v>
      </c>
      <c r="J878" t="s">
        <v>57</v>
      </c>
      <c r="K878" t="s">
        <v>81</v>
      </c>
      <c r="L878" t="s">
        <v>129</v>
      </c>
      <c r="M878" s="24">
        <v>77</v>
      </c>
      <c r="N878" s="25">
        <v>6598.15</v>
      </c>
      <c r="O878" s="25">
        <f t="shared" si="108"/>
        <v>508057.55</v>
      </c>
      <c r="P878" s="25">
        <v>5371.46</v>
      </c>
      <c r="Q878" s="25">
        <f t="shared" si="109"/>
        <v>413602.42</v>
      </c>
      <c r="R878" s="25">
        <f t="shared" si="110"/>
        <v>94455.13</v>
      </c>
      <c r="S878" s="26">
        <f t="shared" si="111"/>
        <v>0.1859142335351576</v>
      </c>
    </row>
    <row r="879" spans="1:19" ht="15" x14ac:dyDescent="0.2">
      <c r="A879" s="23">
        <v>45885</v>
      </c>
      <c r="B879">
        <f t="shared" si="104"/>
        <v>2025</v>
      </c>
      <c r="C879">
        <f t="shared" si="105"/>
        <v>8</v>
      </c>
      <c r="D879" t="str">
        <f t="shared" si="106"/>
        <v>Agosto</v>
      </c>
      <c r="E879" t="str">
        <f t="shared" si="107"/>
        <v>T3</v>
      </c>
      <c r="F879" t="s">
        <v>1002</v>
      </c>
      <c r="G879" t="s">
        <v>100</v>
      </c>
      <c r="H879" t="s">
        <v>88</v>
      </c>
      <c r="I879" t="s">
        <v>101</v>
      </c>
      <c r="J879" t="s">
        <v>77</v>
      </c>
      <c r="K879" t="s">
        <v>78</v>
      </c>
      <c r="L879" t="s">
        <v>117</v>
      </c>
      <c r="M879" s="24">
        <v>7</v>
      </c>
      <c r="N879" s="25">
        <v>39551.040000000001</v>
      </c>
      <c r="O879" s="25">
        <f t="shared" si="108"/>
        <v>276857.28000000003</v>
      </c>
      <c r="P879" s="25">
        <v>20819.82</v>
      </c>
      <c r="Q879" s="25">
        <f t="shared" si="109"/>
        <v>145738.74</v>
      </c>
      <c r="R879" s="25">
        <f t="shared" si="110"/>
        <v>131118.54000000004</v>
      </c>
      <c r="S879" s="26">
        <f t="shared" si="111"/>
        <v>0.47359614311026976</v>
      </c>
    </row>
    <row r="880" spans="1:19" ht="15" x14ac:dyDescent="0.2">
      <c r="A880" s="23">
        <v>45885</v>
      </c>
      <c r="B880">
        <f t="shared" si="104"/>
        <v>2025</v>
      </c>
      <c r="C880">
        <f t="shared" si="105"/>
        <v>8</v>
      </c>
      <c r="D880" t="str">
        <f t="shared" si="106"/>
        <v>Agosto</v>
      </c>
      <c r="E880" t="str">
        <f t="shared" si="107"/>
        <v>T3</v>
      </c>
      <c r="F880" t="s">
        <v>1003</v>
      </c>
      <c r="G880" t="s">
        <v>206</v>
      </c>
      <c r="H880" t="s">
        <v>93</v>
      </c>
      <c r="I880" t="s">
        <v>207</v>
      </c>
      <c r="J880" t="s">
        <v>64</v>
      </c>
      <c r="K880" t="s">
        <v>65</v>
      </c>
      <c r="L880" t="s">
        <v>123</v>
      </c>
      <c r="M880" s="24">
        <v>5</v>
      </c>
      <c r="N880" s="25">
        <v>118490.15</v>
      </c>
      <c r="O880" s="25">
        <f t="shared" si="108"/>
        <v>592450.75</v>
      </c>
      <c r="P880" s="25">
        <v>69729.77</v>
      </c>
      <c r="Q880" s="25">
        <f t="shared" si="109"/>
        <v>348648.85000000003</v>
      </c>
      <c r="R880" s="25">
        <f t="shared" si="110"/>
        <v>243801.89999999997</v>
      </c>
      <c r="S880" s="26">
        <f t="shared" si="111"/>
        <v>0.41151420603315964</v>
      </c>
    </row>
    <row r="881" spans="1:19" ht="15" x14ac:dyDescent="0.2">
      <c r="A881" s="23">
        <v>45885</v>
      </c>
      <c r="B881">
        <f t="shared" si="104"/>
        <v>2025</v>
      </c>
      <c r="C881">
        <f t="shared" si="105"/>
        <v>8</v>
      </c>
      <c r="D881" t="str">
        <f t="shared" si="106"/>
        <v>Agosto</v>
      </c>
      <c r="E881" t="str">
        <f t="shared" si="107"/>
        <v>T3</v>
      </c>
      <c r="F881" t="s">
        <v>1004</v>
      </c>
      <c r="G881" t="s">
        <v>92</v>
      </c>
      <c r="H881" t="s">
        <v>93</v>
      </c>
      <c r="I881" t="s">
        <v>94</v>
      </c>
      <c r="J881" t="s">
        <v>64</v>
      </c>
      <c r="K881" t="s">
        <v>96</v>
      </c>
      <c r="L881" t="s">
        <v>97</v>
      </c>
      <c r="M881" s="24">
        <v>10</v>
      </c>
      <c r="N881" s="25">
        <v>20599.849999999999</v>
      </c>
      <c r="O881" s="25">
        <f t="shared" si="108"/>
        <v>205998.5</v>
      </c>
      <c r="P881" s="25">
        <v>12396.57</v>
      </c>
      <c r="Q881" s="25">
        <f t="shared" si="109"/>
        <v>123965.7</v>
      </c>
      <c r="R881" s="25">
        <f t="shared" si="110"/>
        <v>82032.800000000003</v>
      </c>
      <c r="S881" s="26">
        <f t="shared" si="111"/>
        <v>0.39822037539108296</v>
      </c>
    </row>
    <row r="882" spans="1:19" ht="15" x14ac:dyDescent="0.2">
      <c r="A882" s="23">
        <v>45885</v>
      </c>
      <c r="B882">
        <f t="shared" si="104"/>
        <v>2025</v>
      </c>
      <c r="C882">
        <f t="shared" si="105"/>
        <v>8</v>
      </c>
      <c r="D882" t="str">
        <f t="shared" si="106"/>
        <v>Agosto</v>
      </c>
      <c r="E882" t="str">
        <f t="shared" si="107"/>
        <v>T3</v>
      </c>
      <c r="F882" t="s">
        <v>1005</v>
      </c>
      <c r="G882" t="s">
        <v>92</v>
      </c>
      <c r="H882" t="s">
        <v>93</v>
      </c>
      <c r="I882" t="s">
        <v>94</v>
      </c>
      <c r="J882" t="s">
        <v>77</v>
      </c>
      <c r="K882" t="s">
        <v>78</v>
      </c>
      <c r="L882" t="s">
        <v>79</v>
      </c>
      <c r="M882" s="24">
        <v>8</v>
      </c>
      <c r="N882" s="25">
        <v>20352.66</v>
      </c>
      <c r="O882" s="25">
        <f t="shared" si="108"/>
        <v>162821.28</v>
      </c>
      <c r="P882" s="25">
        <v>11398.38</v>
      </c>
      <c r="Q882" s="25">
        <f t="shared" si="109"/>
        <v>91187.04</v>
      </c>
      <c r="R882" s="25">
        <f t="shared" si="110"/>
        <v>71634.240000000005</v>
      </c>
      <c r="S882" s="26">
        <f t="shared" si="111"/>
        <v>0.43995625141873351</v>
      </c>
    </row>
    <row r="883" spans="1:19" ht="15" x14ac:dyDescent="0.2">
      <c r="A883" s="23">
        <v>45886</v>
      </c>
      <c r="B883">
        <f t="shared" si="104"/>
        <v>2025</v>
      </c>
      <c r="C883">
        <f t="shared" si="105"/>
        <v>8</v>
      </c>
      <c r="D883" t="str">
        <f t="shared" si="106"/>
        <v>Agosto</v>
      </c>
      <c r="E883" t="str">
        <f t="shared" si="107"/>
        <v>T3</v>
      </c>
      <c r="F883" t="s">
        <v>1006</v>
      </c>
      <c r="G883" t="s">
        <v>282</v>
      </c>
      <c r="H883" t="s">
        <v>55</v>
      </c>
      <c r="I883" t="s">
        <v>56</v>
      </c>
      <c r="J883" t="s">
        <v>77</v>
      </c>
      <c r="K883" t="s">
        <v>107</v>
      </c>
      <c r="L883" t="s">
        <v>112</v>
      </c>
      <c r="M883" s="24">
        <v>2</v>
      </c>
      <c r="N883" s="25">
        <v>617201.59</v>
      </c>
      <c r="O883" s="25">
        <f t="shared" si="108"/>
        <v>1234403.18</v>
      </c>
      <c r="P883" s="25">
        <v>425312.68</v>
      </c>
      <c r="Q883" s="25">
        <f t="shared" si="109"/>
        <v>850625.36</v>
      </c>
      <c r="R883" s="25">
        <f t="shared" si="110"/>
        <v>383777.81999999995</v>
      </c>
      <c r="S883" s="26">
        <f t="shared" si="111"/>
        <v>0.3109015159860492</v>
      </c>
    </row>
    <row r="884" spans="1:19" ht="15" x14ac:dyDescent="0.2">
      <c r="A884" s="23">
        <v>45886</v>
      </c>
      <c r="B884">
        <f t="shared" si="104"/>
        <v>2025</v>
      </c>
      <c r="C884">
        <f t="shared" si="105"/>
        <v>8</v>
      </c>
      <c r="D884" t="str">
        <f t="shared" si="106"/>
        <v>Agosto</v>
      </c>
      <c r="E884" t="str">
        <f t="shared" si="107"/>
        <v>T3</v>
      </c>
      <c r="F884" t="s">
        <v>1007</v>
      </c>
      <c r="G884" t="s">
        <v>54</v>
      </c>
      <c r="H884" t="s">
        <v>55</v>
      </c>
      <c r="I884" t="s">
        <v>56</v>
      </c>
      <c r="J884" t="s">
        <v>77</v>
      </c>
      <c r="K884" t="s">
        <v>78</v>
      </c>
      <c r="L884" t="s">
        <v>79</v>
      </c>
      <c r="M884" s="24">
        <v>6</v>
      </c>
      <c r="N884" s="25">
        <v>53979.96</v>
      </c>
      <c r="O884" s="25">
        <f t="shared" si="108"/>
        <v>323879.76</v>
      </c>
      <c r="P884" s="25">
        <v>39204.01</v>
      </c>
      <c r="Q884" s="25">
        <f t="shared" si="109"/>
        <v>235224.06</v>
      </c>
      <c r="R884" s="25">
        <f t="shared" si="110"/>
        <v>88655.700000000012</v>
      </c>
      <c r="S884" s="26">
        <f t="shared" si="111"/>
        <v>0.27373028805504862</v>
      </c>
    </row>
    <row r="885" spans="1:19" ht="15" x14ac:dyDescent="0.2">
      <c r="A885" s="23">
        <v>45886</v>
      </c>
      <c r="B885">
        <f t="shared" si="104"/>
        <v>2025</v>
      </c>
      <c r="C885">
        <f t="shared" si="105"/>
        <v>8</v>
      </c>
      <c r="D885" t="str">
        <f t="shared" si="106"/>
        <v>Agosto</v>
      </c>
      <c r="E885" t="str">
        <f t="shared" si="107"/>
        <v>T3</v>
      </c>
      <c r="F885" t="s">
        <v>1008</v>
      </c>
      <c r="G885" t="s">
        <v>54</v>
      </c>
      <c r="H885" t="s">
        <v>55</v>
      </c>
      <c r="I885" t="s">
        <v>56</v>
      </c>
      <c r="J885" t="s">
        <v>57</v>
      </c>
      <c r="K885" t="s">
        <v>81</v>
      </c>
      <c r="L885" t="s">
        <v>82</v>
      </c>
      <c r="M885" s="24">
        <v>3</v>
      </c>
      <c r="N885" s="25">
        <v>63776.1</v>
      </c>
      <c r="O885" s="25">
        <f t="shared" si="108"/>
        <v>191328.3</v>
      </c>
      <c r="P885" s="25">
        <v>47098.96</v>
      </c>
      <c r="Q885" s="25">
        <f t="shared" si="109"/>
        <v>141296.88</v>
      </c>
      <c r="R885" s="25">
        <f t="shared" si="110"/>
        <v>50031.419999999984</v>
      </c>
      <c r="S885" s="26">
        <f t="shared" si="111"/>
        <v>0.26149513689297393</v>
      </c>
    </row>
    <row r="886" spans="1:19" ht="15" x14ac:dyDescent="0.2">
      <c r="A886" s="23">
        <v>45886</v>
      </c>
      <c r="B886">
        <f t="shared" si="104"/>
        <v>2025</v>
      </c>
      <c r="C886">
        <f t="shared" si="105"/>
        <v>8</v>
      </c>
      <c r="D886" t="str">
        <f t="shared" si="106"/>
        <v>Agosto</v>
      </c>
      <c r="E886" t="str">
        <f t="shared" si="107"/>
        <v>T3</v>
      </c>
      <c r="F886" t="s">
        <v>1009</v>
      </c>
      <c r="G886" t="s">
        <v>110</v>
      </c>
      <c r="H886" t="s">
        <v>62</v>
      </c>
      <c r="I886" t="s">
        <v>69</v>
      </c>
      <c r="J886" t="s">
        <v>125</v>
      </c>
      <c r="K886" t="s">
        <v>126</v>
      </c>
      <c r="L886" t="s">
        <v>131</v>
      </c>
      <c r="M886" s="24">
        <v>32</v>
      </c>
      <c r="N886" s="25">
        <v>6728.4</v>
      </c>
      <c r="O886" s="25">
        <f t="shared" si="108"/>
        <v>215308.79999999999</v>
      </c>
      <c r="P886" s="25">
        <v>5477.73</v>
      </c>
      <c r="Q886" s="25">
        <f t="shared" si="109"/>
        <v>175287.36</v>
      </c>
      <c r="R886" s="25">
        <f t="shared" si="110"/>
        <v>40021.440000000002</v>
      </c>
      <c r="S886" s="26">
        <f t="shared" si="111"/>
        <v>0.18587925807026934</v>
      </c>
    </row>
    <row r="887" spans="1:19" ht="15" x14ac:dyDescent="0.2">
      <c r="A887" s="23">
        <v>45886</v>
      </c>
      <c r="B887">
        <f t="shared" si="104"/>
        <v>2025</v>
      </c>
      <c r="C887">
        <f t="shared" si="105"/>
        <v>8</v>
      </c>
      <c r="D887" t="str">
        <f t="shared" si="106"/>
        <v>Agosto</v>
      </c>
      <c r="E887" t="str">
        <f t="shared" si="107"/>
        <v>T3</v>
      </c>
      <c r="F887" t="s">
        <v>1010</v>
      </c>
      <c r="G887" t="s">
        <v>188</v>
      </c>
      <c r="H887" t="s">
        <v>88</v>
      </c>
      <c r="I887" t="s">
        <v>189</v>
      </c>
      <c r="J887" t="s">
        <v>57</v>
      </c>
      <c r="K887" t="s">
        <v>81</v>
      </c>
      <c r="L887" t="s">
        <v>82</v>
      </c>
      <c r="M887" s="24">
        <v>4</v>
      </c>
      <c r="N887" s="25">
        <v>76367.710000000006</v>
      </c>
      <c r="O887" s="25">
        <f t="shared" si="108"/>
        <v>305470.84000000003</v>
      </c>
      <c r="P887" s="25">
        <v>41891.660000000003</v>
      </c>
      <c r="Q887" s="25">
        <f t="shared" si="109"/>
        <v>167566.64000000001</v>
      </c>
      <c r="R887" s="25">
        <f t="shared" si="110"/>
        <v>137904.20000000001</v>
      </c>
      <c r="S887" s="26">
        <f t="shared" si="111"/>
        <v>0.45144800073224667</v>
      </c>
    </row>
    <row r="888" spans="1:19" ht="15" x14ac:dyDescent="0.2">
      <c r="A888" s="23">
        <v>45886</v>
      </c>
      <c r="B888">
        <f t="shared" si="104"/>
        <v>2025</v>
      </c>
      <c r="C888">
        <f t="shared" si="105"/>
        <v>8</v>
      </c>
      <c r="D888" t="str">
        <f t="shared" si="106"/>
        <v>Agosto</v>
      </c>
      <c r="E888" t="str">
        <f t="shared" si="107"/>
        <v>T3</v>
      </c>
      <c r="F888" t="s">
        <v>1011</v>
      </c>
      <c r="G888" t="s">
        <v>144</v>
      </c>
      <c r="H888" t="s">
        <v>88</v>
      </c>
      <c r="I888" t="s">
        <v>145</v>
      </c>
      <c r="J888" t="s">
        <v>70</v>
      </c>
      <c r="K888" t="s">
        <v>84</v>
      </c>
      <c r="L888" t="s">
        <v>85</v>
      </c>
      <c r="M888" s="24">
        <v>4</v>
      </c>
      <c r="N888" s="25">
        <v>12147.21</v>
      </c>
      <c r="O888" s="25">
        <f t="shared" si="108"/>
        <v>48588.84</v>
      </c>
      <c r="P888" s="25">
        <v>7093.58</v>
      </c>
      <c r="Q888" s="25">
        <f t="shared" si="109"/>
        <v>28374.32</v>
      </c>
      <c r="R888" s="25">
        <f t="shared" si="110"/>
        <v>20214.519999999997</v>
      </c>
      <c r="S888" s="26">
        <f t="shared" si="111"/>
        <v>0.41603215882494826</v>
      </c>
    </row>
    <row r="889" spans="1:19" ht="15" x14ac:dyDescent="0.2">
      <c r="A889" s="23">
        <v>45886</v>
      </c>
      <c r="B889">
        <f t="shared" si="104"/>
        <v>2025</v>
      </c>
      <c r="C889">
        <f t="shared" si="105"/>
        <v>8</v>
      </c>
      <c r="D889" t="str">
        <f t="shared" si="106"/>
        <v>Agosto</v>
      </c>
      <c r="E889" t="str">
        <f t="shared" si="107"/>
        <v>T3</v>
      </c>
      <c r="F889" t="s">
        <v>1012</v>
      </c>
      <c r="G889" t="s">
        <v>144</v>
      </c>
      <c r="H889" t="s">
        <v>88</v>
      </c>
      <c r="I889" t="s">
        <v>145</v>
      </c>
      <c r="J889" t="s">
        <v>70</v>
      </c>
      <c r="K889" t="s">
        <v>71</v>
      </c>
      <c r="L889" t="s">
        <v>90</v>
      </c>
      <c r="M889" s="24">
        <v>17</v>
      </c>
      <c r="N889" s="25">
        <v>11767.19</v>
      </c>
      <c r="O889" s="25">
        <f t="shared" si="108"/>
        <v>200042.23</v>
      </c>
      <c r="P889" s="25">
        <v>7159.95</v>
      </c>
      <c r="Q889" s="25">
        <f t="shared" si="109"/>
        <v>121719.15</v>
      </c>
      <c r="R889" s="25">
        <f t="shared" si="110"/>
        <v>78323.080000000016</v>
      </c>
      <c r="S889" s="26">
        <f t="shared" si="111"/>
        <v>0.39153272786451149</v>
      </c>
    </row>
    <row r="890" spans="1:19" ht="15" x14ac:dyDescent="0.2">
      <c r="A890" s="23">
        <v>45887</v>
      </c>
      <c r="B890">
        <f t="shared" si="104"/>
        <v>2025</v>
      </c>
      <c r="C890">
        <f t="shared" si="105"/>
        <v>8</v>
      </c>
      <c r="D890" t="str">
        <f t="shared" si="106"/>
        <v>Agosto</v>
      </c>
      <c r="E890" t="str">
        <f t="shared" si="107"/>
        <v>T3</v>
      </c>
      <c r="F890" t="s">
        <v>1013</v>
      </c>
      <c r="G890" t="s">
        <v>54</v>
      </c>
      <c r="H890" t="s">
        <v>55</v>
      </c>
      <c r="I890" t="s">
        <v>56</v>
      </c>
      <c r="J890" t="s">
        <v>77</v>
      </c>
      <c r="K890" t="s">
        <v>78</v>
      </c>
      <c r="L890" t="s">
        <v>79</v>
      </c>
      <c r="M890" s="24">
        <v>15</v>
      </c>
      <c r="N890" s="25">
        <v>60094.13</v>
      </c>
      <c r="O890" s="25">
        <f t="shared" si="108"/>
        <v>901411.95</v>
      </c>
      <c r="P890" s="25">
        <v>43374.04</v>
      </c>
      <c r="Q890" s="25">
        <f t="shared" si="109"/>
        <v>650610.6</v>
      </c>
      <c r="R890" s="25">
        <f t="shared" si="110"/>
        <v>250801.34999999998</v>
      </c>
      <c r="S890" s="26">
        <f t="shared" si="111"/>
        <v>0.27823166755222178</v>
      </c>
    </row>
    <row r="891" spans="1:19" ht="15" x14ac:dyDescent="0.2">
      <c r="A891" s="23">
        <v>45887</v>
      </c>
      <c r="B891">
        <f t="shared" si="104"/>
        <v>2025</v>
      </c>
      <c r="C891">
        <f t="shared" si="105"/>
        <v>8</v>
      </c>
      <c r="D891" t="str">
        <f t="shared" si="106"/>
        <v>Agosto</v>
      </c>
      <c r="E891" t="str">
        <f t="shared" si="107"/>
        <v>T3</v>
      </c>
      <c r="F891" t="s">
        <v>1014</v>
      </c>
      <c r="G891" t="s">
        <v>114</v>
      </c>
      <c r="H891" t="s">
        <v>75</v>
      </c>
      <c r="I891" t="s">
        <v>115</v>
      </c>
      <c r="J891" t="s">
        <v>64</v>
      </c>
      <c r="K891" t="s">
        <v>65</v>
      </c>
      <c r="L891" t="s">
        <v>66</v>
      </c>
      <c r="M891" s="24">
        <v>6</v>
      </c>
      <c r="N891" s="25">
        <v>98967.38</v>
      </c>
      <c r="O891" s="25">
        <f t="shared" si="108"/>
        <v>593804.28</v>
      </c>
      <c r="P891" s="25">
        <v>69742.05</v>
      </c>
      <c r="Q891" s="25">
        <f t="shared" si="109"/>
        <v>418452.30000000005</v>
      </c>
      <c r="R891" s="25">
        <f t="shared" si="110"/>
        <v>175351.97999999998</v>
      </c>
      <c r="S891" s="26">
        <f t="shared" si="111"/>
        <v>0.29530265426850744</v>
      </c>
    </row>
    <row r="892" spans="1:19" ht="15" x14ac:dyDescent="0.2">
      <c r="A892" s="23">
        <v>45887</v>
      </c>
      <c r="B892">
        <f t="shared" si="104"/>
        <v>2025</v>
      </c>
      <c r="C892">
        <f t="shared" si="105"/>
        <v>8</v>
      </c>
      <c r="D892" t="str">
        <f t="shared" si="106"/>
        <v>Agosto</v>
      </c>
      <c r="E892" t="str">
        <f t="shared" si="107"/>
        <v>T3</v>
      </c>
      <c r="F892" t="s">
        <v>1015</v>
      </c>
      <c r="G892" t="s">
        <v>114</v>
      </c>
      <c r="H892" t="s">
        <v>75</v>
      </c>
      <c r="I892" t="s">
        <v>115</v>
      </c>
      <c r="J892" t="s">
        <v>57</v>
      </c>
      <c r="K892" t="s">
        <v>81</v>
      </c>
      <c r="L892" t="s">
        <v>82</v>
      </c>
      <c r="M892" s="24">
        <v>7</v>
      </c>
      <c r="N892" s="25">
        <v>98024.55</v>
      </c>
      <c r="O892" s="25">
        <f t="shared" si="108"/>
        <v>686171.85</v>
      </c>
      <c r="P892" s="25">
        <v>67059.490000000005</v>
      </c>
      <c r="Q892" s="25">
        <f t="shared" si="109"/>
        <v>469416.43000000005</v>
      </c>
      <c r="R892" s="25">
        <f t="shared" si="110"/>
        <v>216755.41999999993</v>
      </c>
      <c r="S892" s="26">
        <f t="shared" si="111"/>
        <v>0.31589086611466199</v>
      </c>
    </row>
    <row r="893" spans="1:19" ht="15" x14ac:dyDescent="0.2">
      <c r="A893" s="23">
        <v>45887</v>
      </c>
      <c r="B893">
        <f t="shared" si="104"/>
        <v>2025</v>
      </c>
      <c r="C893">
        <f t="shared" si="105"/>
        <v>8</v>
      </c>
      <c r="D893" t="str">
        <f t="shared" si="106"/>
        <v>Agosto</v>
      </c>
      <c r="E893" t="str">
        <f t="shared" si="107"/>
        <v>T3</v>
      </c>
      <c r="F893" t="s">
        <v>1016</v>
      </c>
      <c r="G893" t="s">
        <v>74</v>
      </c>
      <c r="H893" t="s">
        <v>75</v>
      </c>
      <c r="I893" t="s">
        <v>76</v>
      </c>
      <c r="J893" t="s">
        <v>125</v>
      </c>
      <c r="K893" t="s">
        <v>138</v>
      </c>
      <c r="L893" t="s">
        <v>142</v>
      </c>
      <c r="M893" s="24">
        <v>1</v>
      </c>
      <c r="N893" s="25">
        <v>51121.55</v>
      </c>
      <c r="O893" s="25">
        <f t="shared" si="108"/>
        <v>51121.55</v>
      </c>
      <c r="P893" s="25">
        <v>34286.44</v>
      </c>
      <c r="Q893" s="25">
        <f t="shared" si="109"/>
        <v>34286.44</v>
      </c>
      <c r="R893" s="25">
        <f t="shared" si="110"/>
        <v>16835.11</v>
      </c>
      <c r="S893" s="26">
        <f t="shared" si="111"/>
        <v>0.32931532788031659</v>
      </c>
    </row>
    <row r="894" spans="1:19" ht="15" x14ac:dyDescent="0.2">
      <c r="A894" s="23">
        <v>45887</v>
      </c>
      <c r="B894">
        <f t="shared" si="104"/>
        <v>2025</v>
      </c>
      <c r="C894">
        <f t="shared" si="105"/>
        <v>8</v>
      </c>
      <c r="D894" t="str">
        <f t="shared" si="106"/>
        <v>Agosto</v>
      </c>
      <c r="E894" t="str">
        <f t="shared" si="107"/>
        <v>T3</v>
      </c>
      <c r="F894" t="s">
        <v>1017</v>
      </c>
      <c r="G894" t="s">
        <v>87</v>
      </c>
      <c r="H894" t="s">
        <v>88</v>
      </c>
      <c r="I894" t="s">
        <v>89</v>
      </c>
      <c r="J894" t="s">
        <v>125</v>
      </c>
      <c r="K894" t="s">
        <v>138</v>
      </c>
      <c r="L894" t="s">
        <v>142</v>
      </c>
      <c r="M894" s="24">
        <v>5</v>
      </c>
      <c r="N894" s="25">
        <v>60146.78</v>
      </c>
      <c r="O894" s="25">
        <f t="shared" si="108"/>
        <v>300733.90000000002</v>
      </c>
      <c r="P894" s="25">
        <v>32657.31</v>
      </c>
      <c r="Q894" s="25">
        <f t="shared" si="109"/>
        <v>163286.55000000002</v>
      </c>
      <c r="R894" s="25">
        <f t="shared" si="110"/>
        <v>137447.35</v>
      </c>
      <c r="S894" s="26">
        <f t="shared" si="111"/>
        <v>0.45703976172955557</v>
      </c>
    </row>
    <row r="895" spans="1:19" ht="15" x14ac:dyDescent="0.2">
      <c r="A895" s="23">
        <v>45887</v>
      </c>
      <c r="B895">
        <f t="shared" si="104"/>
        <v>2025</v>
      </c>
      <c r="C895">
        <f t="shared" si="105"/>
        <v>8</v>
      </c>
      <c r="D895" t="str">
        <f t="shared" si="106"/>
        <v>Agosto</v>
      </c>
      <c r="E895" t="str">
        <f t="shared" si="107"/>
        <v>T3</v>
      </c>
      <c r="F895" t="s">
        <v>1018</v>
      </c>
      <c r="G895" t="s">
        <v>87</v>
      </c>
      <c r="H895" t="s">
        <v>88</v>
      </c>
      <c r="I895" t="s">
        <v>89</v>
      </c>
      <c r="J895" t="s">
        <v>125</v>
      </c>
      <c r="K895" t="s">
        <v>126</v>
      </c>
      <c r="L895" t="s">
        <v>127</v>
      </c>
      <c r="M895" s="24">
        <v>4</v>
      </c>
      <c r="N895" s="25">
        <v>56913.34</v>
      </c>
      <c r="O895" s="25">
        <f t="shared" si="108"/>
        <v>227653.36</v>
      </c>
      <c r="P895" s="25">
        <v>31977.79</v>
      </c>
      <c r="Q895" s="25">
        <f t="shared" si="109"/>
        <v>127911.16</v>
      </c>
      <c r="R895" s="25">
        <f t="shared" si="110"/>
        <v>99742.199999999983</v>
      </c>
      <c r="S895" s="26">
        <f t="shared" si="111"/>
        <v>0.43813190369779736</v>
      </c>
    </row>
    <row r="896" spans="1:19" ht="15" x14ac:dyDescent="0.2">
      <c r="A896" s="23">
        <v>45888</v>
      </c>
      <c r="B896">
        <f t="shared" si="104"/>
        <v>2025</v>
      </c>
      <c r="C896">
        <f t="shared" si="105"/>
        <v>8</v>
      </c>
      <c r="D896" t="str">
        <f t="shared" si="106"/>
        <v>Agosto</v>
      </c>
      <c r="E896" t="str">
        <f t="shared" si="107"/>
        <v>T3</v>
      </c>
      <c r="F896" t="s">
        <v>1019</v>
      </c>
      <c r="G896" t="s">
        <v>54</v>
      </c>
      <c r="H896" t="s">
        <v>55</v>
      </c>
      <c r="I896" t="s">
        <v>56</v>
      </c>
      <c r="J896" t="s">
        <v>70</v>
      </c>
      <c r="K896" t="s">
        <v>84</v>
      </c>
      <c r="L896" t="s">
        <v>147</v>
      </c>
      <c r="M896" s="24">
        <v>2</v>
      </c>
      <c r="N896" s="25">
        <v>46696.14</v>
      </c>
      <c r="O896" s="25">
        <f t="shared" si="108"/>
        <v>93392.28</v>
      </c>
      <c r="P896" s="25">
        <v>36254.959999999999</v>
      </c>
      <c r="Q896" s="25">
        <f t="shared" si="109"/>
        <v>72509.919999999998</v>
      </c>
      <c r="R896" s="25">
        <f t="shared" si="110"/>
        <v>20882.36</v>
      </c>
      <c r="S896" s="26">
        <f t="shared" si="111"/>
        <v>0.22359835309727957</v>
      </c>
    </row>
    <row r="897" spans="1:19" ht="15" x14ac:dyDescent="0.2">
      <c r="A897" s="23">
        <v>45888</v>
      </c>
      <c r="B897">
        <f t="shared" si="104"/>
        <v>2025</v>
      </c>
      <c r="C897">
        <f t="shared" si="105"/>
        <v>8</v>
      </c>
      <c r="D897" t="str">
        <f t="shared" si="106"/>
        <v>Agosto</v>
      </c>
      <c r="E897" t="str">
        <f t="shared" si="107"/>
        <v>T3</v>
      </c>
      <c r="F897" t="s">
        <v>1020</v>
      </c>
      <c r="G897" t="s">
        <v>114</v>
      </c>
      <c r="H897" t="s">
        <v>75</v>
      </c>
      <c r="I897" t="s">
        <v>115</v>
      </c>
      <c r="J897" t="s">
        <v>70</v>
      </c>
      <c r="K897" t="s">
        <v>84</v>
      </c>
      <c r="L897" t="s">
        <v>147</v>
      </c>
      <c r="M897" s="24">
        <v>4</v>
      </c>
      <c r="N897" s="25">
        <v>91174.43</v>
      </c>
      <c r="O897" s="25">
        <f t="shared" si="108"/>
        <v>364697.72</v>
      </c>
      <c r="P897" s="25">
        <v>64050.96</v>
      </c>
      <c r="Q897" s="25">
        <f t="shared" si="109"/>
        <v>256203.84</v>
      </c>
      <c r="R897" s="25">
        <f t="shared" si="110"/>
        <v>108493.87999999998</v>
      </c>
      <c r="S897" s="26">
        <f t="shared" si="111"/>
        <v>0.29748987737022314</v>
      </c>
    </row>
    <row r="898" spans="1:19" ht="15" x14ac:dyDescent="0.2">
      <c r="A898" s="23">
        <v>45888</v>
      </c>
      <c r="B898">
        <f t="shared" ref="B898:B961" si="112">YEAR($A898)</f>
        <v>2025</v>
      </c>
      <c r="C898">
        <f t="shared" ref="C898:C961" si="113">MONTH($A898)</f>
        <v>8</v>
      </c>
      <c r="D898" t="str">
        <f t="shared" ref="D898:D961" si="114">INDEX(lst_Meses,MONTH($A898))</f>
        <v>Agosto</v>
      </c>
      <c r="E898" t="str">
        <f t="shared" ref="E898:E961" si="115">"T"&amp;ROUNDUP(MONTH($A898)/3,0)</f>
        <v>T3</v>
      </c>
      <c r="F898" t="s">
        <v>1021</v>
      </c>
      <c r="G898" t="s">
        <v>149</v>
      </c>
      <c r="H898" t="s">
        <v>93</v>
      </c>
      <c r="I898" t="s">
        <v>150</v>
      </c>
      <c r="J898" t="s">
        <v>64</v>
      </c>
      <c r="K898" t="s">
        <v>65</v>
      </c>
      <c r="L898" t="s">
        <v>66</v>
      </c>
      <c r="M898" s="24">
        <v>7</v>
      </c>
      <c r="N898" s="25">
        <v>44664.84</v>
      </c>
      <c r="O898" s="25">
        <f t="shared" ref="O898:O961" si="116">$M898*$N898</f>
        <v>312653.88</v>
      </c>
      <c r="P898" s="25">
        <v>26599.43</v>
      </c>
      <c r="Q898" s="25">
        <f t="shared" ref="Q898:Q961" si="117">$M898*$P898</f>
        <v>186196.01</v>
      </c>
      <c r="R898" s="25">
        <f t="shared" ref="R898:R961" si="118">$O898-$Q898</f>
        <v>126457.87</v>
      </c>
      <c r="S898" s="26">
        <f t="shared" ref="S898:S961" si="119">IFERROR($R898/$O898,0)</f>
        <v>0.40446601846105346</v>
      </c>
    </row>
    <row r="899" spans="1:19" ht="15" x14ac:dyDescent="0.2">
      <c r="A899" s="23">
        <v>45888</v>
      </c>
      <c r="B899">
        <f t="shared" si="112"/>
        <v>2025</v>
      </c>
      <c r="C899">
        <f t="shared" si="113"/>
        <v>8</v>
      </c>
      <c r="D899" t="str">
        <f t="shared" si="114"/>
        <v>Agosto</v>
      </c>
      <c r="E899" t="str">
        <f t="shared" si="115"/>
        <v>T3</v>
      </c>
      <c r="F899" t="s">
        <v>1022</v>
      </c>
      <c r="G899" t="s">
        <v>92</v>
      </c>
      <c r="H899" t="s">
        <v>93</v>
      </c>
      <c r="I899" t="s">
        <v>94</v>
      </c>
      <c r="J899" t="s">
        <v>70</v>
      </c>
      <c r="K899" t="s">
        <v>84</v>
      </c>
      <c r="L899" t="s">
        <v>85</v>
      </c>
      <c r="M899" s="24">
        <v>1</v>
      </c>
      <c r="N899" s="25">
        <v>11919.23</v>
      </c>
      <c r="O899" s="25">
        <f t="shared" si="116"/>
        <v>11919.23</v>
      </c>
      <c r="P899" s="25">
        <v>7314.49</v>
      </c>
      <c r="Q899" s="25">
        <f t="shared" si="117"/>
        <v>7314.49</v>
      </c>
      <c r="R899" s="25">
        <f t="shared" si="118"/>
        <v>4604.74</v>
      </c>
      <c r="S899" s="26">
        <f t="shared" si="119"/>
        <v>0.3863286470686445</v>
      </c>
    </row>
    <row r="900" spans="1:19" ht="15" x14ac:dyDescent="0.2">
      <c r="A900" s="23">
        <v>45889</v>
      </c>
      <c r="B900">
        <f t="shared" si="112"/>
        <v>2025</v>
      </c>
      <c r="C900">
        <f t="shared" si="113"/>
        <v>8</v>
      </c>
      <c r="D900" t="str">
        <f t="shared" si="114"/>
        <v>Agosto</v>
      </c>
      <c r="E900" t="str">
        <f t="shared" si="115"/>
        <v>T3</v>
      </c>
      <c r="F900" t="s">
        <v>1023</v>
      </c>
      <c r="G900" t="s">
        <v>110</v>
      </c>
      <c r="H900" t="s">
        <v>62</v>
      </c>
      <c r="I900" t="s">
        <v>69</v>
      </c>
      <c r="J900" t="s">
        <v>77</v>
      </c>
      <c r="K900" t="s">
        <v>78</v>
      </c>
      <c r="L900" t="s">
        <v>79</v>
      </c>
      <c r="M900" s="24">
        <v>71</v>
      </c>
      <c r="N900" s="25">
        <v>6646.83</v>
      </c>
      <c r="O900" s="25">
        <f t="shared" si="116"/>
        <v>471924.93</v>
      </c>
      <c r="P900" s="25">
        <v>5367.86</v>
      </c>
      <c r="Q900" s="25">
        <f t="shared" si="117"/>
        <v>381118.06</v>
      </c>
      <c r="R900" s="25">
        <f t="shared" si="118"/>
        <v>90806.87</v>
      </c>
      <c r="S900" s="26">
        <f t="shared" si="119"/>
        <v>0.19241803987765596</v>
      </c>
    </row>
    <row r="901" spans="1:19" ht="15" x14ac:dyDescent="0.2">
      <c r="A901" s="23">
        <v>45889</v>
      </c>
      <c r="B901">
        <f t="shared" si="112"/>
        <v>2025</v>
      </c>
      <c r="C901">
        <f t="shared" si="113"/>
        <v>8</v>
      </c>
      <c r="D901" t="str">
        <f t="shared" si="114"/>
        <v>Agosto</v>
      </c>
      <c r="E901" t="str">
        <f t="shared" si="115"/>
        <v>T3</v>
      </c>
      <c r="F901" t="s">
        <v>1024</v>
      </c>
      <c r="G901" t="s">
        <v>110</v>
      </c>
      <c r="H901" t="s">
        <v>62</v>
      </c>
      <c r="I901" t="s">
        <v>69</v>
      </c>
      <c r="J901" t="s">
        <v>57</v>
      </c>
      <c r="K901" t="s">
        <v>58</v>
      </c>
      <c r="L901" t="s">
        <v>162</v>
      </c>
      <c r="M901" s="24">
        <v>50</v>
      </c>
      <c r="N901" s="25">
        <v>6545.17</v>
      </c>
      <c r="O901" s="25">
        <f t="shared" si="116"/>
        <v>327258.5</v>
      </c>
      <c r="P901" s="25">
        <v>5383.55</v>
      </c>
      <c r="Q901" s="25">
        <f t="shared" si="117"/>
        <v>269177.5</v>
      </c>
      <c r="R901" s="25">
        <f t="shared" si="118"/>
        <v>58081</v>
      </c>
      <c r="S901" s="26">
        <f t="shared" si="119"/>
        <v>0.17747743756082729</v>
      </c>
    </row>
    <row r="902" spans="1:19" ht="15" x14ac:dyDescent="0.2">
      <c r="A902" s="23">
        <v>45889</v>
      </c>
      <c r="B902">
        <f t="shared" si="112"/>
        <v>2025</v>
      </c>
      <c r="C902">
        <f t="shared" si="113"/>
        <v>8</v>
      </c>
      <c r="D902" t="str">
        <f t="shared" si="114"/>
        <v>Agosto</v>
      </c>
      <c r="E902" t="str">
        <f t="shared" si="115"/>
        <v>T3</v>
      </c>
      <c r="F902" t="s">
        <v>1025</v>
      </c>
      <c r="G902" t="s">
        <v>68</v>
      </c>
      <c r="H902" t="s">
        <v>62</v>
      </c>
      <c r="I902" t="s">
        <v>69</v>
      </c>
      <c r="J902" t="s">
        <v>70</v>
      </c>
      <c r="K902" t="s">
        <v>84</v>
      </c>
      <c r="L902" t="s">
        <v>147</v>
      </c>
      <c r="M902" s="24">
        <v>113</v>
      </c>
      <c r="N902" s="25">
        <v>3056.03</v>
      </c>
      <c r="O902" s="25">
        <f t="shared" si="116"/>
        <v>345331.39</v>
      </c>
      <c r="P902" s="25">
        <v>2610.0100000000002</v>
      </c>
      <c r="Q902" s="25">
        <f t="shared" si="117"/>
        <v>294931.13</v>
      </c>
      <c r="R902" s="25">
        <f t="shared" si="118"/>
        <v>50400.260000000009</v>
      </c>
      <c r="S902" s="26">
        <f t="shared" si="119"/>
        <v>0.14594752014868967</v>
      </c>
    </row>
    <row r="903" spans="1:19" ht="15" x14ac:dyDescent="0.2">
      <c r="A903" s="23">
        <v>45890</v>
      </c>
      <c r="B903">
        <f t="shared" si="112"/>
        <v>2025</v>
      </c>
      <c r="C903">
        <f t="shared" si="113"/>
        <v>8</v>
      </c>
      <c r="D903" t="str">
        <f t="shared" si="114"/>
        <v>Agosto</v>
      </c>
      <c r="E903" t="str">
        <f t="shared" si="115"/>
        <v>T3</v>
      </c>
      <c r="F903" t="s">
        <v>1026</v>
      </c>
      <c r="G903" t="s">
        <v>110</v>
      </c>
      <c r="H903" t="s">
        <v>62</v>
      </c>
      <c r="I903" t="s">
        <v>69</v>
      </c>
      <c r="J903" t="s">
        <v>125</v>
      </c>
      <c r="K903" t="s">
        <v>138</v>
      </c>
      <c r="L903" t="s">
        <v>139</v>
      </c>
      <c r="M903" s="24">
        <v>37</v>
      </c>
      <c r="N903" s="25">
        <v>6765.98</v>
      </c>
      <c r="O903" s="25">
        <f t="shared" si="116"/>
        <v>250341.25999999998</v>
      </c>
      <c r="P903" s="25">
        <v>5470.84</v>
      </c>
      <c r="Q903" s="25">
        <f t="shared" si="117"/>
        <v>202421.08000000002</v>
      </c>
      <c r="R903" s="25">
        <f t="shared" si="118"/>
        <v>47920.179999999964</v>
      </c>
      <c r="S903" s="26">
        <f t="shared" si="119"/>
        <v>0.19141942482833221</v>
      </c>
    </row>
    <row r="904" spans="1:19" ht="15" x14ac:dyDescent="0.2">
      <c r="A904" s="23">
        <v>45890</v>
      </c>
      <c r="B904">
        <f t="shared" si="112"/>
        <v>2025</v>
      </c>
      <c r="C904">
        <f t="shared" si="113"/>
        <v>8</v>
      </c>
      <c r="D904" t="str">
        <f t="shared" si="114"/>
        <v>Agosto</v>
      </c>
      <c r="E904" t="str">
        <f t="shared" si="115"/>
        <v>T3</v>
      </c>
      <c r="F904" t="s">
        <v>1027</v>
      </c>
      <c r="G904" t="s">
        <v>74</v>
      </c>
      <c r="H904" t="s">
        <v>75</v>
      </c>
      <c r="I904" t="s">
        <v>76</v>
      </c>
      <c r="J904" t="s">
        <v>64</v>
      </c>
      <c r="K904" t="s">
        <v>96</v>
      </c>
      <c r="L904" t="s">
        <v>103</v>
      </c>
      <c r="M904" s="24">
        <v>30</v>
      </c>
      <c r="N904" s="25">
        <v>40153.86</v>
      </c>
      <c r="O904" s="25">
        <f t="shared" si="116"/>
        <v>1204615.8</v>
      </c>
      <c r="P904" s="25">
        <v>27944.14</v>
      </c>
      <c r="Q904" s="25">
        <f t="shared" si="117"/>
        <v>838324.2</v>
      </c>
      <c r="R904" s="25">
        <f t="shared" si="118"/>
        <v>366291.60000000009</v>
      </c>
      <c r="S904" s="26">
        <f t="shared" si="119"/>
        <v>0.30407338173714815</v>
      </c>
    </row>
    <row r="905" spans="1:19" ht="15" x14ac:dyDescent="0.2">
      <c r="A905" s="23">
        <v>45890</v>
      </c>
      <c r="B905">
        <f t="shared" si="112"/>
        <v>2025</v>
      </c>
      <c r="C905">
        <f t="shared" si="113"/>
        <v>8</v>
      </c>
      <c r="D905" t="str">
        <f t="shared" si="114"/>
        <v>Agosto</v>
      </c>
      <c r="E905" t="str">
        <f t="shared" si="115"/>
        <v>T3</v>
      </c>
      <c r="F905" t="s">
        <v>1028</v>
      </c>
      <c r="G905" t="s">
        <v>74</v>
      </c>
      <c r="H905" t="s">
        <v>75</v>
      </c>
      <c r="I905" t="s">
        <v>76</v>
      </c>
      <c r="J905" t="s">
        <v>77</v>
      </c>
      <c r="K905" t="s">
        <v>107</v>
      </c>
      <c r="L905" t="s">
        <v>108</v>
      </c>
      <c r="M905" s="24">
        <v>21</v>
      </c>
      <c r="N905" s="25">
        <v>45051.86</v>
      </c>
      <c r="O905" s="25">
        <f t="shared" si="116"/>
        <v>946089.06</v>
      </c>
      <c r="P905" s="25">
        <v>28435.360000000001</v>
      </c>
      <c r="Q905" s="25">
        <f t="shared" si="117"/>
        <v>597142.56000000006</v>
      </c>
      <c r="R905" s="25">
        <f t="shared" si="118"/>
        <v>348946.5</v>
      </c>
      <c r="S905" s="26">
        <f t="shared" si="119"/>
        <v>0.36883049889616099</v>
      </c>
    </row>
    <row r="906" spans="1:19" ht="15" x14ac:dyDescent="0.2">
      <c r="A906" s="23">
        <v>45890</v>
      </c>
      <c r="B906">
        <f t="shared" si="112"/>
        <v>2025</v>
      </c>
      <c r="C906">
        <f t="shared" si="113"/>
        <v>8</v>
      </c>
      <c r="D906" t="str">
        <f t="shared" si="114"/>
        <v>Agosto</v>
      </c>
      <c r="E906" t="str">
        <f t="shared" si="115"/>
        <v>T3</v>
      </c>
      <c r="F906" t="s">
        <v>1029</v>
      </c>
      <c r="G906" t="s">
        <v>149</v>
      </c>
      <c r="H906" t="s">
        <v>93</v>
      </c>
      <c r="I906" t="s">
        <v>150</v>
      </c>
      <c r="J906" t="s">
        <v>125</v>
      </c>
      <c r="K906" t="s">
        <v>126</v>
      </c>
      <c r="L906" t="s">
        <v>127</v>
      </c>
      <c r="M906" s="24">
        <v>2</v>
      </c>
      <c r="N906" s="25">
        <v>45014.07</v>
      </c>
      <c r="O906" s="25">
        <f t="shared" si="116"/>
        <v>90028.14</v>
      </c>
      <c r="P906" s="25">
        <v>26425.74</v>
      </c>
      <c r="Q906" s="25">
        <f t="shared" si="117"/>
        <v>52851.48</v>
      </c>
      <c r="R906" s="25">
        <f t="shared" si="118"/>
        <v>37176.659999999996</v>
      </c>
      <c r="S906" s="26">
        <f t="shared" si="119"/>
        <v>0.41294488589900885</v>
      </c>
    </row>
    <row r="907" spans="1:19" ht="15" x14ac:dyDescent="0.2">
      <c r="A907" s="23">
        <v>45891</v>
      </c>
      <c r="B907">
        <f t="shared" si="112"/>
        <v>2025</v>
      </c>
      <c r="C907">
        <f t="shared" si="113"/>
        <v>8</v>
      </c>
      <c r="D907" t="str">
        <f t="shared" si="114"/>
        <v>Agosto</v>
      </c>
      <c r="E907" t="str">
        <f t="shared" si="115"/>
        <v>T3</v>
      </c>
      <c r="F907" t="s">
        <v>1030</v>
      </c>
      <c r="G907" t="s">
        <v>54</v>
      </c>
      <c r="H907" t="s">
        <v>55</v>
      </c>
      <c r="I907" t="s">
        <v>56</v>
      </c>
      <c r="J907" t="s">
        <v>125</v>
      </c>
      <c r="K907" t="s">
        <v>126</v>
      </c>
      <c r="L907" t="s">
        <v>127</v>
      </c>
      <c r="M907" s="24">
        <v>4</v>
      </c>
      <c r="N907" s="25">
        <v>59498.02</v>
      </c>
      <c r="O907" s="25">
        <f t="shared" si="116"/>
        <v>237992.08</v>
      </c>
      <c r="P907" s="25">
        <v>43520.33</v>
      </c>
      <c r="Q907" s="25">
        <f t="shared" si="117"/>
        <v>174081.32</v>
      </c>
      <c r="R907" s="25">
        <f t="shared" si="118"/>
        <v>63910.75999999998</v>
      </c>
      <c r="S907" s="26">
        <f t="shared" si="119"/>
        <v>0.26854154138238545</v>
      </c>
    </row>
    <row r="908" spans="1:19" ht="15" x14ac:dyDescent="0.2">
      <c r="A908" s="23">
        <v>45891</v>
      </c>
      <c r="B908">
        <f t="shared" si="112"/>
        <v>2025</v>
      </c>
      <c r="C908">
        <f t="shared" si="113"/>
        <v>8</v>
      </c>
      <c r="D908" t="str">
        <f t="shared" si="114"/>
        <v>Agosto</v>
      </c>
      <c r="E908" t="str">
        <f t="shared" si="115"/>
        <v>T3</v>
      </c>
      <c r="F908" t="s">
        <v>1031</v>
      </c>
      <c r="G908" t="s">
        <v>74</v>
      </c>
      <c r="H908" t="s">
        <v>75</v>
      </c>
      <c r="I908" t="s">
        <v>76</v>
      </c>
      <c r="J908" t="s">
        <v>77</v>
      </c>
      <c r="K908" t="s">
        <v>78</v>
      </c>
      <c r="L908" t="s">
        <v>79</v>
      </c>
      <c r="M908" s="24">
        <v>5</v>
      </c>
      <c r="N908" s="25">
        <v>43094.68</v>
      </c>
      <c r="O908" s="25">
        <f t="shared" si="116"/>
        <v>215473.4</v>
      </c>
      <c r="P908" s="25">
        <v>28621.98</v>
      </c>
      <c r="Q908" s="25">
        <f t="shared" si="117"/>
        <v>143109.9</v>
      </c>
      <c r="R908" s="25">
        <f t="shared" si="118"/>
        <v>72363.5</v>
      </c>
      <c r="S908" s="26">
        <f t="shared" si="119"/>
        <v>0.33583495689027043</v>
      </c>
    </row>
    <row r="909" spans="1:19" ht="15" x14ac:dyDescent="0.2">
      <c r="A909" s="23">
        <v>45891</v>
      </c>
      <c r="B909">
        <f t="shared" si="112"/>
        <v>2025</v>
      </c>
      <c r="C909">
        <f t="shared" si="113"/>
        <v>8</v>
      </c>
      <c r="D909" t="str">
        <f t="shared" si="114"/>
        <v>Agosto</v>
      </c>
      <c r="E909" t="str">
        <f t="shared" si="115"/>
        <v>T3</v>
      </c>
      <c r="F909" t="s">
        <v>1032</v>
      </c>
      <c r="G909" t="s">
        <v>92</v>
      </c>
      <c r="H909" t="s">
        <v>93</v>
      </c>
      <c r="I909" t="s">
        <v>94</v>
      </c>
      <c r="J909" t="s">
        <v>57</v>
      </c>
      <c r="K909" t="s">
        <v>81</v>
      </c>
      <c r="L909" t="s">
        <v>129</v>
      </c>
      <c r="M909" s="24">
        <v>18</v>
      </c>
      <c r="N909" s="25">
        <v>19942.400000000001</v>
      </c>
      <c r="O909" s="25">
        <f t="shared" si="116"/>
        <v>358963.20000000001</v>
      </c>
      <c r="P909" s="25">
        <v>11915.94</v>
      </c>
      <c r="Q909" s="25">
        <f t="shared" si="117"/>
        <v>214486.92</v>
      </c>
      <c r="R909" s="25">
        <f t="shared" si="118"/>
        <v>144476.28</v>
      </c>
      <c r="S909" s="26">
        <f t="shared" si="119"/>
        <v>0.40248214858793324</v>
      </c>
    </row>
    <row r="910" spans="1:19" ht="15" x14ac:dyDescent="0.2">
      <c r="A910" s="23">
        <v>45891</v>
      </c>
      <c r="B910">
        <f t="shared" si="112"/>
        <v>2025</v>
      </c>
      <c r="C910">
        <f t="shared" si="113"/>
        <v>8</v>
      </c>
      <c r="D910" t="str">
        <f t="shared" si="114"/>
        <v>Agosto</v>
      </c>
      <c r="E910" t="str">
        <f t="shared" si="115"/>
        <v>T3</v>
      </c>
      <c r="F910" t="s">
        <v>1033</v>
      </c>
      <c r="G910" t="s">
        <v>92</v>
      </c>
      <c r="H910" t="s">
        <v>93</v>
      </c>
      <c r="I910" t="s">
        <v>94</v>
      </c>
      <c r="J910" t="s">
        <v>70</v>
      </c>
      <c r="K910" t="s">
        <v>84</v>
      </c>
      <c r="L910" t="s">
        <v>85</v>
      </c>
      <c r="M910" s="24">
        <v>8</v>
      </c>
      <c r="N910" s="25">
        <v>19465.009999999998</v>
      </c>
      <c r="O910" s="25">
        <f t="shared" si="116"/>
        <v>155720.07999999999</v>
      </c>
      <c r="P910" s="25">
        <v>12338.26</v>
      </c>
      <c r="Q910" s="25">
        <f t="shared" si="117"/>
        <v>98706.08</v>
      </c>
      <c r="R910" s="25">
        <f t="shared" si="118"/>
        <v>57013.999999999985</v>
      </c>
      <c r="S910" s="26">
        <f t="shared" si="119"/>
        <v>0.36613133001216019</v>
      </c>
    </row>
    <row r="911" spans="1:19" ht="15" x14ac:dyDescent="0.2">
      <c r="A911" s="23">
        <v>45892</v>
      </c>
      <c r="B911">
        <f t="shared" si="112"/>
        <v>2025</v>
      </c>
      <c r="C911">
        <f t="shared" si="113"/>
        <v>8</v>
      </c>
      <c r="D911" t="str">
        <f t="shared" si="114"/>
        <v>Agosto</v>
      </c>
      <c r="E911" t="str">
        <f t="shared" si="115"/>
        <v>T3</v>
      </c>
      <c r="F911" t="s">
        <v>1034</v>
      </c>
      <c r="G911" t="s">
        <v>1035</v>
      </c>
      <c r="H911" t="s">
        <v>55</v>
      </c>
      <c r="I911" t="s">
        <v>1036</v>
      </c>
      <c r="J911" t="s">
        <v>64</v>
      </c>
      <c r="K911" t="s">
        <v>65</v>
      </c>
      <c r="L911" t="s">
        <v>123</v>
      </c>
      <c r="M911" s="24">
        <v>3</v>
      </c>
      <c r="N911" s="25">
        <v>782233.1</v>
      </c>
      <c r="O911" s="25">
        <f t="shared" si="116"/>
        <v>2346699.2999999998</v>
      </c>
      <c r="P911" s="25">
        <v>581648.1</v>
      </c>
      <c r="Q911" s="25">
        <f t="shared" si="117"/>
        <v>1744944.2999999998</v>
      </c>
      <c r="R911" s="25">
        <f t="shared" si="118"/>
        <v>601755</v>
      </c>
      <c r="S911" s="26">
        <f t="shared" si="119"/>
        <v>0.25642612157424688</v>
      </c>
    </row>
    <row r="912" spans="1:19" ht="15" x14ac:dyDescent="0.2">
      <c r="A912" s="23">
        <v>45892</v>
      </c>
      <c r="B912">
        <f t="shared" si="112"/>
        <v>2025</v>
      </c>
      <c r="C912">
        <f t="shared" si="113"/>
        <v>8</v>
      </c>
      <c r="D912" t="str">
        <f t="shared" si="114"/>
        <v>Agosto</v>
      </c>
      <c r="E912" t="str">
        <f t="shared" si="115"/>
        <v>T3</v>
      </c>
      <c r="F912" t="s">
        <v>1037</v>
      </c>
      <c r="G912" t="s">
        <v>54</v>
      </c>
      <c r="H912" t="s">
        <v>55</v>
      </c>
      <c r="I912" t="s">
        <v>56</v>
      </c>
      <c r="J912" t="s">
        <v>125</v>
      </c>
      <c r="K912" t="s">
        <v>126</v>
      </c>
      <c r="L912" t="s">
        <v>127</v>
      </c>
      <c r="M912" s="24">
        <v>3</v>
      </c>
      <c r="N912" s="25">
        <v>56321.74</v>
      </c>
      <c r="O912" s="25">
        <f t="shared" si="116"/>
        <v>168965.22</v>
      </c>
      <c r="P912" s="25">
        <v>41492.01</v>
      </c>
      <c r="Q912" s="25">
        <f t="shared" si="117"/>
        <v>124476.03</v>
      </c>
      <c r="R912" s="25">
        <f t="shared" si="118"/>
        <v>44489.19</v>
      </c>
      <c r="S912" s="26">
        <f t="shared" si="119"/>
        <v>0.26330383258755857</v>
      </c>
    </row>
    <row r="913" spans="1:19" ht="15" x14ac:dyDescent="0.2">
      <c r="A913" s="23">
        <v>45892</v>
      </c>
      <c r="B913">
        <f t="shared" si="112"/>
        <v>2025</v>
      </c>
      <c r="C913">
        <f t="shared" si="113"/>
        <v>8</v>
      </c>
      <c r="D913" t="str">
        <f t="shared" si="114"/>
        <v>Agosto</v>
      </c>
      <c r="E913" t="str">
        <f t="shared" si="115"/>
        <v>T3</v>
      </c>
      <c r="F913" t="s">
        <v>1038</v>
      </c>
      <c r="G913" t="s">
        <v>61</v>
      </c>
      <c r="H913" t="s">
        <v>62</v>
      </c>
      <c r="I913" t="s">
        <v>63</v>
      </c>
      <c r="J913" t="s">
        <v>64</v>
      </c>
      <c r="K913" t="s">
        <v>96</v>
      </c>
      <c r="L913" t="s">
        <v>97</v>
      </c>
      <c r="M913" s="24">
        <v>92</v>
      </c>
      <c r="N913" s="25">
        <v>5762.16</v>
      </c>
      <c r="O913" s="25">
        <f t="shared" si="116"/>
        <v>530118.72</v>
      </c>
      <c r="P913" s="25">
        <v>4796.2299999999996</v>
      </c>
      <c r="Q913" s="25">
        <f t="shared" si="117"/>
        <v>441253.16</v>
      </c>
      <c r="R913" s="25">
        <f t="shared" si="118"/>
        <v>88865.56</v>
      </c>
      <c r="S913" s="26">
        <f t="shared" si="119"/>
        <v>0.16763331806128257</v>
      </c>
    </row>
    <row r="914" spans="1:19" ht="15" x14ac:dyDescent="0.2">
      <c r="A914" s="23">
        <v>45892</v>
      </c>
      <c r="B914">
        <f t="shared" si="112"/>
        <v>2025</v>
      </c>
      <c r="C914">
        <f t="shared" si="113"/>
        <v>8</v>
      </c>
      <c r="D914" t="str">
        <f t="shared" si="114"/>
        <v>Agosto</v>
      </c>
      <c r="E914" t="str">
        <f t="shared" si="115"/>
        <v>T3</v>
      </c>
      <c r="F914" t="s">
        <v>1039</v>
      </c>
      <c r="G914" t="s">
        <v>68</v>
      </c>
      <c r="H914" t="s">
        <v>62</v>
      </c>
      <c r="I914" t="s">
        <v>69</v>
      </c>
      <c r="J914" t="s">
        <v>57</v>
      </c>
      <c r="K914" t="s">
        <v>81</v>
      </c>
      <c r="L914" t="s">
        <v>82</v>
      </c>
      <c r="M914" s="24">
        <v>223</v>
      </c>
      <c r="N914" s="25">
        <v>3155.71</v>
      </c>
      <c r="O914" s="25">
        <f t="shared" si="116"/>
        <v>703723.33</v>
      </c>
      <c r="P914" s="25">
        <v>2594.21</v>
      </c>
      <c r="Q914" s="25">
        <f t="shared" si="117"/>
        <v>578508.82999999996</v>
      </c>
      <c r="R914" s="25">
        <f t="shared" si="118"/>
        <v>125214.5</v>
      </c>
      <c r="S914" s="26">
        <f t="shared" si="119"/>
        <v>0.17793143222919724</v>
      </c>
    </row>
    <row r="915" spans="1:19" ht="15" x14ac:dyDescent="0.2">
      <c r="A915" s="23">
        <v>45893</v>
      </c>
      <c r="B915">
        <f t="shared" si="112"/>
        <v>2025</v>
      </c>
      <c r="C915">
        <f t="shared" si="113"/>
        <v>8</v>
      </c>
      <c r="D915" t="str">
        <f t="shared" si="114"/>
        <v>Agosto</v>
      </c>
      <c r="E915" t="str">
        <f t="shared" si="115"/>
        <v>T3</v>
      </c>
      <c r="F915" t="s">
        <v>1040</v>
      </c>
      <c r="G915" t="s">
        <v>54</v>
      </c>
      <c r="H915" t="s">
        <v>55</v>
      </c>
      <c r="I915" t="s">
        <v>56</v>
      </c>
      <c r="J915" t="s">
        <v>57</v>
      </c>
      <c r="K915" t="s">
        <v>58</v>
      </c>
      <c r="L915" t="s">
        <v>59</v>
      </c>
      <c r="M915" s="24">
        <v>10</v>
      </c>
      <c r="N915" s="25">
        <v>58214.43</v>
      </c>
      <c r="O915" s="25">
        <f t="shared" si="116"/>
        <v>582144.30000000005</v>
      </c>
      <c r="P915" s="25">
        <v>42694.87</v>
      </c>
      <c r="Q915" s="25">
        <f t="shared" si="117"/>
        <v>426948.7</v>
      </c>
      <c r="R915" s="25">
        <f t="shared" si="118"/>
        <v>155195.60000000003</v>
      </c>
      <c r="S915" s="26">
        <f t="shared" si="119"/>
        <v>0.26659300795352636</v>
      </c>
    </row>
    <row r="916" spans="1:19" ht="15" x14ac:dyDescent="0.2">
      <c r="A916" s="23">
        <v>45894</v>
      </c>
      <c r="B916">
        <f t="shared" si="112"/>
        <v>2025</v>
      </c>
      <c r="C916">
        <f t="shared" si="113"/>
        <v>8</v>
      </c>
      <c r="D916" t="str">
        <f t="shared" si="114"/>
        <v>Agosto</v>
      </c>
      <c r="E916" t="str">
        <f t="shared" si="115"/>
        <v>T3</v>
      </c>
      <c r="F916" t="s">
        <v>1041</v>
      </c>
      <c r="G916" t="s">
        <v>54</v>
      </c>
      <c r="H916" t="s">
        <v>55</v>
      </c>
      <c r="I916" t="s">
        <v>56</v>
      </c>
      <c r="J916" t="s">
        <v>64</v>
      </c>
      <c r="K916" t="s">
        <v>65</v>
      </c>
      <c r="L916" t="s">
        <v>123</v>
      </c>
      <c r="M916" s="24">
        <v>16</v>
      </c>
      <c r="N916" s="25">
        <v>56139.88</v>
      </c>
      <c r="O916" s="25">
        <f t="shared" si="116"/>
        <v>898238.08</v>
      </c>
      <c r="P916" s="25">
        <v>41712.629999999997</v>
      </c>
      <c r="Q916" s="25">
        <f t="shared" si="117"/>
        <v>667402.07999999996</v>
      </c>
      <c r="R916" s="25">
        <f t="shared" si="118"/>
        <v>230836</v>
      </c>
      <c r="S916" s="26">
        <f t="shared" si="119"/>
        <v>0.25698754610804297</v>
      </c>
    </row>
    <row r="917" spans="1:19" ht="15" x14ac:dyDescent="0.2">
      <c r="A917" s="23">
        <v>45894</v>
      </c>
      <c r="B917">
        <f t="shared" si="112"/>
        <v>2025</v>
      </c>
      <c r="C917">
        <f t="shared" si="113"/>
        <v>8</v>
      </c>
      <c r="D917" t="str">
        <f t="shared" si="114"/>
        <v>Agosto</v>
      </c>
      <c r="E917" t="str">
        <f t="shared" si="115"/>
        <v>T3</v>
      </c>
      <c r="F917" t="s">
        <v>1042</v>
      </c>
      <c r="G917" t="s">
        <v>183</v>
      </c>
      <c r="H917" t="s">
        <v>55</v>
      </c>
      <c r="I917" t="s">
        <v>184</v>
      </c>
      <c r="J917" t="s">
        <v>64</v>
      </c>
      <c r="K917" t="s">
        <v>96</v>
      </c>
      <c r="L917" t="s">
        <v>103</v>
      </c>
      <c r="M917" s="24">
        <v>5</v>
      </c>
      <c r="N917" s="25">
        <v>415990.45</v>
      </c>
      <c r="O917" s="25">
        <f t="shared" si="116"/>
        <v>2079952.25</v>
      </c>
      <c r="P917" s="25">
        <v>312789.82</v>
      </c>
      <c r="Q917" s="25">
        <f t="shared" si="117"/>
        <v>1563949.1</v>
      </c>
      <c r="R917" s="25">
        <f t="shared" si="118"/>
        <v>516003.14999999991</v>
      </c>
      <c r="S917" s="26">
        <f t="shared" si="119"/>
        <v>0.24808413270064247</v>
      </c>
    </row>
    <row r="918" spans="1:19" ht="15" x14ac:dyDescent="0.2">
      <c r="A918" s="23">
        <v>45894</v>
      </c>
      <c r="B918">
        <f t="shared" si="112"/>
        <v>2025</v>
      </c>
      <c r="C918">
        <f t="shared" si="113"/>
        <v>8</v>
      </c>
      <c r="D918" t="str">
        <f t="shared" si="114"/>
        <v>Agosto</v>
      </c>
      <c r="E918" t="str">
        <f t="shared" si="115"/>
        <v>T3</v>
      </c>
      <c r="F918" t="s">
        <v>1043</v>
      </c>
      <c r="G918" t="s">
        <v>54</v>
      </c>
      <c r="H918" t="s">
        <v>55</v>
      </c>
      <c r="I918" t="s">
        <v>56</v>
      </c>
      <c r="J918" t="s">
        <v>125</v>
      </c>
      <c r="K918" t="s">
        <v>126</v>
      </c>
      <c r="L918" t="s">
        <v>127</v>
      </c>
      <c r="M918" s="24">
        <v>4</v>
      </c>
      <c r="N918" s="25">
        <v>60400.75</v>
      </c>
      <c r="O918" s="25">
        <f t="shared" si="116"/>
        <v>241603</v>
      </c>
      <c r="P918" s="25">
        <v>43943.5</v>
      </c>
      <c r="Q918" s="25">
        <f t="shared" si="117"/>
        <v>175774</v>
      </c>
      <c r="R918" s="25">
        <f t="shared" si="118"/>
        <v>65829</v>
      </c>
      <c r="S918" s="26">
        <f t="shared" si="119"/>
        <v>0.27246764319979472</v>
      </c>
    </row>
    <row r="919" spans="1:19" ht="15" x14ac:dyDescent="0.2">
      <c r="A919" s="23">
        <v>45894</v>
      </c>
      <c r="B919">
        <f t="shared" si="112"/>
        <v>2025</v>
      </c>
      <c r="C919">
        <f t="shared" si="113"/>
        <v>8</v>
      </c>
      <c r="D919" t="str">
        <f t="shared" si="114"/>
        <v>Agosto</v>
      </c>
      <c r="E919" t="str">
        <f t="shared" si="115"/>
        <v>T3</v>
      </c>
      <c r="F919" t="s">
        <v>1044</v>
      </c>
      <c r="G919" t="s">
        <v>54</v>
      </c>
      <c r="H919" t="s">
        <v>55</v>
      </c>
      <c r="I919" t="s">
        <v>56</v>
      </c>
      <c r="J919" t="s">
        <v>70</v>
      </c>
      <c r="K919" t="s">
        <v>84</v>
      </c>
      <c r="L919" t="s">
        <v>147</v>
      </c>
      <c r="M919" s="24">
        <v>8</v>
      </c>
      <c r="N919" s="25">
        <v>56226.34</v>
      </c>
      <c r="O919" s="25">
        <f t="shared" si="116"/>
        <v>449810.72</v>
      </c>
      <c r="P919" s="25">
        <v>43452.160000000003</v>
      </c>
      <c r="Q919" s="25">
        <f t="shared" si="117"/>
        <v>347617.28000000003</v>
      </c>
      <c r="R919" s="25">
        <f t="shared" si="118"/>
        <v>102193.43999999994</v>
      </c>
      <c r="S919" s="26">
        <f t="shared" si="119"/>
        <v>0.22719209537736218</v>
      </c>
    </row>
    <row r="920" spans="1:19" ht="15" x14ac:dyDescent="0.2">
      <c r="A920" s="23">
        <v>45894</v>
      </c>
      <c r="B920">
        <f t="shared" si="112"/>
        <v>2025</v>
      </c>
      <c r="C920">
        <f t="shared" si="113"/>
        <v>8</v>
      </c>
      <c r="D920" t="str">
        <f t="shared" si="114"/>
        <v>Agosto</v>
      </c>
      <c r="E920" t="str">
        <f t="shared" si="115"/>
        <v>T3</v>
      </c>
      <c r="F920" t="s">
        <v>1045</v>
      </c>
      <c r="G920" t="s">
        <v>100</v>
      </c>
      <c r="H920" t="s">
        <v>88</v>
      </c>
      <c r="I920" t="s">
        <v>101</v>
      </c>
      <c r="J920" t="s">
        <v>64</v>
      </c>
      <c r="K920" t="s">
        <v>96</v>
      </c>
      <c r="L920" t="s">
        <v>97</v>
      </c>
      <c r="M920" s="24">
        <v>25</v>
      </c>
      <c r="N920" s="25">
        <v>35576.120000000003</v>
      </c>
      <c r="O920" s="25">
        <f t="shared" si="116"/>
        <v>889403.00000000012</v>
      </c>
      <c r="P920" s="25">
        <v>20776.57</v>
      </c>
      <c r="Q920" s="25">
        <f t="shared" si="117"/>
        <v>519414.25</v>
      </c>
      <c r="R920" s="25">
        <f t="shared" si="118"/>
        <v>369988.75000000012</v>
      </c>
      <c r="S920" s="26">
        <f t="shared" si="119"/>
        <v>0.41599674163455719</v>
      </c>
    </row>
    <row r="921" spans="1:19" ht="15" x14ac:dyDescent="0.2">
      <c r="A921" s="23">
        <v>45894</v>
      </c>
      <c r="B921">
        <f t="shared" si="112"/>
        <v>2025</v>
      </c>
      <c r="C921">
        <f t="shared" si="113"/>
        <v>8</v>
      </c>
      <c r="D921" t="str">
        <f t="shared" si="114"/>
        <v>Agosto</v>
      </c>
      <c r="E921" t="str">
        <f t="shared" si="115"/>
        <v>T3</v>
      </c>
      <c r="F921" t="s">
        <v>1046</v>
      </c>
      <c r="G921" t="s">
        <v>188</v>
      </c>
      <c r="H921" t="s">
        <v>88</v>
      </c>
      <c r="I921" t="s">
        <v>189</v>
      </c>
      <c r="J921" t="s">
        <v>70</v>
      </c>
      <c r="K921" t="s">
        <v>84</v>
      </c>
      <c r="L921" t="s">
        <v>147</v>
      </c>
      <c r="M921" s="24">
        <v>3</v>
      </c>
      <c r="N921" s="25">
        <v>68480.27</v>
      </c>
      <c r="O921" s="25">
        <f t="shared" si="116"/>
        <v>205440.81</v>
      </c>
      <c r="P921" s="25">
        <v>40040.68</v>
      </c>
      <c r="Q921" s="25">
        <f t="shared" si="117"/>
        <v>120122.04000000001</v>
      </c>
      <c r="R921" s="25">
        <f t="shared" si="118"/>
        <v>85318.76999999999</v>
      </c>
      <c r="S921" s="26">
        <f t="shared" si="119"/>
        <v>0.41529611375656078</v>
      </c>
    </row>
    <row r="922" spans="1:19" ht="15" x14ac:dyDescent="0.2">
      <c r="A922" s="23">
        <v>45895</v>
      </c>
      <c r="B922">
        <f t="shared" si="112"/>
        <v>2025</v>
      </c>
      <c r="C922">
        <f t="shared" si="113"/>
        <v>8</v>
      </c>
      <c r="D922" t="str">
        <f t="shared" si="114"/>
        <v>Agosto</v>
      </c>
      <c r="E922" t="str">
        <f t="shared" si="115"/>
        <v>T3</v>
      </c>
      <c r="F922" t="s">
        <v>1047</v>
      </c>
      <c r="G922" t="s">
        <v>54</v>
      </c>
      <c r="H922" t="s">
        <v>55</v>
      </c>
      <c r="I922" t="s">
        <v>56</v>
      </c>
      <c r="J922" t="s">
        <v>125</v>
      </c>
      <c r="K922" t="s">
        <v>138</v>
      </c>
      <c r="L922" t="s">
        <v>139</v>
      </c>
      <c r="M922" s="24">
        <v>11</v>
      </c>
      <c r="N922" s="25">
        <v>60312.73</v>
      </c>
      <c r="O922" s="25">
        <f t="shared" si="116"/>
        <v>663440.03</v>
      </c>
      <c r="P922" s="25">
        <v>43437.02</v>
      </c>
      <c r="Q922" s="25">
        <f t="shared" si="117"/>
        <v>477807.22</v>
      </c>
      <c r="R922" s="25">
        <f t="shared" si="118"/>
        <v>185632.81000000006</v>
      </c>
      <c r="S922" s="26">
        <f t="shared" si="119"/>
        <v>0.27980345111222793</v>
      </c>
    </row>
    <row r="923" spans="1:19" ht="15" x14ac:dyDescent="0.2">
      <c r="A923" s="23">
        <v>45895</v>
      </c>
      <c r="B923">
        <f t="shared" si="112"/>
        <v>2025</v>
      </c>
      <c r="C923">
        <f t="shared" si="113"/>
        <v>8</v>
      </c>
      <c r="D923" t="str">
        <f t="shared" si="114"/>
        <v>Agosto</v>
      </c>
      <c r="E923" t="str">
        <f t="shared" si="115"/>
        <v>T3</v>
      </c>
      <c r="F923" t="s">
        <v>1048</v>
      </c>
      <c r="G923" t="s">
        <v>105</v>
      </c>
      <c r="H923" t="s">
        <v>62</v>
      </c>
      <c r="I923" t="s">
        <v>106</v>
      </c>
      <c r="J923" t="s">
        <v>57</v>
      </c>
      <c r="K923" t="s">
        <v>58</v>
      </c>
      <c r="L923" t="s">
        <v>59</v>
      </c>
      <c r="M923" s="24">
        <v>33</v>
      </c>
      <c r="N923" s="25">
        <v>1805.59</v>
      </c>
      <c r="O923" s="25">
        <f t="shared" si="116"/>
        <v>59584.469999999994</v>
      </c>
      <c r="P923" s="25">
        <v>1479.68</v>
      </c>
      <c r="Q923" s="25">
        <f t="shared" si="117"/>
        <v>48829.440000000002</v>
      </c>
      <c r="R923" s="25">
        <f t="shared" si="118"/>
        <v>10755.029999999992</v>
      </c>
      <c r="S923" s="26">
        <f t="shared" si="119"/>
        <v>0.18050055660476619</v>
      </c>
    </row>
    <row r="924" spans="1:19" ht="15" x14ac:dyDescent="0.2">
      <c r="A924" s="23">
        <v>45895</v>
      </c>
      <c r="B924">
        <f t="shared" si="112"/>
        <v>2025</v>
      </c>
      <c r="C924">
        <f t="shared" si="113"/>
        <v>8</v>
      </c>
      <c r="D924" t="str">
        <f t="shared" si="114"/>
        <v>Agosto</v>
      </c>
      <c r="E924" t="str">
        <f t="shared" si="115"/>
        <v>T3</v>
      </c>
      <c r="F924" t="s">
        <v>1049</v>
      </c>
      <c r="G924" t="s">
        <v>61</v>
      </c>
      <c r="H924" t="s">
        <v>62</v>
      </c>
      <c r="I924" t="s">
        <v>63</v>
      </c>
      <c r="J924" t="s">
        <v>70</v>
      </c>
      <c r="K924" t="s">
        <v>71</v>
      </c>
      <c r="L924" t="s">
        <v>90</v>
      </c>
      <c r="M924" s="24">
        <v>40</v>
      </c>
      <c r="N924" s="25">
        <v>5598.42</v>
      </c>
      <c r="O924" s="25">
        <f t="shared" si="116"/>
        <v>223936.8</v>
      </c>
      <c r="P924" s="25">
        <v>4815.71</v>
      </c>
      <c r="Q924" s="25">
        <f t="shared" si="117"/>
        <v>192628.4</v>
      </c>
      <c r="R924" s="25">
        <f t="shared" si="118"/>
        <v>31308.399999999994</v>
      </c>
      <c r="S924" s="26">
        <f t="shared" si="119"/>
        <v>0.13980908899296585</v>
      </c>
    </row>
    <row r="925" spans="1:19" ht="15" x14ac:dyDescent="0.2">
      <c r="A925" s="23">
        <v>45895</v>
      </c>
      <c r="B925">
        <f t="shared" si="112"/>
        <v>2025</v>
      </c>
      <c r="C925">
        <f t="shared" si="113"/>
        <v>8</v>
      </c>
      <c r="D925" t="str">
        <f t="shared" si="114"/>
        <v>Agosto</v>
      </c>
      <c r="E925" t="str">
        <f t="shared" si="115"/>
        <v>T3</v>
      </c>
      <c r="F925" t="s">
        <v>1050</v>
      </c>
      <c r="G925" t="s">
        <v>92</v>
      </c>
      <c r="H925" t="s">
        <v>93</v>
      </c>
      <c r="I925" t="s">
        <v>94</v>
      </c>
      <c r="J925" t="s">
        <v>57</v>
      </c>
      <c r="K925" t="s">
        <v>58</v>
      </c>
      <c r="L925" t="s">
        <v>162</v>
      </c>
      <c r="M925" s="24">
        <v>6</v>
      </c>
      <c r="N925" s="25">
        <v>20022.03</v>
      </c>
      <c r="O925" s="25">
        <f t="shared" si="116"/>
        <v>120132.18</v>
      </c>
      <c r="P925" s="25">
        <v>12163.17</v>
      </c>
      <c r="Q925" s="25">
        <f t="shared" si="117"/>
        <v>72979.02</v>
      </c>
      <c r="R925" s="25">
        <f t="shared" si="118"/>
        <v>47153.159999999989</v>
      </c>
      <c r="S925" s="26">
        <f t="shared" si="119"/>
        <v>0.39251064951955417</v>
      </c>
    </row>
    <row r="926" spans="1:19" ht="15" x14ac:dyDescent="0.2">
      <c r="A926" s="23">
        <v>45896</v>
      </c>
      <c r="B926">
        <f t="shared" si="112"/>
        <v>2025</v>
      </c>
      <c r="C926">
        <f t="shared" si="113"/>
        <v>8</v>
      </c>
      <c r="D926" t="str">
        <f t="shared" si="114"/>
        <v>Agosto</v>
      </c>
      <c r="E926" t="str">
        <f t="shared" si="115"/>
        <v>T3</v>
      </c>
      <c r="F926" t="s">
        <v>1051</v>
      </c>
      <c r="G926" t="s">
        <v>105</v>
      </c>
      <c r="H926" t="s">
        <v>62</v>
      </c>
      <c r="I926" t="s">
        <v>106</v>
      </c>
      <c r="J926" t="s">
        <v>70</v>
      </c>
      <c r="K926" t="s">
        <v>71</v>
      </c>
      <c r="L926" t="s">
        <v>90</v>
      </c>
      <c r="M926" s="24">
        <v>71</v>
      </c>
      <c r="N926" s="25">
        <v>1749.94</v>
      </c>
      <c r="O926" s="25">
        <f t="shared" si="116"/>
        <v>124245.74</v>
      </c>
      <c r="P926" s="25">
        <v>1500.85</v>
      </c>
      <c r="Q926" s="25">
        <f t="shared" si="117"/>
        <v>106560.34999999999</v>
      </c>
      <c r="R926" s="25">
        <f t="shared" si="118"/>
        <v>17685.390000000014</v>
      </c>
      <c r="S926" s="26">
        <f t="shared" si="119"/>
        <v>0.14234202315507971</v>
      </c>
    </row>
    <row r="927" spans="1:19" ht="15" x14ac:dyDescent="0.2">
      <c r="A927" s="23">
        <v>45896</v>
      </c>
      <c r="B927">
        <f t="shared" si="112"/>
        <v>2025</v>
      </c>
      <c r="C927">
        <f t="shared" si="113"/>
        <v>8</v>
      </c>
      <c r="D927" t="str">
        <f t="shared" si="114"/>
        <v>Agosto</v>
      </c>
      <c r="E927" t="str">
        <f t="shared" si="115"/>
        <v>T3</v>
      </c>
      <c r="F927" t="s">
        <v>1052</v>
      </c>
      <c r="G927" t="s">
        <v>74</v>
      </c>
      <c r="H927" t="s">
        <v>75</v>
      </c>
      <c r="I927" t="s">
        <v>76</v>
      </c>
      <c r="J927" t="s">
        <v>77</v>
      </c>
      <c r="K927" t="s">
        <v>78</v>
      </c>
      <c r="L927" t="s">
        <v>79</v>
      </c>
      <c r="M927" s="24">
        <v>15</v>
      </c>
      <c r="N927" s="25">
        <v>40621.67</v>
      </c>
      <c r="O927" s="25">
        <f t="shared" si="116"/>
        <v>609325.04999999993</v>
      </c>
      <c r="P927" s="25">
        <v>27269.87</v>
      </c>
      <c r="Q927" s="25">
        <f t="shared" si="117"/>
        <v>409048.05</v>
      </c>
      <c r="R927" s="25">
        <f t="shared" si="118"/>
        <v>200276.99999999994</v>
      </c>
      <c r="S927" s="26">
        <f t="shared" si="119"/>
        <v>0.32868663449828622</v>
      </c>
    </row>
    <row r="928" spans="1:19" ht="15" x14ac:dyDescent="0.2">
      <c r="A928" s="23">
        <v>45896</v>
      </c>
      <c r="B928">
        <f t="shared" si="112"/>
        <v>2025</v>
      </c>
      <c r="C928">
        <f t="shared" si="113"/>
        <v>8</v>
      </c>
      <c r="D928" t="str">
        <f t="shared" si="114"/>
        <v>Agosto</v>
      </c>
      <c r="E928" t="str">
        <f t="shared" si="115"/>
        <v>T3</v>
      </c>
      <c r="F928" t="s">
        <v>1053</v>
      </c>
      <c r="G928" t="s">
        <v>114</v>
      </c>
      <c r="H928" t="s">
        <v>75</v>
      </c>
      <c r="I928" t="s">
        <v>115</v>
      </c>
      <c r="J928" t="s">
        <v>57</v>
      </c>
      <c r="K928" t="s">
        <v>58</v>
      </c>
      <c r="L928" t="s">
        <v>162</v>
      </c>
      <c r="M928" s="24">
        <v>2</v>
      </c>
      <c r="N928" s="25">
        <v>98204.71</v>
      </c>
      <c r="O928" s="25">
        <f t="shared" si="116"/>
        <v>196409.42</v>
      </c>
      <c r="P928" s="25">
        <v>68364.639999999999</v>
      </c>
      <c r="Q928" s="25">
        <f t="shared" si="117"/>
        <v>136729.28</v>
      </c>
      <c r="R928" s="25">
        <f t="shared" si="118"/>
        <v>59680.140000000014</v>
      </c>
      <c r="S928" s="26">
        <f t="shared" si="119"/>
        <v>0.30385579266004659</v>
      </c>
    </row>
    <row r="929" spans="1:19" ht="15" x14ac:dyDescent="0.2">
      <c r="A929" s="23">
        <v>45897</v>
      </c>
      <c r="B929">
        <f t="shared" si="112"/>
        <v>2025</v>
      </c>
      <c r="C929">
        <f t="shared" si="113"/>
        <v>8</v>
      </c>
      <c r="D929" t="str">
        <f t="shared" si="114"/>
        <v>Agosto</v>
      </c>
      <c r="E929" t="str">
        <f t="shared" si="115"/>
        <v>T3</v>
      </c>
      <c r="F929" t="s">
        <v>1054</v>
      </c>
      <c r="G929" t="s">
        <v>54</v>
      </c>
      <c r="H929" t="s">
        <v>55</v>
      </c>
      <c r="I929" t="s">
        <v>56</v>
      </c>
      <c r="J929" t="s">
        <v>77</v>
      </c>
      <c r="K929" t="s">
        <v>107</v>
      </c>
      <c r="L929" t="s">
        <v>112</v>
      </c>
      <c r="M929" s="24">
        <v>10</v>
      </c>
      <c r="N929" s="25">
        <v>61026.18</v>
      </c>
      <c r="O929" s="25">
        <f t="shared" si="116"/>
        <v>610261.80000000005</v>
      </c>
      <c r="P929" s="25">
        <v>43107.53</v>
      </c>
      <c r="Q929" s="25">
        <f t="shared" si="117"/>
        <v>431075.3</v>
      </c>
      <c r="R929" s="25">
        <f t="shared" si="118"/>
        <v>179186.50000000006</v>
      </c>
      <c r="S929" s="26">
        <f t="shared" si="119"/>
        <v>0.29362234372198953</v>
      </c>
    </row>
    <row r="930" spans="1:19" ht="15" x14ac:dyDescent="0.2">
      <c r="A930" s="23">
        <v>45897</v>
      </c>
      <c r="B930">
        <f t="shared" si="112"/>
        <v>2025</v>
      </c>
      <c r="C930">
        <f t="shared" si="113"/>
        <v>8</v>
      </c>
      <c r="D930" t="str">
        <f t="shared" si="114"/>
        <v>Agosto</v>
      </c>
      <c r="E930" t="str">
        <f t="shared" si="115"/>
        <v>T3</v>
      </c>
      <c r="F930" t="s">
        <v>1055</v>
      </c>
      <c r="G930" t="s">
        <v>54</v>
      </c>
      <c r="H930" t="s">
        <v>55</v>
      </c>
      <c r="I930" t="s">
        <v>56</v>
      </c>
      <c r="J930" t="s">
        <v>57</v>
      </c>
      <c r="K930" t="s">
        <v>58</v>
      </c>
      <c r="L930" t="s">
        <v>59</v>
      </c>
      <c r="M930" s="24">
        <v>5</v>
      </c>
      <c r="N930" s="25">
        <v>55111.26</v>
      </c>
      <c r="O930" s="25">
        <f t="shared" si="116"/>
        <v>275556.3</v>
      </c>
      <c r="P930" s="25">
        <v>41225.11</v>
      </c>
      <c r="Q930" s="25">
        <f t="shared" si="117"/>
        <v>206125.55</v>
      </c>
      <c r="R930" s="25">
        <f t="shared" si="118"/>
        <v>69430.75</v>
      </c>
      <c r="S930" s="26">
        <f t="shared" si="119"/>
        <v>0.25196575073768956</v>
      </c>
    </row>
    <row r="931" spans="1:19" ht="15" x14ac:dyDescent="0.2">
      <c r="A931" s="23">
        <v>45897</v>
      </c>
      <c r="B931">
        <f t="shared" si="112"/>
        <v>2025</v>
      </c>
      <c r="C931">
        <f t="shared" si="113"/>
        <v>8</v>
      </c>
      <c r="D931" t="str">
        <f t="shared" si="114"/>
        <v>Agosto</v>
      </c>
      <c r="E931" t="str">
        <f t="shared" si="115"/>
        <v>T3</v>
      </c>
      <c r="F931" t="s">
        <v>1056</v>
      </c>
      <c r="G931" t="s">
        <v>68</v>
      </c>
      <c r="H931" t="s">
        <v>62</v>
      </c>
      <c r="I931" t="s">
        <v>69</v>
      </c>
      <c r="J931" t="s">
        <v>77</v>
      </c>
      <c r="K931" t="s">
        <v>107</v>
      </c>
      <c r="L931" t="s">
        <v>112</v>
      </c>
      <c r="M931" s="24">
        <v>162</v>
      </c>
      <c r="N931" s="25">
        <v>3325.23</v>
      </c>
      <c r="O931" s="25">
        <f t="shared" si="116"/>
        <v>538687.26</v>
      </c>
      <c r="P931" s="25">
        <v>2597.9899999999998</v>
      </c>
      <c r="Q931" s="25">
        <f t="shared" si="117"/>
        <v>420874.37999999995</v>
      </c>
      <c r="R931" s="25">
        <f t="shared" si="118"/>
        <v>117812.88000000006</v>
      </c>
      <c r="S931" s="26">
        <f t="shared" si="119"/>
        <v>0.21870366861841148</v>
      </c>
    </row>
    <row r="932" spans="1:19" ht="15" x14ac:dyDescent="0.2">
      <c r="A932" s="23">
        <v>45897</v>
      </c>
      <c r="B932">
        <f t="shared" si="112"/>
        <v>2025</v>
      </c>
      <c r="C932">
        <f t="shared" si="113"/>
        <v>8</v>
      </c>
      <c r="D932" t="str">
        <f t="shared" si="114"/>
        <v>Agosto</v>
      </c>
      <c r="E932" t="str">
        <f t="shared" si="115"/>
        <v>T3</v>
      </c>
      <c r="F932" t="s">
        <v>1057</v>
      </c>
      <c r="G932" t="s">
        <v>114</v>
      </c>
      <c r="H932" t="s">
        <v>75</v>
      </c>
      <c r="I932" t="s">
        <v>115</v>
      </c>
      <c r="J932" t="s">
        <v>64</v>
      </c>
      <c r="K932" t="s">
        <v>96</v>
      </c>
      <c r="L932" t="s">
        <v>103</v>
      </c>
      <c r="M932" s="24">
        <v>5</v>
      </c>
      <c r="N932" s="25">
        <v>94443.33</v>
      </c>
      <c r="O932" s="25">
        <f t="shared" si="116"/>
        <v>472216.65</v>
      </c>
      <c r="P932" s="25">
        <v>66686.009999999995</v>
      </c>
      <c r="Q932" s="25">
        <f t="shared" si="117"/>
        <v>333430.05</v>
      </c>
      <c r="R932" s="25">
        <f t="shared" si="118"/>
        <v>138786.60000000003</v>
      </c>
      <c r="S932" s="26">
        <f t="shared" si="119"/>
        <v>0.29390450336725743</v>
      </c>
    </row>
    <row r="933" spans="1:19" ht="15" x14ac:dyDescent="0.2">
      <c r="A933" s="23">
        <v>45897</v>
      </c>
      <c r="B933">
        <f t="shared" si="112"/>
        <v>2025</v>
      </c>
      <c r="C933">
        <f t="shared" si="113"/>
        <v>8</v>
      </c>
      <c r="D933" t="str">
        <f t="shared" si="114"/>
        <v>Agosto</v>
      </c>
      <c r="E933" t="str">
        <f t="shared" si="115"/>
        <v>T3</v>
      </c>
      <c r="F933" t="s">
        <v>1058</v>
      </c>
      <c r="G933" t="s">
        <v>74</v>
      </c>
      <c r="H933" t="s">
        <v>75</v>
      </c>
      <c r="I933" t="s">
        <v>76</v>
      </c>
      <c r="J933" t="s">
        <v>57</v>
      </c>
      <c r="K933" t="s">
        <v>81</v>
      </c>
      <c r="L933" t="s">
        <v>129</v>
      </c>
      <c r="M933" s="24">
        <v>7</v>
      </c>
      <c r="N933" s="25">
        <v>42202.96</v>
      </c>
      <c r="O933" s="25">
        <f t="shared" si="116"/>
        <v>295420.71999999997</v>
      </c>
      <c r="P933" s="25">
        <v>28149.99</v>
      </c>
      <c r="Q933" s="25">
        <f t="shared" si="117"/>
        <v>197049.93000000002</v>
      </c>
      <c r="R933" s="25">
        <f t="shared" si="118"/>
        <v>98370.78999999995</v>
      </c>
      <c r="S933" s="26">
        <f t="shared" si="119"/>
        <v>0.33298541144981286</v>
      </c>
    </row>
    <row r="934" spans="1:19" ht="15" x14ac:dyDescent="0.2">
      <c r="A934" s="23">
        <v>45897</v>
      </c>
      <c r="B934">
        <f t="shared" si="112"/>
        <v>2025</v>
      </c>
      <c r="C934">
        <f t="shared" si="113"/>
        <v>8</v>
      </c>
      <c r="D934" t="str">
        <f t="shared" si="114"/>
        <v>Agosto</v>
      </c>
      <c r="E934" t="str">
        <f t="shared" si="115"/>
        <v>T3</v>
      </c>
      <c r="F934" t="s">
        <v>1059</v>
      </c>
      <c r="G934" t="s">
        <v>87</v>
      </c>
      <c r="H934" t="s">
        <v>88</v>
      </c>
      <c r="I934" t="s">
        <v>89</v>
      </c>
      <c r="J934" t="s">
        <v>57</v>
      </c>
      <c r="K934" t="s">
        <v>81</v>
      </c>
      <c r="L934" t="s">
        <v>82</v>
      </c>
      <c r="M934" s="24">
        <v>8</v>
      </c>
      <c r="N934" s="25">
        <v>56212.35</v>
      </c>
      <c r="O934" s="25">
        <f t="shared" si="116"/>
        <v>449698.8</v>
      </c>
      <c r="P934" s="25">
        <v>31156.14</v>
      </c>
      <c r="Q934" s="25">
        <f t="shared" si="117"/>
        <v>249249.12</v>
      </c>
      <c r="R934" s="25">
        <f t="shared" si="118"/>
        <v>200449.68</v>
      </c>
      <c r="S934" s="26">
        <f t="shared" si="119"/>
        <v>0.44574208336780086</v>
      </c>
    </row>
    <row r="935" spans="1:19" ht="15" x14ac:dyDescent="0.2">
      <c r="A935" s="23">
        <v>45901</v>
      </c>
      <c r="B935">
        <f t="shared" si="112"/>
        <v>2025</v>
      </c>
      <c r="C935">
        <f t="shared" si="113"/>
        <v>9</v>
      </c>
      <c r="D935" t="str">
        <f t="shared" si="114"/>
        <v>Septiembre</v>
      </c>
      <c r="E935" t="str">
        <f t="shared" si="115"/>
        <v>T3</v>
      </c>
      <c r="F935" t="s">
        <v>1060</v>
      </c>
      <c r="G935" t="s">
        <v>74</v>
      </c>
      <c r="H935" t="s">
        <v>75</v>
      </c>
      <c r="I935" t="s">
        <v>76</v>
      </c>
      <c r="J935" t="s">
        <v>64</v>
      </c>
      <c r="K935" t="s">
        <v>65</v>
      </c>
      <c r="L935" t="s">
        <v>123</v>
      </c>
      <c r="M935" s="24">
        <v>27</v>
      </c>
      <c r="N935" s="25">
        <v>40152</v>
      </c>
      <c r="O935" s="25">
        <f t="shared" si="116"/>
        <v>1084104</v>
      </c>
      <c r="P935" s="25">
        <v>27528.21</v>
      </c>
      <c r="Q935" s="25">
        <f t="shared" si="117"/>
        <v>743261.66999999993</v>
      </c>
      <c r="R935" s="25">
        <f t="shared" si="118"/>
        <v>340842.33000000007</v>
      </c>
      <c r="S935" s="26">
        <f t="shared" si="119"/>
        <v>0.31440002988643162</v>
      </c>
    </row>
    <row r="936" spans="1:19" ht="15" x14ac:dyDescent="0.2">
      <c r="A936" s="23">
        <v>45901</v>
      </c>
      <c r="B936">
        <f t="shared" si="112"/>
        <v>2025</v>
      </c>
      <c r="C936">
        <f t="shared" si="113"/>
        <v>9</v>
      </c>
      <c r="D936" t="str">
        <f t="shared" si="114"/>
        <v>Septiembre</v>
      </c>
      <c r="E936" t="str">
        <f t="shared" si="115"/>
        <v>T3</v>
      </c>
      <c r="F936" t="s">
        <v>1061</v>
      </c>
      <c r="G936" t="s">
        <v>144</v>
      </c>
      <c r="H936" t="s">
        <v>88</v>
      </c>
      <c r="I936" t="s">
        <v>145</v>
      </c>
      <c r="J936" t="s">
        <v>77</v>
      </c>
      <c r="K936" t="s">
        <v>78</v>
      </c>
      <c r="L936" t="s">
        <v>117</v>
      </c>
      <c r="M936" s="24">
        <v>8</v>
      </c>
      <c r="N936" s="25">
        <v>13462.44</v>
      </c>
      <c r="O936" s="25">
        <f t="shared" si="116"/>
        <v>107699.52</v>
      </c>
      <c r="P936" s="25">
        <v>7216.29</v>
      </c>
      <c r="Q936" s="25">
        <f t="shared" si="117"/>
        <v>57730.32</v>
      </c>
      <c r="R936" s="25">
        <f t="shared" si="118"/>
        <v>49969.200000000004</v>
      </c>
      <c r="S936" s="26">
        <f t="shared" si="119"/>
        <v>0.46396864164297114</v>
      </c>
    </row>
    <row r="937" spans="1:19" ht="15" x14ac:dyDescent="0.2">
      <c r="A937" s="23">
        <v>45901</v>
      </c>
      <c r="B937">
        <f t="shared" si="112"/>
        <v>2025</v>
      </c>
      <c r="C937">
        <f t="shared" si="113"/>
        <v>9</v>
      </c>
      <c r="D937" t="str">
        <f t="shared" si="114"/>
        <v>Septiembre</v>
      </c>
      <c r="E937" t="str">
        <f t="shared" si="115"/>
        <v>T3</v>
      </c>
      <c r="F937" t="s">
        <v>1062</v>
      </c>
      <c r="G937" t="s">
        <v>149</v>
      </c>
      <c r="H937" t="s">
        <v>93</v>
      </c>
      <c r="I937" t="s">
        <v>150</v>
      </c>
      <c r="J937" t="s">
        <v>125</v>
      </c>
      <c r="K937" t="s">
        <v>138</v>
      </c>
      <c r="L937" t="s">
        <v>142</v>
      </c>
      <c r="M937" s="24">
        <v>2</v>
      </c>
      <c r="N937" s="25">
        <v>56987.47</v>
      </c>
      <c r="O937" s="25">
        <f t="shared" si="116"/>
        <v>113974.94</v>
      </c>
      <c r="P937" s="25">
        <v>32117.919999999998</v>
      </c>
      <c r="Q937" s="25">
        <f t="shared" si="117"/>
        <v>64235.839999999997</v>
      </c>
      <c r="R937" s="25">
        <f t="shared" si="118"/>
        <v>49739.100000000006</v>
      </c>
      <c r="S937" s="26">
        <f t="shared" si="119"/>
        <v>0.43640382701671093</v>
      </c>
    </row>
    <row r="938" spans="1:19" ht="15" x14ac:dyDescent="0.2">
      <c r="A938" s="23">
        <v>45902</v>
      </c>
      <c r="B938">
        <f t="shared" si="112"/>
        <v>2025</v>
      </c>
      <c r="C938">
        <f t="shared" si="113"/>
        <v>9</v>
      </c>
      <c r="D938" t="str">
        <f t="shared" si="114"/>
        <v>Septiembre</v>
      </c>
      <c r="E938" t="str">
        <f t="shared" si="115"/>
        <v>T3</v>
      </c>
      <c r="F938" t="s">
        <v>1063</v>
      </c>
      <c r="G938" t="s">
        <v>188</v>
      </c>
      <c r="H938" t="s">
        <v>88</v>
      </c>
      <c r="I938" t="s">
        <v>189</v>
      </c>
      <c r="J938" t="s">
        <v>64</v>
      </c>
      <c r="K938" t="s">
        <v>65</v>
      </c>
      <c r="L938" t="s">
        <v>66</v>
      </c>
      <c r="M938" s="24">
        <v>14</v>
      </c>
      <c r="N938" s="25">
        <v>72243.320000000007</v>
      </c>
      <c r="O938" s="25">
        <f t="shared" si="116"/>
        <v>1011406.4800000001</v>
      </c>
      <c r="P938" s="25">
        <v>40898.83</v>
      </c>
      <c r="Q938" s="25">
        <f t="shared" si="117"/>
        <v>572583.62</v>
      </c>
      <c r="R938" s="25">
        <f t="shared" si="118"/>
        <v>438822.8600000001</v>
      </c>
      <c r="S938" s="26">
        <f t="shared" si="119"/>
        <v>0.4338738861945991</v>
      </c>
    </row>
    <row r="939" spans="1:19" ht="15" x14ac:dyDescent="0.2">
      <c r="A939" s="23">
        <v>45902</v>
      </c>
      <c r="B939">
        <f t="shared" si="112"/>
        <v>2025</v>
      </c>
      <c r="C939">
        <f t="shared" si="113"/>
        <v>9</v>
      </c>
      <c r="D939" t="str">
        <f t="shared" si="114"/>
        <v>Septiembre</v>
      </c>
      <c r="E939" t="str">
        <f t="shared" si="115"/>
        <v>T3</v>
      </c>
      <c r="F939" t="s">
        <v>1064</v>
      </c>
      <c r="G939" t="s">
        <v>144</v>
      </c>
      <c r="H939" t="s">
        <v>88</v>
      </c>
      <c r="I939" t="s">
        <v>145</v>
      </c>
      <c r="J939" t="s">
        <v>125</v>
      </c>
      <c r="K939" t="s">
        <v>126</v>
      </c>
      <c r="L939" t="s">
        <v>127</v>
      </c>
      <c r="M939" s="24">
        <v>15</v>
      </c>
      <c r="N939" s="25">
        <v>12396.13</v>
      </c>
      <c r="O939" s="25">
        <f t="shared" si="116"/>
        <v>185941.94999999998</v>
      </c>
      <c r="P939" s="25">
        <v>6964.58</v>
      </c>
      <c r="Q939" s="25">
        <f t="shared" si="117"/>
        <v>104468.7</v>
      </c>
      <c r="R939" s="25">
        <f t="shared" si="118"/>
        <v>81473.249999999985</v>
      </c>
      <c r="S939" s="26">
        <f t="shared" si="119"/>
        <v>0.43816497568192653</v>
      </c>
    </row>
    <row r="940" spans="1:19" ht="15" x14ac:dyDescent="0.2">
      <c r="A940" s="23">
        <v>45903</v>
      </c>
      <c r="B940">
        <f t="shared" si="112"/>
        <v>2025</v>
      </c>
      <c r="C940">
        <f t="shared" si="113"/>
        <v>9</v>
      </c>
      <c r="D940" t="str">
        <f t="shared" si="114"/>
        <v>Septiembre</v>
      </c>
      <c r="E940" t="str">
        <f t="shared" si="115"/>
        <v>T3</v>
      </c>
      <c r="F940" t="s">
        <v>1065</v>
      </c>
      <c r="G940" t="s">
        <v>188</v>
      </c>
      <c r="H940" t="s">
        <v>88</v>
      </c>
      <c r="I940" t="s">
        <v>189</v>
      </c>
      <c r="J940" t="s">
        <v>125</v>
      </c>
      <c r="K940" t="s">
        <v>138</v>
      </c>
      <c r="L940" t="s">
        <v>139</v>
      </c>
      <c r="M940" s="24">
        <v>3</v>
      </c>
      <c r="N940" s="25">
        <v>71343.509999999995</v>
      </c>
      <c r="O940" s="25">
        <f t="shared" si="116"/>
        <v>214030.52999999997</v>
      </c>
      <c r="P940" s="25">
        <v>37956.61</v>
      </c>
      <c r="Q940" s="25">
        <f t="shared" si="117"/>
        <v>113869.83</v>
      </c>
      <c r="R940" s="25">
        <f t="shared" si="118"/>
        <v>100160.69999999997</v>
      </c>
      <c r="S940" s="26">
        <f t="shared" si="119"/>
        <v>0.46797389138829859</v>
      </c>
    </row>
    <row r="941" spans="1:19" ht="15" x14ac:dyDescent="0.2">
      <c r="A941" s="23">
        <v>45903</v>
      </c>
      <c r="B941">
        <f t="shared" si="112"/>
        <v>2025</v>
      </c>
      <c r="C941">
        <f t="shared" si="113"/>
        <v>9</v>
      </c>
      <c r="D941" t="str">
        <f t="shared" si="114"/>
        <v>Septiembre</v>
      </c>
      <c r="E941" t="str">
        <f t="shared" si="115"/>
        <v>T3</v>
      </c>
      <c r="F941" t="s">
        <v>1066</v>
      </c>
      <c r="G941" t="s">
        <v>100</v>
      </c>
      <c r="H941" t="s">
        <v>88</v>
      </c>
      <c r="I941" t="s">
        <v>101</v>
      </c>
      <c r="J941" t="s">
        <v>70</v>
      </c>
      <c r="K941" t="s">
        <v>71</v>
      </c>
      <c r="L941" t="s">
        <v>90</v>
      </c>
      <c r="M941" s="24">
        <v>7</v>
      </c>
      <c r="N941" s="25">
        <v>36027.839999999997</v>
      </c>
      <c r="O941" s="25">
        <f t="shared" si="116"/>
        <v>252194.87999999998</v>
      </c>
      <c r="P941" s="25">
        <v>21239.06</v>
      </c>
      <c r="Q941" s="25">
        <f t="shared" si="117"/>
        <v>148673.42000000001</v>
      </c>
      <c r="R941" s="25">
        <f t="shared" si="118"/>
        <v>103521.45999999996</v>
      </c>
      <c r="S941" s="26">
        <f t="shared" si="119"/>
        <v>0.41048200502722326</v>
      </c>
    </row>
    <row r="942" spans="1:19" ht="15" x14ac:dyDescent="0.2">
      <c r="A942" s="23">
        <v>45904</v>
      </c>
      <c r="B942">
        <f t="shared" si="112"/>
        <v>2025</v>
      </c>
      <c r="C942">
        <f t="shared" si="113"/>
        <v>9</v>
      </c>
      <c r="D942" t="str">
        <f t="shared" si="114"/>
        <v>Septiembre</v>
      </c>
      <c r="E942" t="str">
        <f t="shared" si="115"/>
        <v>T3</v>
      </c>
      <c r="F942" t="s">
        <v>1067</v>
      </c>
      <c r="G942" t="s">
        <v>54</v>
      </c>
      <c r="H942" t="s">
        <v>55</v>
      </c>
      <c r="I942" t="s">
        <v>56</v>
      </c>
      <c r="J942" t="s">
        <v>64</v>
      </c>
      <c r="K942" t="s">
        <v>96</v>
      </c>
      <c r="L942" t="s">
        <v>97</v>
      </c>
      <c r="M942" s="24">
        <v>17</v>
      </c>
      <c r="N942" s="25">
        <v>56443.39</v>
      </c>
      <c r="O942" s="25">
        <f t="shared" si="116"/>
        <v>959537.63</v>
      </c>
      <c r="P942" s="25">
        <v>43029.85</v>
      </c>
      <c r="Q942" s="25">
        <f t="shared" si="117"/>
        <v>731507.45</v>
      </c>
      <c r="R942" s="25">
        <f t="shared" si="118"/>
        <v>228030.18000000005</v>
      </c>
      <c r="S942" s="26">
        <f t="shared" si="119"/>
        <v>0.23764589618022594</v>
      </c>
    </row>
    <row r="943" spans="1:19" ht="15" x14ac:dyDescent="0.2">
      <c r="A943" s="23">
        <v>45904</v>
      </c>
      <c r="B943">
        <f t="shared" si="112"/>
        <v>2025</v>
      </c>
      <c r="C943">
        <f t="shared" si="113"/>
        <v>9</v>
      </c>
      <c r="D943" t="str">
        <f t="shared" si="114"/>
        <v>Septiembre</v>
      </c>
      <c r="E943" t="str">
        <f t="shared" si="115"/>
        <v>T3</v>
      </c>
      <c r="F943" t="s">
        <v>1068</v>
      </c>
      <c r="G943" t="s">
        <v>105</v>
      </c>
      <c r="H943" t="s">
        <v>62</v>
      </c>
      <c r="I943" t="s">
        <v>106</v>
      </c>
      <c r="J943" t="s">
        <v>125</v>
      </c>
      <c r="K943" t="s">
        <v>138</v>
      </c>
      <c r="L943" t="s">
        <v>139</v>
      </c>
      <c r="M943" s="24">
        <v>119</v>
      </c>
      <c r="N943" s="25">
        <v>1854.28</v>
      </c>
      <c r="O943" s="25">
        <f t="shared" si="116"/>
        <v>220659.32</v>
      </c>
      <c r="P943" s="25">
        <v>1505.96</v>
      </c>
      <c r="Q943" s="25">
        <f t="shared" si="117"/>
        <v>179209.24</v>
      </c>
      <c r="R943" s="25">
        <f t="shared" si="118"/>
        <v>41450.080000000016</v>
      </c>
      <c r="S943" s="26">
        <f t="shared" si="119"/>
        <v>0.18784649567487119</v>
      </c>
    </row>
    <row r="944" spans="1:19" ht="15" x14ac:dyDescent="0.2">
      <c r="A944" s="23">
        <v>45904</v>
      </c>
      <c r="B944">
        <f t="shared" si="112"/>
        <v>2025</v>
      </c>
      <c r="C944">
        <f t="shared" si="113"/>
        <v>9</v>
      </c>
      <c r="D944" t="str">
        <f t="shared" si="114"/>
        <v>Septiembre</v>
      </c>
      <c r="E944" t="str">
        <f t="shared" si="115"/>
        <v>T3</v>
      </c>
      <c r="F944" t="s">
        <v>1069</v>
      </c>
      <c r="G944" t="s">
        <v>114</v>
      </c>
      <c r="H944" t="s">
        <v>75</v>
      </c>
      <c r="I944" t="s">
        <v>115</v>
      </c>
      <c r="J944" t="s">
        <v>125</v>
      </c>
      <c r="K944" t="s">
        <v>138</v>
      </c>
      <c r="L944" t="s">
        <v>139</v>
      </c>
      <c r="M944" s="24">
        <v>2</v>
      </c>
      <c r="N944" s="25">
        <v>102860.27</v>
      </c>
      <c r="O944" s="25">
        <f t="shared" si="116"/>
        <v>205720.54</v>
      </c>
      <c r="P944" s="25">
        <v>68542.33</v>
      </c>
      <c r="Q944" s="25">
        <f t="shared" si="117"/>
        <v>137084.66</v>
      </c>
      <c r="R944" s="25">
        <f t="shared" si="118"/>
        <v>68635.88</v>
      </c>
      <c r="S944" s="26">
        <f t="shared" si="119"/>
        <v>0.33363649541266033</v>
      </c>
    </row>
    <row r="945" spans="1:19" ht="15" x14ac:dyDescent="0.2">
      <c r="A945" s="23">
        <v>45904</v>
      </c>
      <c r="B945">
        <f t="shared" si="112"/>
        <v>2025</v>
      </c>
      <c r="C945">
        <f t="shared" si="113"/>
        <v>9</v>
      </c>
      <c r="D945" t="str">
        <f t="shared" si="114"/>
        <v>Septiembre</v>
      </c>
      <c r="E945" t="str">
        <f t="shared" si="115"/>
        <v>T3</v>
      </c>
      <c r="F945" t="s">
        <v>1070</v>
      </c>
      <c r="G945" t="s">
        <v>74</v>
      </c>
      <c r="H945" t="s">
        <v>75</v>
      </c>
      <c r="I945" t="s">
        <v>76</v>
      </c>
      <c r="J945" t="s">
        <v>125</v>
      </c>
      <c r="K945" t="s">
        <v>126</v>
      </c>
      <c r="L945" t="s">
        <v>127</v>
      </c>
      <c r="M945" s="24">
        <v>5</v>
      </c>
      <c r="N945" s="25">
        <v>40321.47</v>
      </c>
      <c r="O945" s="25">
        <f t="shared" si="116"/>
        <v>201607.35</v>
      </c>
      <c r="P945" s="25">
        <v>27634.89</v>
      </c>
      <c r="Q945" s="25">
        <f t="shared" si="117"/>
        <v>138174.45000000001</v>
      </c>
      <c r="R945" s="25">
        <f t="shared" si="118"/>
        <v>63432.899999999994</v>
      </c>
      <c r="S945" s="26">
        <f t="shared" si="119"/>
        <v>0.31463585032986147</v>
      </c>
    </row>
    <row r="946" spans="1:19" ht="15" x14ac:dyDescent="0.2">
      <c r="A946" s="23">
        <v>45905</v>
      </c>
      <c r="B946">
        <f t="shared" si="112"/>
        <v>2025</v>
      </c>
      <c r="C946">
        <f t="shared" si="113"/>
        <v>9</v>
      </c>
      <c r="D946" t="str">
        <f t="shared" si="114"/>
        <v>Septiembre</v>
      </c>
      <c r="E946" t="str">
        <f t="shared" si="115"/>
        <v>T3</v>
      </c>
      <c r="F946" t="s">
        <v>1071</v>
      </c>
      <c r="G946" t="s">
        <v>54</v>
      </c>
      <c r="H946" t="s">
        <v>55</v>
      </c>
      <c r="I946" t="s">
        <v>56</v>
      </c>
      <c r="J946" t="s">
        <v>77</v>
      </c>
      <c r="K946" t="s">
        <v>107</v>
      </c>
      <c r="L946" t="s">
        <v>112</v>
      </c>
      <c r="M946" s="24">
        <v>12</v>
      </c>
      <c r="N946" s="25">
        <v>60776.68</v>
      </c>
      <c r="O946" s="25">
        <f t="shared" si="116"/>
        <v>729320.16</v>
      </c>
      <c r="P946" s="25">
        <v>43021.69</v>
      </c>
      <c r="Q946" s="25">
        <f t="shared" si="117"/>
        <v>516260.28</v>
      </c>
      <c r="R946" s="25">
        <f t="shared" si="118"/>
        <v>213059.88</v>
      </c>
      <c r="S946" s="26">
        <f t="shared" si="119"/>
        <v>0.29213491095597849</v>
      </c>
    </row>
    <row r="947" spans="1:19" ht="15" x14ac:dyDescent="0.2">
      <c r="A947" s="23">
        <v>45905</v>
      </c>
      <c r="B947">
        <f t="shared" si="112"/>
        <v>2025</v>
      </c>
      <c r="C947">
        <f t="shared" si="113"/>
        <v>9</v>
      </c>
      <c r="D947" t="str">
        <f t="shared" si="114"/>
        <v>Septiembre</v>
      </c>
      <c r="E947" t="str">
        <f t="shared" si="115"/>
        <v>T3</v>
      </c>
      <c r="F947" t="s">
        <v>1072</v>
      </c>
      <c r="G947" t="s">
        <v>110</v>
      </c>
      <c r="H947" t="s">
        <v>62</v>
      </c>
      <c r="I947" t="s">
        <v>69</v>
      </c>
      <c r="J947" t="s">
        <v>70</v>
      </c>
      <c r="K947" t="s">
        <v>71</v>
      </c>
      <c r="L947" t="s">
        <v>90</v>
      </c>
      <c r="M947" s="24">
        <v>61</v>
      </c>
      <c r="N947" s="25">
        <v>6219.17</v>
      </c>
      <c r="O947" s="25">
        <f t="shared" si="116"/>
        <v>379369.37</v>
      </c>
      <c r="P947" s="25">
        <v>5373.76</v>
      </c>
      <c r="Q947" s="25">
        <f t="shared" si="117"/>
        <v>327799.36</v>
      </c>
      <c r="R947" s="25">
        <f t="shared" si="118"/>
        <v>51570.010000000009</v>
      </c>
      <c r="S947" s="26">
        <f t="shared" si="119"/>
        <v>0.13593614582010141</v>
      </c>
    </row>
    <row r="948" spans="1:19" ht="15" x14ac:dyDescent="0.2">
      <c r="A948" s="23">
        <v>45905</v>
      </c>
      <c r="B948">
        <f t="shared" si="112"/>
        <v>2025</v>
      </c>
      <c r="C948">
        <f t="shared" si="113"/>
        <v>9</v>
      </c>
      <c r="D948" t="str">
        <f t="shared" si="114"/>
        <v>Septiembre</v>
      </c>
      <c r="E948" t="str">
        <f t="shared" si="115"/>
        <v>T3</v>
      </c>
      <c r="F948" t="s">
        <v>1073</v>
      </c>
      <c r="G948" t="s">
        <v>92</v>
      </c>
      <c r="H948" t="s">
        <v>93</v>
      </c>
      <c r="I948" t="s">
        <v>94</v>
      </c>
      <c r="J948" t="s">
        <v>57</v>
      </c>
      <c r="K948" t="s">
        <v>58</v>
      </c>
      <c r="L948" t="s">
        <v>59</v>
      </c>
      <c r="M948" s="24">
        <v>7</v>
      </c>
      <c r="N948" s="25">
        <v>19537.96</v>
      </c>
      <c r="O948" s="25">
        <f t="shared" si="116"/>
        <v>136765.72</v>
      </c>
      <c r="P948" s="25">
        <v>11630.26</v>
      </c>
      <c r="Q948" s="25">
        <f t="shared" si="117"/>
        <v>81411.820000000007</v>
      </c>
      <c r="R948" s="25">
        <f t="shared" si="118"/>
        <v>55353.899999999994</v>
      </c>
      <c r="S948" s="26">
        <f t="shared" si="119"/>
        <v>0.40473519241517536</v>
      </c>
    </row>
    <row r="949" spans="1:19" ht="15" x14ac:dyDescent="0.2">
      <c r="A949" s="23">
        <v>45906</v>
      </c>
      <c r="B949">
        <f t="shared" si="112"/>
        <v>2025</v>
      </c>
      <c r="C949">
        <f t="shared" si="113"/>
        <v>9</v>
      </c>
      <c r="D949" t="str">
        <f t="shared" si="114"/>
        <v>Septiembre</v>
      </c>
      <c r="E949" t="str">
        <f t="shared" si="115"/>
        <v>T3</v>
      </c>
      <c r="F949" t="s">
        <v>1074</v>
      </c>
      <c r="G949" t="s">
        <v>54</v>
      </c>
      <c r="H949" t="s">
        <v>55</v>
      </c>
      <c r="I949" t="s">
        <v>56</v>
      </c>
      <c r="J949" t="s">
        <v>57</v>
      </c>
      <c r="K949" t="s">
        <v>81</v>
      </c>
      <c r="L949" t="s">
        <v>82</v>
      </c>
      <c r="M949" s="24">
        <v>10</v>
      </c>
      <c r="N949" s="25">
        <v>58056.81</v>
      </c>
      <c r="O949" s="25">
        <f t="shared" si="116"/>
        <v>580568.1</v>
      </c>
      <c r="P949" s="25">
        <v>43470.86</v>
      </c>
      <c r="Q949" s="25">
        <f t="shared" si="117"/>
        <v>434708.6</v>
      </c>
      <c r="R949" s="25">
        <f t="shared" si="118"/>
        <v>145859.5</v>
      </c>
      <c r="S949" s="26">
        <f t="shared" si="119"/>
        <v>0.2512358154021897</v>
      </c>
    </row>
    <row r="950" spans="1:19" ht="15" x14ac:dyDescent="0.2">
      <c r="A950" s="23">
        <v>45906</v>
      </c>
      <c r="B950">
        <f t="shared" si="112"/>
        <v>2025</v>
      </c>
      <c r="C950">
        <f t="shared" si="113"/>
        <v>9</v>
      </c>
      <c r="D950" t="str">
        <f t="shared" si="114"/>
        <v>Septiembre</v>
      </c>
      <c r="E950" t="str">
        <f t="shared" si="115"/>
        <v>T3</v>
      </c>
      <c r="F950" t="s">
        <v>1075</v>
      </c>
      <c r="G950" t="s">
        <v>54</v>
      </c>
      <c r="H950" t="s">
        <v>55</v>
      </c>
      <c r="I950" t="s">
        <v>56</v>
      </c>
      <c r="J950" t="s">
        <v>57</v>
      </c>
      <c r="K950" t="s">
        <v>58</v>
      </c>
      <c r="L950" t="s">
        <v>59</v>
      </c>
      <c r="M950" s="24">
        <v>7</v>
      </c>
      <c r="N950" s="25">
        <v>57493.87</v>
      </c>
      <c r="O950" s="25">
        <f t="shared" si="116"/>
        <v>402457.09</v>
      </c>
      <c r="P950" s="25">
        <v>43621.01</v>
      </c>
      <c r="Q950" s="25">
        <f t="shared" si="117"/>
        <v>305347.07</v>
      </c>
      <c r="R950" s="25">
        <f t="shared" si="118"/>
        <v>97110.020000000019</v>
      </c>
      <c r="S950" s="26">
        <f t="shared" si="119"/>
        <v>0.24129285435125522</v>
      </c>
    </row>
    <row r="951" spans="1:19" ht="15" x14ac:dyDescent="0.2">
      <c r="A951" s="23">
        <v>45906</v>
      </c>
      <c r="B951">
        <f t="shared" si="112"/>
        <v>2025</v>
      </c>
      <c r="C951">
        <f t="shared" si="113"/>
        <v>9</v>
      </c>
      <c r="D951" t="str">
        <f t="shared" si="114"/>
        <v>Septiembre</v>
      </c>
      <c r="E951" t="str">
        <f t="shared" si="115"/>
        <v>T3</v>
      </c>
      <c r="F951" t="s">
        <v>1076</v>
      </c>
      <c r="G951" t="s">
        <v>74</v>
      </c>
      <c r="H951" t="s">
        <v>75</v>
      </c>
      <c r="I951" t="s">
        <v>76</v>
      </c>
      <c r="J951" t="s">
        <v>70</v>
      </c>
      <c r="K951" t="s">
        <v>71</v>
      </c>
      <c r="L951" t="s">
        <v>72</v>
      </c>
      <c r="M951" s="24">
        <v>3</v>
      </c>
      <c r="N951" s="25">
        <v>38824.86</v>
      </c>
      <c r="O951" s="25">
        <f t="shared" si="116"/>
        <v>116474.58</v>
      </c>
      <c r="P951" s="25">
        <v>28355.94</v>
      </c>
      <c r="Q951" s="25">
        <f t="shared" si="117"/>
        <v>85067.819999999992</v>
      </c>
      <c r="R951" s="25">
        <f t="shared" si="118"/>
        <v>31406.760000000009</v>
      </c>
      <c r="S951" s="26">
        <f t="shared" si="119"/>
        <v>0.26964475853873016</v>
      </c>
    </row>
    <row r="952" spans="1:19" ht="15" x14ac:dyDescent="0.2">
      <c r="A952" s="23">
        <v>45906</v>
      </c>
      <c r="B952">
        <f t="shared" si="112"/>
        <v>2025</v>
      </c>
      <c r="C952">
        <f t="shared" si="113"/>
        <v>9</v>
      </c>
      <c r="D952" t="str">
        <f t="shared" si="114"/>
        <v>Septiembre</v>
      </c>
      <c r="E952" t="str">
        <f t="shared" si="115"/>
        <v>T3</v>
      </c>
      <c r="F952" t="s">
        <v>1077</v>
      </c>
      <c r="G952" t="s">
        <v>92</v>
      </c>
      <c r="H952" t="s">
        <v>93</v>
      </c>
      <c r="I952" t="s">
        <v>94</v>
      </c>
      <c r="J952" t="s">
        <v>77</v>
      </c>
      <c r="K952" t="s">
        <v>78</v>
      </c>
      <c r="L952" t="s">
        <v>79</v>
      </c>
      <c r="M952" s="24">
        <v>6</v>
      </c>
      <c r="N952" s="25">
        <v>19244.080000000002</v>
      </c>
      <c r="O952" s="25">
        <f t="shared" si="116"/>
        <v>115464.48000000001</v>
      </c>
      <c r="P952" s="25">
        <v>11004.06</v>
      </c>
      <c r="Q952" s="25">
        <f t="shared" si="117"/>
        <v>66024.36</v>
      </c>
      <c r="R952" s="25">
        <f t="shared" si="118"/>
        <v>49440.12000000001</v>
      </c>
      <c r="S952" s="26">
        <f t="shared" si="119"/>
        <v>0.42818466770040453</v>
      </c>
    </row>
    <row r="953" spans="1:19" ht="15" x14ac:dyDescent="0.2">
      <c r="A953" s="23">
        <v>45906</v>
      </c>
      <c r="B953">
        <f t="shared" si="112"/>
        <v>2025</v>
      </c>
      <c r="C953">
        <f t="shared" si="113"/>
        <v>9</v>
      </c>
      <c r="D953" t="str">
        <f t="shared" si="114"/>
        <v>Septiembre</v>
      </c>
      <c r="E953" t="str">
        <f t="shared" si="115"/>
        <v>T3</v>
      </c>
      <c r="F953" t="s">
        <v>1078</v>
      </c>
      <c r="G953" t="s">
        <v>149</v>
      </c>
      <c r="H953" t="s">
        <v>93</v>
      </c>
      <c r="I953" t="s">
        <v>150</v>
      </c>
      <c r="J953" t="s">
        <v>57</v>
      </c>
      <c r="K953" t="s">
        <v>58</v>
      </c>
      <c r="L953" t="s">
        <v>162</v>
      </c>
      <c r="M953" s="24">
        <v>3</v>
      </c>
      <c r="N953" s="25">
        <v>37097.089999999997</v>
      </c>
      <c r="O953" s="25">
        <f t="shared" si="116"/>
        <v>111291.26999999999</v>
      </c>
      <c r="P953" s="25">
        <v>22486.78</v>
      </c>
      <c r="Q953" s="25">
        <f t="shared" si="117"/>
        <v>67460.34</v>
      </c>
      <c r="R953" s="25">
        <f t="shared" si="118"/>
        <v>43830.929999999993</v>
      </c>
      <c r="S953" s="26">
        <f t="shared" si="119"/>
        <v>0.39383978635521005</v>
      </c>
    </row>
    <row r="954" spans="1:19" ht="15" x14ac:dyDescent="0.2">
      <c r="A954" s="23">
        <v>45907</v>
      </c>
      <c r="B954">
        <f t="shared" si="112"/>
        <v>2025</v>
      </c>
      <c r="C954">
        <f t="shared" si="113"/>
        <v>9</v>
      </c>
      <c r="D954" t="str">
        <f t="shared" si="114"/>
        <v>Septiembre</v>
      </c>
      <c r="E954" t="str">
        <f t="shared" si="115"/>
        <v>T3</v>
      </c>
      <c r="F954" t="s">
        <v>1079</v>
      </c>
      <c r="G954" t="s">
        <v>183</v>
      </c>
      <c r="H954" t="s">
        <v>55</v>
      </c>
      <c r="I954" t="s">
        <v>184</v>
      </c>
      <c r="J954" t="s">
        <v>57</v>
      </c>
      <c r="K954" t="s">
        <v>81</v>
      </c>
      <c r="L954" t="s">
        <v>82</v>
      </c>
      <c r="M954" s="24">
        <v>3</v>
      </c>
      <c r="N954" s="25">
        <v>380439.23</v>
      </c>
      <c r="O954" s="25">
        <f t="shared" si="116"/>
        <v>1141317.69</v>
      </c>
      <c r="P954" s="25">
        <v>284955.40000000002</v>
      </c>
      <c r="Q954" s="25">
        <f t="shared" si="117"/>
        <v>854866.20000000007</v>
      </c>
      <c r="R954" s="25">
        <f t="shared" si="118"/>
        <v>286451.48999999987</v>
      </c>
      <c r="S954" s="26">
        <f t="shared" si="119"/>
        <v>0.25098313336403283</v>
      </c>
    </row>
    <row r="955" spans="1:19" ht="15" x14ac:dyDescent="0.2">
      <c r="A955" s="23">
        <v>45907</v>
      </c>
      <c r="B955">
        <f t="shared" si="112"/>
        <v>2025</v>
      </c>
      <c r="C955">
        <f t="shared" si="113"/>
        <v>9</v>
      </c>
      <c r="D955" t="str">
        <f t="shared" si="114"/>
        <v>Septiembre</v>
      </c>
      <c r="E955" t="str">
        <f t="shared" si="115"/>
        <v>T3</v>
      </c>
      <c r="F955" t="s">
        <v>1080</v>
      </c>
      <c r="G955" t="s">
        <v>87</v>
      </c>
      <c r="H955" t="s">
        <v>88</v>
      </c>
      <c r="I955" t="s">
        <v>89</v>
      </c>
      <c r="J955" t="s">
        <v>57</v>
      </c>
      <c r="K955" t="s">
        <v>81</v>
      </c>
      <c r="L955" t="s">
        <v>129</v>
      </c>
      <c r="M955" s="24">
        <v>8</v>
      </c>
      <c r="N955" s="25">
        <v>58161.1</v>
      </c>
      <c r="O955" s="25">
        <f t="shared" si="116"/>
        <v>465288.8</v>
      </c>
      <c r="P955" s="25">
        <v>32975.94</v>
      </c>
      <c r="Q955" s="25">
        <f t="shared" si="117"/>
        <v>263807.52</v>
      </c>
      <c r="R955" s="25">
        <f t="shared" si="118"/>
        <v>201481.27999999997</v>
      </c>
      <c r="S955" s="26">
        <f t="shared" si="119"/>
        <v>0.43302413468796147</v>
      </c>
    </row>
    <row r="956" spans="1:19" ht="15" x14ac:dyDescent="0.2">
      <c r="A956" s="23">
        <v>45907</v>
      </c>
      <c r="B956">
        <f t="shared" si="112"/>
        <v>2025</v>
      </c>
      <c r="C956">
        <f t="shared" si="113"/>
        <v>9</v>
      </c>
      <c r="D956" t="str">
        <f t="shared" si="114"/>
        <v>Septiembre</v>
      </c>
      <c r="E956" t="str">
        <f t="shared" si="115"/>
        <v>T3</v>
      </c>
      <c r="F956" t="s">
        <v>1081</v>
      </c>
      <c r="G956" t="s">
        <v>92</v>
      </c>
      <c r="H956" t="s">
        <v>93</v>
      </c>
      <c r="I956" t="s">
        <v>94</v>
      </c>
      <c r="J956" t="s">
        <v>70</v>
      </c>
      <c r="K956" t="s">
        <v>84</v>
      </c>
      <c r="L956" t="s">
        <v>147</v>
      </c>
      <c r="M956" s="24">
        <v>6</v>
      </c>
      <c r="N956" s="25">
        <v>17687.04</v>
      </c>
      <c r="O956" s="25">
        <f t="shared" si="116"/>
        <v>106122.24000000001</v>
      </c>
      <c r="P956" s="25">
        <v>11118.07</v>
      </c>
      <c r="Q956" s="25">
        <f t="shared" si="117"/>
        <v>66708.42</v>
      </c>
      <c r="R956" s="25">
        <f t="shared" si="118"/>
        <v>39413.820000000007</v>
      </c>
      <c r="S956" s="26">
        <f t="shared" si="119"/>
        <v>0.37140018906498773</v>
      </c>
    </row>
    <row r="957" spans="1:19" ht="15" x14ac:dyDescent="0.2">
      <c r="A957" s="23">
        <v>45908</v>
      </c>
      <c r="B957">
        <f t="shared" si="112"/>
        <v>2025</v>
      </c>
      <c r="C957">
        <f t="shared" si="113"/>
        <v>9</v>
      </c>
      <c r="D957" t="str">
        <f t="shared" si="114"/>
        <v>Septiembre</v>
      </c>
      <c r="E957" t="str">
        <f t="shared" si="115"/>
        <v>T3</v>
      </c>
      <c r="F957" t="s">
        <v>1082</v>
      </c>
      <c r="G957" t="s">
        <v>61</v>
      </c>
      <c r="H957" t="s">
        <v>62</v>
      </c>
      <c r="I957" t="s">
        <v>63</v>
      </c>
      <c r="J957" t="s">
        <v>70</v>
      </c>
      <c r="K957" t="s">
        <v>84</v>
      </c>
      <c r="L957" t="s">
        <v>85</v>
      </c>
      <c r="M957" s="24">
        <v>81</v>
      </c>
      <c r="N957" s="25">
        <v>5632.56</v>
      </c>
      <c r="O957" s="25">
        <f t="shared" si="116"/>
        <v>456237.36000000004</v>
      </c>
      <c r="P957" s="25">
        <v>4787.43</v>
      </c>
      <c r="Q957" s="25">
        <f t="shared" si="117"/>
        <v>387781.83</v>
      </c>
      <c r="R957" s="25">
        <f t="shared" si="118"/>
        <v>68455.530000000028</v>
      </c>
      <c r="S957" s="26">
        <f t="shared" si="119"/>
        <v>0.15004367463462445</v>
      </c>
    </row>
    <row r="958" spans="1:19" ht="15" x14ac:dyDescent="0.2">
      <c r="A958" s="23">
        <v>45908</v>
      </c>
      <c r="B958">
        <f t="shared" si="112"/>
        <v>2025</v>
      </c>
      <c r="C958">
        <f t="shared" si="113"/>
        <v>9</v>
      </c>
      <c r="D958" t="str">
        <f t="shared" si="114"/>
        <v>Septiembre</v>
      </c>
      <c r="E958" t="str">
        <f t="shared" si="115"/>
        <v>T3</v>
      </c>
      <c r="F958" t="s">
        <v>1083</v>
      </c>
      <c r="G958" t="s">
        <v>74</v>
      </c>
      <c r="H958" t="s">
        <v>75</v>
      </c>
      <c r="I958" t="s">
        <v>76</v>
      </c>
      <c r="J958" t="s">
        <v>125</v>
      </c>
      <c r="K958" t="s">
        <v>126</v>
      </c>
      <c r="L958" t="s">
        <v>127</v>
      </c>
      <c r="M958" s="24">
        <v>3</v>
      </c>
      <c r="N958" s="25">
        <v>40925.72</v>
      </c>
      <c r="O958" s="25">
        <f t="shared" si="116"/>
        <v>122777.16</v>
      </c>
      <c r="P958" s="25">
        <v>27299.61</v>
      </c>
      <c r="Q958" s="25">
        <f t="shared" si="117"/>
        <v>81898.83</v>
      </c>
      <c r="R958" s="25">
        <f t="shared" si="118"/>
        <v>40878.33</v>
      </c>
      <c r="S958" s="26">
        <f t="shared" si="119"/>
        <v>0.3329473494907359</v>
      </c>
    </row>
    <row r="959" spans="1:19" ht="15" x14ac:dyDescent="0.2">
      <c r="A959" s="23">
        <v>45908</v>
      </c>
      <c r="B959">
        <f t="shared" si="112"/>
        <v>2025</v>
      </c>
      <c r="C959">
        <f t="shared" si="113"/>
        <v>9</v>
      </c>
      <c r="D959" t="str">
        <f t="shared" si="114"/>
        <v>Septiembre</v>
      </c>
      <c r="E959" t="str">
        <f t="shared" si="115"/>
        <v>T3</v>
      </c>
      <c r="F959" t="s">
        <v>1084</v>
      </c>
      <c r="G959" t="s">
        <v>149</v>
      </c>
      <c r="H959" t="s">
        <v>93</v>
      </c>
      <c r="I959" t="s">
        <v>150</v>
      </c>
      <c r="J959" t="s">
        <v>77</v>
      </c>
      <c r="K959" t="s">
        <v>78</v>
      </c>
      <c r="L959" t="s">
        <v>79</v>
      </c>
      <c r="M959" s="24">
        <v>7</v>
      </c>
      <c r="N959" s="25">
        <v>45376.74</v>
      </c>
      <c r="O959" s="25">
        <f t="shared" si="116"/>
        <v>317637.18</v>
      </c>
      <c r="P959" s="25">
        <v>25542.44</v>
      </c>
      <c r="Q959" s="25">
        <f t="shared" si="117"/>
        <v>178797.08</v>
      </c>
      <c r="R959" s="25">
        <f t="shared" si="118"/>
        <v>138840.1</v>
      </c>
      <c r="S959" s="26">
        <f t="shared" si="119"/>
        <v>0.43710279760070914</v>
      </c>
    </row>
    <row r="960" spans="1:19" ht="15" x14ac:dyDescent="0.2">
      <c r="A960" s="23">
        <v>45909</v>
      </c>
      <c r="B960">
        <f t="shared" si="112"/>
        <v>2025</v>
      </c>
      <c r="C960">
        <f t="shared" si="113"/>
        <v>9</v>
      </c>
      <c r="D960" t="str">
        <f t="shared" si="114"/>
        <v>Septiembre</v>
      </c>
      <c r="E960" t="str">
        <f t="shared" si="115"/>
        <v>T3</v>
      </c>
      <c r="F960" t="s">
        <v>1085</v>
      </c>
      <c r="G960" t="s">
        <v>54</v>
      </c>
      <c r="H960" t="s">
        <v>55</v>
      </c>
      <c r="I960" t="s">
        <v>56</v>
      </c>
      <c r="J960" t="s">
        <v>57</v>
      </c>
      <c r="K960" t="s">
        <v>58</v>
      </c>
      <c r="L960" t="s">
        <v>162</v>
      </c>
      <c r="M960" s="24">
        <v>12</v>
      </c>
      <c r="N960" s="25">
        <v>55841.14</v>
      </c>
      <c r="O960" s="25">
        <f t="shared" si="116"/>
        <v>670093.67999999993</v>
      </c>
      <c r="P960" s="25">
        <v>41387.01</v>
      </c>
      <c r="Q960" s="25">
        <f t="shared" si="117"/>
        <v>496644.12</v>
      </c>
      <c r="R960" s="25">
        <f t="shared" si="118"/>
        <v>173449.55999999994</v>
      </c>
      <c r="S960" s="26">
        <f t="shared" si="119"/>
        <v>0.25884374853378705</v>
      </c>
    </row>
    <row r="961" spans="1:19" ht="15" x14ac:dyDescent="0.2">
      <c r="A961" s="23">
        <v>45909</v>
      </c>
      <c r="B961">
        <f t="shared" si="112"/>
        <v>2025</v>
      </c>
      <c r="C961">
        <f t="shared" si="113"/>
        <v>9</v>
      </c>
      <c r="D961" t="str">
        <f t="shared" si="114"/>
        <v>Septiembre</v>
      </c>
      <c r="E961" t="str">
        <f t="shared" si="115"/>
        <v>T3</v>
      </c>
      <c r="F961" t="s">
        <v>1086</v>
      </c>
      <c r="G961" t="s">
        <v>114</v>
      </c>
      <c r="H961" t="s">
        <v>75</v>
      </c>
      <c r="I961" t="s">
        <v>115</v>
      </c>
      <c r="J961" t="s">
        <v>57</v>
      </c>
      <c r="K961" t="s">
        <v>81</v>
      </c>
      <c r="L961" t="s">
        <v>82</v>
      </c>
      <c r="M961" s="24">
        <v>3</v>
      </c>
      <c r="N961" s="25">
        <v>104068.94</v>
      </c>
      <c r="O961" s="25">
        <f t="shared" si="116"/>
        <v>312206.82</v>
      </c>
      <c r="P961" s="25">
        <v>69733.33</v>
      </c>
      <c r="Q961" s="25">
        <f t="shared" si="117"/>
        <v>209199.99</v>
      </c>
      <c r="R961" s="25">
        <f t="shared" si="118"/>
        <v>103006.83000000002</v>
      </c>
      <c r="S961" s="26">
        <f t="shared" si="119"/>
        <v>0.32993138971147401</v>
      </c>
    </row>
    <row r="962" spans="1:19" ht="15" x14ac:dyDescent="0.2">
      <c r="A962" s="23">
        <v>45909</v>
      </c>
      <c r="B962">
        <f t="shared" ref="B962:B1025" si="120">YEAR($A962)</f>
        <v>2025</v>
      </c>
      <c r="C962">
        <f t="shared" ref="C962:C1025" si="121">MONTH($A962)</f>
        <v>9</v>
      </c>
      <c r="D962" t="str">
        <f t="shared" ref="D962:D1025" si="122">INDEX(lst_Meses,MONTH($A962))</f>
        <v>Septiembre</v>
      </c>
      <c r="E962" t="str">
        <f t="shared" ref="E962:E1025" si="123">"T"&amp;ROUNDUP(MONTH($A962)/3,0)</f>
        <v>T3</v>
      </c>
      <c r="F962" t="s">
        <v>1087</v>
      </c>
      <c r="G962" t="s">
        <v>206</v>
      </c>
      <c r="H962" t="s">
        <v>93</v>
      </c>
      <c r="I962" t="s">
        <v>207</v>
      </c>
      <c r="J962" t="s">
        <v>57</v>
      </c>
      <c r="K962" t="s">
        <v>81</v>
      </c>
      <c r="L962" t="s">
        <v>129</v>
      </c>
      <c r="M962" s="24">
        <v>2</v>
      </c>
      <c r="N962" s="25">
        <v>126916.65</v>
      </c>
      <c r="O962" s="25">
        <f t="shared" ref="O962:O1025" si="124">$M962*$N962</f>
        <v>253833.3</v>
      </c>
      <c r="P962" s="25">
        <v>73982.929999999993</v>
      </c>
      <c r="Q962" s="25">
        <f t="shared" ref="Q962:Q1025" si="125">$M962*$P962</f>
        <v>147965.85999999999</v>
      </c>
      <c r="R962" s="25">
        <f t="shared" ref="R962:R1025" si="126">$O962-$Q962</f>
        <v>105867.44</v>
      </c>
      <c r="S962" s="26">
        <f t="shared" ref="S962:S1025" si="127">IFERROR($R962/$O962,0)</f>
        <v>0.41707467065983861</v>
      </c>
    </row>
    <row r="963" spans="1:19" ht="15" x14ac:dyDescent="0.2">
      <c r="A963" s="23">
        <v>45910</v>
      </c>
      <c r="B963">
        <f t="shared" si="120"/>
        <v>2025</v>
      </c>
      <c r="C963">
        <f t="shared" si="121"/>
        <v>9</v>
      </c>
      <c r="D963" t="str">
        <f t="shared" si="122"/>
        <v>Septiembre</v>
      </c>
      <c r="E963" t="str">
        <f t="shared" si="123"/>
        <v>T3</v>
      </c>
      <c r="F963" t="s">
        <v>1088</v>
      </c>
      <c r="G963" t="s">
        <v>105</v>
      </c>
      <c r="H963" t="s">
        <v>62</v>
      </c>
      <c r="I963" t="s">
        <v>106</v>
      </c>
      <c r="J963" t="s">
        <v>125</v>
      </c>
      <c r="K963" t="s">
        <v>138</v>
      </c>
      <c r="L963" t="s">
        <v>139</v>
      </c>
      <c r="M963" s="24">
        <v>334</v>
      </c>
      <c r="N963" s="25">
        <v>1867.07</v>
      </c>
      <c r="O963" s="25">
        <f t="shared" si="124"/>
        <v>623601.38</v>
      </c>
      <c r="P963" s="25">
        <v>1501.06</v>
      </c>
      <c r="Q963" s="25">
        <f t="shared" si="125"/>
        <v>501354.04</v>
      </c>
      <c r="R963" s="25">
        <f t="shared" si="126"/>
        <v>122247.34000000003</v>
      </c>
      <c r="S963" s="26">
        <f t="shared" si="127"/>
        <v>0.19603442827531911</v>
      </c>
    </row>
    <row r="964" spans="1:19" ht="15" x14ac:dyDescent="0.2">
      <c r="A964" s="23">
        <v>45910</v>
      </c>
      <c r="B964">
        <f t="shared" si="120"/>
        <v>2025</v>
      </c>
      <c r="C964">
        <f t="shared" si="121"/>
        <v>9</v>
      </c>
      <c r="D964" t="str">
        <f t="shared" si="122"/>
        <v>Septiembre</v>
      </c>
      <c r="E964" t="str">
        <f t="shared" si="123"/>
        <v>T3</v>
      </c>
      <c r="F964" t="s">
        <v>1089</v>
      </c>
      <c r="G964" t="s">
        <v>114</v>
      </c>
      <c r="H964" t="s">
        <v>75</v>
      </c>
      <c r="I964" t="s">
        <v>115</v>
      </c>
      <c r="J964" t="s">
        <v>70</v>
      </c>
      <c r="K964" t="s">
        <v>84</v>
      </c>
      <c r="L964" t="s">
        <v>85</v>
      </c>
      <c r="M964" s="24">
        <v>3</v>
      </c>
      <c r="N964" s="25">
        <v>87751.6</v>
      </c>
      <c r="O964" s="25">
        <f t="shared" si="124"/>
        <v>263254.80000000005</v>
      </c>
      <c r="P964" s="25">
        <v>62766.28</v>
      </c>
      <c r="Q964" s="25">
        <f t="shared" si="125"/>
        <v>188298.84</v>
      </c>
      <c r="R964" s="25">
        <f t="shared" si="126"/>
        <v>74955.96000000005</v>
      </c>
      <c r="S964" s="26">
        <f t="shared" si="127"/>
        <v>0.28472779983498891</v>
      </c>
    </row>
    <row r="965" spans="1:19" ht="15" x14ac:dyDescent="0.2">
      <c r="A965" s="23">
        <v>45910</v>
      </c>
      <c r="B965">
        <f t="shared" si="120"/>
        <v>2025</v>
      </c>
      <c r="C965">
        <f t="shared" si="121"/>
        <v>9</v>
      </c>
      <c r="D965" t="str">
        <f t="shared" si="122"/>
        <v>Septiembre</v>
      </c>
      <c r="E965" t="str">
        <f t="shared" si="123"/>
        <v>T3</v>
      </c>
      <c r="F965" t="s">
        <v>1090</v>
      </c>
      <c r="G965" t="s">
        <v>188</v>
      </c>
      <c r="H965" t="s">
        <v>88</v>
      </c>
      <c r="I965" t="s">
        <v>189</v>
      </c>
      <c r="J965" t="s">
        <v>57</v>
      </c>
      <c r="K965" t="s">
        <v>58</v>
      </c>
      <c r="L965" t="s">
        <v>162</v>
      </c>
      <c r="M965" s="24">
        <v>4</v>
      </c>
      <c r="N965" s="25">
        <v>71133.61</v>
      </c>
      <c r="O965" s="25">
        <f t="shared" si="124"/>
        <v>284534.44</v>
      </c>
      <c r="P965" s="25">
        <v>40402.050000000003</v>
      </c>
      <c r="Q965" s="25">
        <f t="shared" si="125"/>
        <v>161608.20000000001</v>
      </c>
      <c r="R965" s="25">
        <f t="shared" si="126"/>
        <v>122926.23999999999</v>
      </c>
      <c r="S965" s="26">
        <f t="shared" si="127"/>
        <v>0.43202587356384692</v>
      </c>
    </row>
    <row r="966" spans="1:19" ht="15" x14ac:dyDescent="0.2">
      <c r="A966" s="23">
        <v>45911</v>
      </c>
      <c r="B966">
        <f t="shared" si="120"/>
        <v>2025</v>
      </c>
      <c r="C966">
        <f t="shared" si="121"/>
        <v>9</v>
      </c>
      <c r="D966" t="str">
        <f t="shared" si="122"/>
        <v>Septiembre</v>
      </c>
      <c r="E966" t="str">
        <f t="shared" si="123"/>
        <v>T3</v>
      </c>
      <c r="F966" t="s">
        <v>1091</v>
      </c>
      <c r="G966" t="s">
        <v>54</v>
      </c>
      <c r="H966" t="s">
        <v>55</v>
      </c>
      <c r="I966" t="s">
        <v>56</v>
      </c>
      <c r="J966" t="s">
        <v>70</v>
      </c>
      <c r="K966" t="s">
        <v>71</v>
      </c>
      <c r="L966" t="s">
        <v>90</v>
      </c>
      <c r="M966" s="24">
        <v>8</v>
      </c>
      <c r="N966" s="25">
        <v>50853.93</v>
      </c>
      <c r="O966" s="25">
        <f t="shared" si="124"/>
        <v>406831.44</v>
      </c>
      <c r="P966" s="25">
        <v>39747.440000000002</v>
      </c>
      <c r="Q966" s="25">
        <f t="shared" si="125"/>
        <v>317979.52000000002</v>
      </c>
      <c r="R966" s="25">
        <f t="shared" si="126"/>
        <v>88851.919999999984</v>
      </c>
      <c r="S966" s="26">
        <f t="shared" si="127"/>
        <v>0.21839983655147199</v>
      </c>
    </row>
    <row r="967" spans="1:19" ht="15" x14ac:dyDescent="0.2">
      <c r="A967" s="23">
        <v>45911</v>
      </c>
      <c r="B967">
        <f t="shared" si="120"/>
        <v>2025</v>
      </c>
      <c r="C967">
        <f t="shared" si="121"/>
        <v>9</v>
      </c>
      <c r="D967" t="str">
        <f t="shared" si="122"/>
        <v>Septiembre</v>
      </c>
      <c r="E967" t="str">
        <f t="shared" si="123"/>
        <v>T3</v>
      </c>
      <c r="F967" t="s">
        <v>1092</v>
      </c>
      <c r="G967" t="s">
        <v>74</v>
      </c>
      <c r="H967" t="s">
        <v>75</v>
      </c>
      <c r="I967" t="s">
        <v>76</v>
      </c>
      <c r="J967" t="s">
        <v>77</v>
      </c>
      <c r="K967" t="s">
        <v>78</v>
      </c>
      <c r="L967" t="s">
        <v>117</v>
      </c>
      <c r="M967" s="24">
        <v>12</v>
      </c>
      <c r="N967" s="25">
        <v>42992.51</v>
      </c>
      <c r="O967" s="25">
        <f t="shared" si="124"/>
        <v>515910.12</v>
      </c>
      <c r="P967" s="25">
        <v>28256.5</v>
      </c>
      <c r="Q967" s="25">
        <f t="shared" si="125"/>
        <v>339078</v>
      </c>
      <c r="R967" s="25">
        <f t="shared" si="126"/>
        <v>176832.12</v>
      </c>
      <c r="S967" s="26">
        <f t="shared" si="127"/>
        <v>0.34275761056984111</v>
      </c>
    </row>
    <row r="968" spans="1:19" ht="15" x14ac:dyDescent="0.2">
      <c r="A968" s="23">
        <v>45912</v>
      </c>
      <c r="B968">
        <f t="shared" si="120"/>
        <v>2025</v>
      </c>
      <c r="C968">
        <f t="shared" si="121"/>
        <v>9</v>
      </c>
      <c r="D968" t="str">
        <f t="shared" si="122"/>
        <v>Septiembre</v>
      </c>
      <c r="E968" t="str">
        <f t="shared" si="123"/>
        <v>T3</v>
      </c>
      <c r="F968" t="s">
        <v>1093</v>
      </c>
      <c r="G968" t="s">
        <v>54</v>
      </c>
      <c r="H968" t="s">
        <v>55</v>
      </c>
      <c r="I968" t="s">
        <v>56</v>
      </c>
      <c r="J968" t="s">
        <v>125</v>
      </c>
      <c r="K968" t="s">
        <v>126</v>
      </c>
      <c r="L968" t="s">
        <v>131</v>
      </c>
      <c r="M968" s="24">
        <v>5</v>
      </c>
      <c r="N968" s="25">
        <v>56326.559999999998</v>
      </c>
      <c r="O968" s="25">
        <f t="shared" si="124"/>
        <v>281632.8</v>
      </c>
      <c r="P968" s="25">
        <v>41770.31</v>
      </c>
      <c r="Q968" s="25">
        <f t="shared" si="125"/>
        <v>208851.55</v>
      </c>
      <c r="R968" s="25">
        <f t="shared" si="126"/>
        <v>72781.25</v>
      </c>
      <c r="S968" s="26">
        <f t="shared" si="127"/>
        <v>0.2584260427052531</v>
      </c>
    </row>
    <row r="969" spans="1:19" ht="15" x14ac:dyDescent="0.2">
      <c r="A969" s="23">
        <v>45912</v>
      </c>
      <c r="B969">
        <f t="shared" si="120"/>
        <v>2025</v>
      </c>
      <c r="C969">
        <f t="shared" si="121"/>
        <v>9</v>
      </c>
      <c r="D969" t="str">
        <f t="shared" si="122"/>
        <v>Septiembre</v>
      </c>
      <c r="E969" t="str">
        <f t="shared" si="123"/>
        <v>T3</v>
      </c>
      <c r="F969" t="s">
        <v>1094</v>
      </c>
      <c r="G969" t="s">
        <v>144</v>
      </c>
      <c r="H969" t="s">
        <v>88</v>
      </c>
      <c r="I969" t="s">
        <v>145</v>
      </c>
      <c r="J969" t="s">
        <v>64</v>
      </c>
      <c r="K969" t="s">
        <v>96</v>
      </c>
      <c r="L969" t="s">
        <v>103</v>
      </c>
      <c r="M969" s="24">
        <v>38</v>
      </c>
      <c r="N969" s="25">
        <v>12174.26</v>
      </c>
      <c r="O969" s="25">
        <f t="shared" si="124"/>
        <v>462621.88</v>
      </c>
      <c r="P969" s="25">
        <v>6951.87</v>
      </c>
      <c r="Q969" s="25">
        <f t="shared" si="125"/>
        <v>264171.06</v>
      </c>
      <c r="R969" s="25">
        <f t="shared" si="126"/>
        <v>198450.82</v>
      </c>
      <c r="S969" s="26">
        <f t="shared" si="127"/>
        <v>0.42896981007469859</v>
      </c>
    </row>
    <row r="970" spans="1:19" ht="15" x14ac:dyDescent="0.2">
      <c r="A970" s="23">
        <v>45913</v>
      </c>
      <c r="B970">
        <f t="shared" si="120"/>
        <v>2025</v>
      </c>
      <c r="C970">
        <f t="shared" si="121"/>
        <v>9</v>
      </c>
      <c r="D970" t="str">
        <f t="shared" si="122"/>
        <v>Septiembre</v>
      </c>
      <c r="E970" t="str">
        <f t="shared" si="123"/>
        <v>T3</v>
      </c>
      <c r="F970" t="s">
        <v>1095</v>
      </c>
      <c r="G970" t="s">
        <v>105</v>
      </c>
      <c r="H970" t="s">
        <v>62</v>
      </c>
      <c r="I970" t="s">
        <v>106</v>
      </c>
      <c r="J970" t="s">
        <v>64</v>
      </c>
      <c r="K970" t="s">
        <v>96</v>
      </c>
      <c r="L970" t="s">
        <v>97</v>
      </c>
      <c r="M970" s="24">
        <v>407</v>
      </c>
      <c r="N970" s="25">
        <v>1788.92</v>
      </c>
      <c r="O970" s="25">
        <f t="shared" si="124"/>
        <v>728090.44000000006</v>
      </c>
      <c r="P970" s="25">
        <v>1500.05</v>
      </c>
      <c r="Q970" s="25">
        <f t="shared" si="125"/>
        <v>610520.35</v>
      </c>
      <c r="R970" s="25">
        <f t="shared" si="126"/>
        <v>117570.09000000008</v>
      </c>
      <c r="S970" s="26">
        <f t="shared" si="127"/>
        <v>0.16147731592245612</v>
      </c>
    </row>
    <row r="971" spans="1:19" ht="15" x14ac:dyDescent="0.2">
      <c r="A971" s="23">
        <v>45913</v>
      </c>
      <c r="B971">
        <f t="shared" si="120"/>
        <v>2025</v>
      </c>
      <c r="C971">
        <f t="shared" si="121"/>
        <v>9</v>
      </c>
      <c r="D971" t="str">
        <f t="shared" si="122"/>
        <v>Septiembre</v>
      </c>
      <c r="E971" t="str">
        <f t="shared" si="123"/>
        <v>T3</v>
      </c>
      <c r="F971" t="s">
        <v>1096</v>
      </c>
      <c r="G971" t="s">
        <v>110</v>
      </c>
      <c r="H971" t="s">
        <v>62</v>
      </c>
      <c r="I971" t="s">
        <v>69</v>
      </c>
      <c r="J971" t="s">
        <v>77</v>
      </c>
      <c r="K971" t="s">
        <v>78</v>
      </c>
      <c r="L971" t="s">
        <v>79</v>
      </c>
      <c r="M971" s="24">
        <v>65</v>
      </c>
      <c r="N971" s="25">
        <v>6698.32</v>
      </c>
      <c r="O971" s="25">
        <f t="shared" si="124"/>
        <v>435390.8</v>
      </c>
      <c r="P971" s="25">
        <v>5368.15</v>
      </c>
      <c r="Q971" s="25">
        <f t="shared" si="125"/>
        <v>348929.75</v>
      </c>
      <c r="R971" s="25">
        <f t="shared" si="126"/>
        <v>86461.049999999988</v>
      </c>
      <c r="S971" s="26">
        <f t="shared" si="127"/>
        <v>0.19858262967430637</v>
      </c>
    </row>
    <row r="972" spans="1:19" ht="15" x14ac:dyDescent="0.2">
      <c r="A972" s="23">
        <v>45913</v>
      </c>
      <c r="B972">
        <f t="shared" si="120"/>
        <v>2025</v>
      </c>
      <c r="C972">
        <f t="shared" si="121"/>
        <v>9</v>
      </c>
      <c r="D972" t="str">
        <f t="shared" si="122"/>
        <v>Septiembre</v>
      </c>
      <c r="E972" t="str">
        <f t="shared" si="123"/>
        <v>T3</v>
      </c>
      <c r="F972" t="s">
        <v>1097</v>
      </c>
      <c r="G972" t="s">
        <v>68</v>
      </c>
      <c r="H972" t="s">
        <v>62</v>
      </c>
      <c r="I972" t="s">
        <v>69</v>
      </c>
      <c r="J972" t="s">
        <v>57</v>
      </c>
      <c r="K972" t="s">
        <v>81</v>
      </c>
      <c r="L972" t="s">
        <v>129</v>
      </c>
      <c r="M972" s="24">
        <v>290</v>
      </c>
      <c r="N972" s="25">
        <v>3163.57</v>
      </c>
      <c r="O972" s="25">
        <f t="shared" si="124"/>
        <v>917435.3</v>
      </c>
      <c r="P972" s="25">
        <v>2596.64</v>
      </c>
      <c r="Q972" s="25">
        <f t="shared" si="125"/>
        <v>753025.6</v>
      </c>
      <c r="R972" s="25">
        <f t="shared" si="126"/>
        <v>164409.70000000007</v>
      </c>
      <c r="S972" s="26">
        <f t="shared" si="127"/>
        <v>0.17920577069576465</v>
      </c>
    </row>
    <row r="973" spans="1:19" ht="15" x14ac:dyDescent="0.2">
      <c r="A973" s="23">
        <v>45913</v>
      </c>
      <c r="B973">
        <f t="shared" si="120"/>
        <v>2025</v>
      </c>
      <c r="C973">
        <f t="shared" si="121"/>
        <v>9</v>
      </c>
      <c r="D973" t="str">
        <f t="shared" si="122"/>
        <v>Septiembre</v>
      </c>
      <c r="E973" t="str">
        <f t="shared" si="123"/>
        <v>T3</v>
      </c>
      <c r="F973" t="s">
        <v>1098</v>
      </c>
      <c r="G973" t="s">
        <v>114</v>
      </c>
      <c r="H973" t="s">
        <v>75</v>
      </c>
      <c r="I973" t="s">
        <v>115</v>
      </c>
      <c r="J973" t="s">
        <v>77</v>
      </c>
      <c r="K973" t="s">
        <v>107</v>
      </c>
      <c r="L973" t="s">
        <v>108</v>
      </c>
      <c r="M973" s="24">
        <v>3</v>
      </c>
      <c r="N973" s="25">
        <v>101372.37</v>
      </c>
      <c r="O973" s="25">
        <f t="shared" si="124"/>
        <v>304117.11</v>
      </c>
      <c r="P973" s="25">
        <v>64666.23</v>
      </c>
      <c r="Q973" s="25">
        <f t="shared" si="125"/>
        <v>193998.69</v>
      </c>
      <c r="R973" s="25">
        <f t="shared" si="126"/>
        <v>110118.41999999998</v>
      </c>
      <c r="S973" s="26">
        <f t="shared" si="127"/>
        <v>0.36209215588034488</v>
      </c>
    </row>
    <row r="974" spans="1:19" ht="15" x14ac:dyDescent="0.2">
      <c r="A974" s="23">
        <v>45914</v>
      </c>
      <c r="B974">
        <f t="shared" si="120"/>
        <v>2025</v>
      </c>
      <c r="C974">
        <f t="shared" si="121"/>
        <v>9</v>
      </c>
      <c r="D974" t="str">
        <f t="shared" si="122"/>
        <v>Septiembre</v>
      </c>
      <c r="E974" t="str">
        <f t="shared" si="123"/>
        <v>T3</v>
      </c>
      <c r="F974" t="s">
        <v>1099</v>
      </c>
      <c r="G974" t="s">
        <v>74</v>
      </c>
      <c r="H974" t="s">
        <v>75</v>
      </c>
      <c r="I974" t="s">
        <v>76</v>
      </c>
      <c r="J974" t="s">
        <v>64</v>
      </c>
      <c r="K974" t="s">
        <v>96</v>
      </c>
      <c r="L974" t="s">
        <v>103</v>
      </c>
      <c r="M974" s="24">
        <v>10</v>
      </c>
      <c r="N974" s="25">
        <v>42101.58</v>
      </c>
      <c r="O974" s="25">
        <f t="shared" si="124"/>
        <v>421015.80000000005</v>
      </c>
      <c r="P974" s="25">
        <v>29084.560000000001</v>
      </c>
      <c r="Q974" s="25">
        <f t="shared" si="125"/>
        <v>290845.60000000003</v>
      </c>
      <c r="R974" s="25">
        <f t="shared" si="126"/>
        <v>130170.20000000001</v>
      </c>
      <c r="S974" s="26">
        <f t="shared" si="127"/>
        <v>0.30918127063164852</v>
      </c>
    </row>
    <row r="975" spans="1:19" ht="15" x14ac:dyDescent="0.2">
      <c r="A975" s="23">
        <v>45914</v>
      </c>
      <c r="B975">
        <f t="shared" si="120"/>
        <v>2025</v>
      </c>
      <c r="C975">
        <f t="shared" si="121"/>
        <v>9</v>
      </c>
      <c r="D975" t="str">
        <f t="shared" si="122"/>
        <v>Septiembre</v>
      </c>
      <c r="E975" t="str">
        <f t="shared" si="123"/>
        <v>T3</v>
      </c>
      <c r="F975" t="s">
        <v>1100</v>
      </c>
      <c r="G975" t="s">
        <v>149</v>
      </c>
      <c r="H975" t="s">
        <v>93</v>
      </c>
      <c r="I975" t="s">
        <v>150</v>
      </c>
      <c r="J975" t="s">
        <v>64</v>
      </c>
      <c r="K975" t="s">
        <v>65</v>
      </c>
      <c r="L975" t="s">
        <v>123</v>
      </c>
      <c r="M975" s="24">
        <v>6</v>
      </c>
      <c r="N975" s="25">
        <v>44710.37</v>
      </c>
      <c r="O975" s="25">
        <f t="shared" si="124"/>
        <v>268262.22000000003</v>
      </c>
      <c r="P975" s="25">
        <v>26189.82</v>
      </c>
      <c r="Q975" s="25">
        <f t="shared" si="125"/>
        <v>157138.91999999998</v>
      </c>
      <c r="R975" s="25">
        <f t="shared" si="126"/>
        <v>111123.30000000005</v>
      </c>
      <c r="S975" s="26">
        <f t="shared" si="127"/>
        <v>0.41423387907548082</v>
      </c>
    </row>
    <row r="976" spans="1:19" ht="15" x14ac:dyDescent="0.2">
      <c r="A976" s="23">
        <v>45914</v>
      </c>
      <c r="B976">
        <f t="shared" si="120"/>
        <v>2025</v>
      </c>
      <c r="C976">
        <f t="shared" si="121"/>
        <v>9</v>
      </c>
      <c r="D976" t="str">
        <f t="shared" si="122"/>
        <v>Septiembre</v>
      </c>
      <c r="E976" t="str">
        <f t="shared" si="123"/>
        <v>T3</v>
      </c>
      <c r="F976" t="s">
        <v>1101</v>
      </c>
      <c r="G976" t="s">
        <v>92</v>
      </c>
      <c r="H976" t="s">
        <v>93</v>
      </c>
      <c r="I976" t="s">
        <v>94</v>
      </c>
      <c r="J976" t="s">
        <v>70</v>
      </c>
      <c r="K976" t="s">
        <v>71</v>
      </c>
      <c r="L976" t="s">
        <v>90</v>
      </c>
      <c r="M976" s="24">
        <v>4</v>
      </c>
      <c r="N976" s="25">
        <v>17697.46</v>
      </c>
      <c r="O976" s="25">
        <f t="shared" si="124"/>
        <v>70789.84</v>
      </c>
      <c r="P976" s="25">
        <v>11176.14</v>
      </c>
      <c r="Q976" s="25">
        <f t="shared" si="125"/>
        <v>44704.56</v>
      </c>
      <c r="R976" s="25">
        <f t="shared" si="126"/>
        <v>26085.279999999999</v>
      </c>
      <c r="S976" s="26">
        <f t="shared" si="127"/>
        <v>0.3684890374098882</v>
      </c>
    </row>
    <row r="977" spans="1:19" ht="15" x14ac:dyDescent="0.2">
      <c r="A977" s="23">
        <v>45915</v>
      </c>
      <c r="B977">
        <f t="shared" si="120"/>
        <v>2025</v>
      </c>
      <c r="C977">
        <f t="shared" si="121"/>
        <v>9</v>
      </c>
      <c r="D977" t="str">
        <f t="shared" si="122"/>
        <v>Septiembre</v>
      </c>
      <c r="E977" t="str">
        <f t="shared" si="123"/>
        <v>T3</v>
      </c>
      <c r="F977" t="s">
        <v>1102</v>
      </c>
      <c r="G977" t="s">
        <v>183</v>
      </c>
      <c r="H977" t="s">
        <v>55</v>
      </c>
      <c r="I977" t="s">
        <v>184</v>
      </c>
      <c r="J977" t="s">
        <v>64</v>
      </c>
      <c r="K977" t="s">
        <v>96</v>
      </c>
      <c r="L977" t="s">
        <v>97</v>
      </c>
      <c r="M977" s="24">
        <v>4</v>
      </c>
      <c r="N977" s="25">
        <v>362276.63</v>
      </c>
      <c r="O977" s="25">
        <f t="shared" si="124"/>
        <v>1449106.52</v>
      </c>
      <c r="P977" s="25">
        <v>278161.33</v>
      </c>
      <c r="Q977" s="25">
        <f t="shared" si="125"/>
        <v>1112645.32</v>
      </c>
      <c r="R977" s="25">
        <f t="shared" si="126"/>
        <v>336461.19999999995</v>
      </c>
      <c r="S977" s="26">
        <f t="shared" si="127"/>
        <v>0.23218527786349338</v>
      </c>
    </row>
    <row r="978" spans="1:19" ht="15" x14ac:dyDescent="0.2">
      <c r="A978" s="23">
        <v>45915</v>
      </c>
      <c r="B978">
        <f t="shared" si="120"/>
        <v>2025</v>
      </c>
      <c r="C978">
        <f t="shared" si="121"/>
        <v>9</v>
      </c>
      <c r="D978" t="str">
        <f t="shared" si="122"/>
        <v>Septiembre</v>
      </c>
      <c r="E978" t="str">
        <f t="shared" si="123"/>
        <v>T3</v>
      </c>
      <c r="F978" t="s">
        <v>1103</v>
      </c>
      <c r="G978" t="s">
        <v>54</v>
      </c>
      <c r="H978" t="s">
        <v>55</v>
      </c>
      <c r="I978" t="s">
        <v>56</v>
      </c>
      <c r="J978" t="s">
        <v>77</v>
      </c>
      <c r="K978" t="s">
        <v>78</v>
      </c>
      <c r="L978" t="s">
        <v>117</v>
      </c>
      <c r="M978" s="24">
        <v>17</v>
      </c>
      <c r="N978" s="25">
        <v>59645.440000000002</v>
      </c>
      <c r="O978" s="25">
        <f t="shared" si="124"/>
        <v>1013972.48</v>
      </c>
      <c r="P978" s="25">
        <v>42867.5</v>
      </c>
      <c r="Q978" s="25">
        <f t="shared" si="125"/>
        <v>728747.5</v>
      </c>
      <c r="R978" s="25">
        <f t="shared" si="126"/>
        <v>285224.98</v>
      </c>
      <c r="S978" s="26">
        <f t="shared" si="127"/>
        <v>0.28129459687111036</v>
      </c>
    </row>
    <row r="979" spans="1:19" ht="15" x14ac:dyDescent="0.2">
      <c r="A979" s="23">
        <v>45915</v>
      </c>
      <c r="B979">
        <f t="shared" si="120"/>
        <v>2025</v>
      </c>
      <c r="C979">
        <f t="shared" si="121"/>
        <v>9</v>
      </c>
      <c r="D979" t="str">
        <f t="shared" si="122"/>
        <v>Septiembre</v>
      </c>
      <c r="E979" t="str">
        <f t="shared" si="123"/>
        <v>T3</v>
      </c>
      <c r="F979" t="s">
        <v>1104</v>
      </c>
      <c r="G979" t="s">
        <v>105</v>
      </c>
      <c r="H979" t="s">
        <v>62</v>
      </c>
      <c r="I979" t="s">
        <v>106</v>
      </c>
      <c r="J979" t="s">
        <v>57</v>
      </c>
      <c r="K979" t="s">
        <v>58</v>
      </c>
      <c r="L979" t="s">
        <v>162</v>
      </c>
      <c r="M979" s="24">
        <v>269</v>
      </c>
      <c r="N979" s="25">
        <v>1807.91</v>
      </c>
      <c r="O979" s="25">
        <f t="shared" si="124"/>
        <v>486327.79000000004</v>
      </c>
      <c r="P979" s="25">
        <v>1502.52</v>
      </c>
      <c r="Q979" s="25">
        <f t="shared" si="125"/>
        <v>404177.88</v>
      </c>
      <c r="R979" s="25">
        <f t="shared" si="126"/>
        <v>82149.910000000033</v>
      </c>
      <c r="S979" s="26">
        <f t="shared" si="127"/>
        <v>0.16891880679901106</v>
      </c>
    </row>
    <row r="980" spans="1:19" ht="15" x14ac:dyDescent="0.2">
      <c r="A980" s="23">
        <v>45915</v>
      </c>
      <c r="B980">
        <f t="shared" si="120"/>
        <v>2025</v>
      </c>
      <c r="C980">
        <f t="shared" si="121"/>
        <v>9</v>
      </c>
      <c r="D980" t="str">
        <f t="shared" si="122"/>
        <v>Septiembre</v>
      </c>
      <c r="E980" t="str">
        <f t="shared" si="123"/>
        <v>T3</v>
      </c>
      <c r="F980" t="s">
        <v>1105</v>
      </c>
      <c r="G980" t="s">
        <v>105</v>
      </c>
      <c r="H980" t="s">
        <v>62</v>
      </c>
      <c r="I980" t="s">
        <v>106</v>
      </c>
      <c r="J980" t="s">
        <v>70</v>
      </c>
      <c r="K980" t="s">
        <v>84</v>
      </c>
      <c r="L980" t="s">
        <v>147</v>
      </c>
      <c r="M980" s="24">
        <v>130</v>
      </c>
      <c r="N980" s="25">
        <v>1749.35</v>
      </c>
      <c r="O980" s="25">
        <f t="shared" si="124"/>
        <v>227415.5</v>
      </c>
      <c r="P980" s="25">
        <v>1499.7</v>
      </c>
      <c r="Q980" s="25">
        <f t="shared" si="125"/>
        <v>194961</v>
      </c>
      <c r="R980" s="25">
        <f t="shared" si="126"/>
        <v>32454.5</v>
      </c>
      <c r="S980" s="26">
        <f t="shared" si="127"/>
        <v>0.14271014948409408</v>
      </c>
    </row>
    <row r="981" spans="1:19" ht="15" x14ac:dyDescent="0.2">
      <c r="A981" s="23">
        <v>45916</v>
      </c>
      <c r="B981">
        <f t="shared" si="120"/>
        <v>2025</v>
      </c>
      <c r="C981">
        <f t="shared" si="121"/>
        <v>9</v>
      </c>
      <c r="D981" t="str">
        <f t="shared" si="122"/>
        <v>Septiembre</v>
      </c>
      <c r="E981" t="str">
        <f t="shared" si="123"/>
        <v>T3</v>
      </c>
      <c r="F981" t="s">
        <v>1106</v>
      </c>
      <c r="G981" t="s">
        <v>54</v>
      </c>
      <c r="H981" t="s">
        <v>55</v>
      </c>
      <c r="I981" t="s">
        <v>56</v>
      </c>
      <c r="J981" t="s">
        <v>125</v>
      </c>
      <c r="K981" t="s">
        <v>126</v>
      </c>
      <c r="L981" t="s">
        <v>127</v>
      </c>
      <c r="M981" s="24">
        <v>1</v>
      </c>
      <c r="N981" s="25">
        <v>68546.38</v>
      </c>
      <c r="O981" s="25">
        <f t="shared" si="124"/>
        <v>68546.38</v>
      </c>
      <c r="P981" s="25">
        <v>50328.08</v>
      </c>
      <c r="Q981" s="25">
        <f t="shared" si="125"/>
        <v>50328.08</v>
      </c>
      <c r="R981" s="25">
        <f t="shared" si="126"/>
        <v>18218.300000000003</v>
      </c>
      <c r="S981" s="26">
        <f t="shared" si="127"/>
        <v>0.26578062911564404</v>
      </c>
    </row>
    <row r="982" spans="1:19" ht="15" x14ac:dyDescent="0.2">
      <c r="A982" s="23">
        <v>45916</v>
      </c>
      <c r="B982">
        <f t="shared" si="120"/>
        <v>2025</v>
      </c>
      <c r="C982">
        <f t="shared" si="121"/>
        <v>9</v>
      </c>
      <c r="D982" t="str">
        <f t="shared" si="122"/>
        <v>Septiembre</v>
      </c>
      <c r="E982" t="str">
        <f t="shared" si="123"/>
        <v>T3</v>
      </c>
      <c r="F982" t="s">
        <v>1107</v>
      </c>
      <c r="G982" t="s">
        <v>54</v>
      </c>
      <c r="H982" t="s">
        <v>55</v>
      </c>
      <c r="I982" t="s">
        <v>56</v>
      </c>
      <c r="J982" t="s">
        <v>70</v>
      </c>
      <c r="K982" t="s">
        <v>71</v>
      </c>
      <c r="L982" t="s">
        <v>90</v>
      </c>
      <c r="M982" s="24">
        <v>5</v>
      </c>
      <c r="N982" s="25">
        <v>54616.89</v>
      </c>
      <c r="O982" s="25">
        <f t="shared" si="124"/>
        <v>273084.45</v>
      </c>
      <c r="P982" s="25">
        <v>43039.99</v>
      </c>
      <c r="Q982" s="25">
        <f t="shared" si="125"/>
        <v>215199.94999999998</v>
      </c>
      <c r="R982" s="25">
        <f t="shared" si="126"/>
        <v>57884.500000000029</v>
      </c>
      <c r="S982" s="26">
        <f t="shared" si="127"/>
        <v>0.21196556596320307</v>
      </c>
    </row>
    <row r="983" spans="1:19" ht="15" x14ac:dyDescent="0.2">
      <c r="A983" s="23">
        <v>45916</v>
      </c>
      <c r="B983">
        <f t="shared" si="120"/>
        <v>2025</v>
      </c>
      <c r="C983">
        <f t="shared" si="121"/>
        <v>9</v>
      </c>
      <c r="D983" t="str">
        <f t="shared" si="122"/>
        <v>Septiembre</v>
      </c>
      <c r="E983" t="str">
        <f t="shared" si="123"/>
        <v>T3</v>
      </c>
      <c r="F983" t="s">
        <v>1108</v>
      </c>
      <c r="G983" t="s">
        <v>68</v>
      </c>
      <c r="H983" t="s">
        <v>62</v>
      </c>
      <c r="I983" t="s">
        <v>69</v>
      </c>
      <c r="J983" t="s">
        <v>64</v>
      </c>
      <c r="K983" t="s">
        <v>65</v>
      </c>
      <c r="L983" t="s">
        <v>123</v>
      </c>
      <c r="M983" s="24">
        <v>187</v>
      </c>
      <c r="N983" s="25">
        <v>3147.02</v>
      </c>
      <c r="O983" s="25">
        <f t="shared" si="124"/>
        <v>588492.74</v>
      </c>
      <c r="P983" s="25">
        <v>2602.8000000000002</v>
      </c>
      <c r="Q983" s="25">
        <f t="shared" si="125"/>
        <v>486723.60000000003</v>
      </c>
      <c r="R983" s="25">
        <f t="shared" si="126"/>
        <v>101769.13999999996</v>
      </c>
      <c r="S983" s="26">
        <f t="shared" si="127"/>
        <v>0.17293185299108355</v>
      </c>
    </row>
    <row r="984" spans="1:19" ht="15" x14ac:dyDescent="0.2">
      <c r="A984" s="23">
        <v>45916</v>
      </c>
      <c r="B984">
        <f t="shared" si="120"/>
        <v>2025</v>
      </c>
      <c r="C984">
        <f t="shared" si="121"/>
        <v>9</v>
      </c>
      <c r="D984" t="str">
        <f t="shared" si="122"/>
        <v>Septiembre</v>
      </c>
      <c r="E984" t="str">
        <f t="shared" si="123"/>
        <v>T3</v>
      </c>
      <c r="F984" t="s">
        <v>1109</v>
      </c>
      <c r="G984" t="s">
        <v>114</v>
      </c>
      <c r="H984" t="s">
        <v>75</v>
      </c>
      <c r="I984" t="s">
        <v>115</v>
      </c>
      <c r="J984" t="s">
        <v>57</v>
      </c>
      <c r="K984" t="s">
        <v>58</v>
      </c>
      <c r="L984" t="s">
        <v>162</v>
      </c>
      <c r="M984" s="24">
        <v>3</v>
      </c>
      <c r="N984" s="25">
        <v>94176.43</v>
      </c>
      <c r="O984" s="25">
        <f t="shared" si="124"/>
        <v>282529.28999999998</v>
      </c>
      <c r="P984" s="25">
        <v>64744.91</v>
      </c>
      <c r="Q984" s="25">
        <f t="shared" si="125"/>
        <v>194234.73</v>
      </c>
      <c r="R984" s="25">
        <f t="shared" si="126"/>
        <v>88294.559999999969</v>
      </c>
      <c r="S984" s="26">
        <f t="shared" si="127"/>
        <v>0.31251471307629725</v>
      </c>
    </row>
    <row r="985" spans="1:19" ht="15" x14ac:dyDescent="0.2">
      <c r="A985" s="23">
        <v>45916</v>
      </c>
      <c r="B985">
        <f t="shared" si="120"/>
        <v>2025</v>
      </c>
      <c r="C985">
        <f t="shared" si="121"/>
        <v>9</v>
      </c>
      <c r="D985" t="str">
        <f t="shared" si="122"/>
        <v>Septiembre</v>
      </c>
      <c r="E985" t="str">
        <f t="shared" si="123"/>
        <v>T3</v>
      </c>
      <c r="F985" t="s">
        <v>1110</v>
      </c>
      <c r="G985" t="s">
        <v>74</v>
      </c>
      <c r="H985" t="s">
        <v>75</v>
      </c>
      <c r="I985" t="s">
        <v>76</v>
      </c>
      <c r="J985" t="s">
        <v>125</v>
      </c>
      <c r="K985" t="s">
        <v>126</v>
      </c>
      <c r="L985" t="s">
        <v>131</v>
      </c>
      <c r="M985" s="24">
        <v>3</v>
      </c>
      <c r="N985" s="25">
        <v>38036.19</v>
      </c>
      <c r="O985" s="25">
        <f t="shared" si="124"/>
        <v>114108.57</v>
      </c>
      <c r="P985" s="25">
        <v>25699.3</v>
      </c>
      <c r="Q985" s="25">
        <f t="shared" si="125"/>
        <v>77097.899999999994</v>
      </c>
      <c r="R985" s="25">
        <f t="shared" si="126"/>
        <v>37010.670000000013</v>
      </c>
      <c r="S985" s="26">
        <f t="shared" si="127"/>
        <v>0.32434610301399808</v>
      </c>
    </row>
    <row r="986" spans="1:19" ht="15" x14ac:dyDescent="0.2">
      <c r="A986" s="23">
        <v>45916</v>
      </c>
      <c r="B986">
        <f t="shared" si="120"/>
        <v>2025</v>
      </c>
      <c r="C986">
        <f t="shared" si="121"/>
        <v>9</v>
      </c>
      <c r="D986" t="str">
        <f t="shared" si="122"/>
        <v>Septiembre</v>
      </c>
      <c r="E986" t="str">
        <f t="shared" si="123"/>
        <v>T3</v>
      </c>
      <c r="F986" t="s">
        <v>1111</v>
      </c>
      <c r="G986" t="s">
        <v>114</v>
      </c>
      <c r="H986" t="s">
        <v>75</v>
      </c>
      <c r="I986" t="s">
        <v>115</v>
      </c>
      <c r="J986" t="s">
        <v>70</v>
      </c>
      <c r="K986" t="s">
        <v>84</v>
      </c>
      <c r="L986" t="s">
        <v>85</v>
      </c>
      <c r="M986" s="24">
        <v>2</v>
      </c>
      <c r="N986" s="25">
        <v>106960.52</v>
      </c>
      <c r="O986" s="25">
        <f t="shared" si="124"/>
        <v>213921.04</v>
      </c>
      <c r="P986" s="25">
        <v>77456.69</v>
      </c>
      <c r="Q986" s="25">
        <f t="shared" si="125"/>
        <v>154913.38</v>
      </c>
      <c r="R986" s="25">
        <f t="shared" si="126"/>
        <v>59007.66</v>
      </c>
      <c r="S986" s="26">
        <f t="shared" si="127"/>
        <v>0.27583850564675638</v>
      </c>
    </row>
    <row r="987" spans="1:19" ht="15" x14ac:dyDescent="0.2">
      <c r="A987" s="23">
        <v>45916</v>
      </c>
      <c r="B987">
        <f t="shared" si="120"/>
        <v>2025</v>
      </c>
      <c r="C987">
        <f t="shared" si="121"/>
        <v>9</v>
      </c>
      <c r="D987" t="str">
        <f t="shared" si="122"/>
        <v>Septiembre</v>
      </c>
      <c r="E987" t="str">
        <f t="shared" si="123"/>
        <v>T3</v>
      </c>
      <c r="F987" t="s">
        <v>1112</v>
      </c>
      <c r="G987" t="s">
        <v>100</v>
      </c>
      <c r="H987" t="s">
        <v>88</v>
      </c>
      <c r="I987" t="s">
        <v>101</v>
      </c>
      <c r="J987" t="s">
        <v>64</v>
      </c>
      <c r="K987" t="s">
        <v>96</v>
      </c>
      <c r="L987" t="s">
        <v>103</v>
      </c>
      <c r="M987" s="24">
        <v>21</v>
      </c>
      <c r="N987" s="25">
        <v>36586.269999999997</v>
      </c>
      <c r="O987" s="25">
        <f t="shared" si="124"/>
        <v>768311.66999999993</v>
      </c>
      <c r="P987" s="25">
        <v>20750.759999999998</v>
      </c>
      <c r="Q987" s="25">
        <f t="shared" si="125"/>
        <v>435765.95999999996</v>
      </c>
      <c r="R987" s="25">
        <f t="shared" si="126"/>
        <v>332545.70999999996</v>
      </c>
      <c r="S987" s="26">
        <f t="shared" si="127"/>
        <v>0.43282657674586666</v>
      </c>
    </row>
    <row r="988" spans="1:19" ht="15" x14ac:dyDescent="0.2">
      <c r="A988" s="23">
        <v>45917</v>
      </c>
      <c r="B988">
        <f t="shared" si="120"/>
        <v>2025</v>
      </c>
      <c r="C988">
        <f t="shared" si="121"/>
        <v>9</v>
      </c>
      <c r="D988" t="str">
        <f t="shared" si="122"/>
        <v>Septiembre</v>
      </c>
      <c r="E988" t="str">
        <f t="shared" si="123"/>
        <v>T3</v>
      </c>
      <c r="F988" t="s">
        <v>1113</v>
      </c>
      <c r="G988" t="s">
        <v>54</v>
      </c>
      <c r="H988" t="s">
        <v>55</v>
      </c>
      <c r="I988" t="s">
        <v>56</v>
      </c>
      <c r="J988" t="s">
        <v>70</v>
      </c>
      <c r="K988" t="s">
        <v>84</v>
      </c>
      <c r="L988" t="s">
        <v>85</v>
      </c>
      <c r="M988" s="24">
        <v>7</v>
      </c>
      <c r="N988" s="25">
        <v>58189.13</v>
      </c>
      <c r="O988" s="25">
        <f t="shared" si="124"/>
        <v>407323.91</v>
      </c>
      <c r="P988" s="25">
        <v>44830.1</v>
      </c>
      <c r="Q988" s="25">
        <f t="shared" si="125"/>
        <v>313810.7</v>
      </c>
      <c r="R988" s="25">
        <f t="shared" si="126"/>
        <v>93513.209999999963</v>
      </c>
      <c r="S988" s="26">
        <f t="shared" si="127"/>
        <v>0.22957947644173396</v>
      </c>
    </row>
    <row r="989" spans="1:19" ht="15" x14ac:dyDescent="0.2">
      <c r="A989" s="23">
        <v>45917</v>
      </c>
      <c r="B989">
        <f t="shared" si="120"/>
        <v>2025</v>
      </c>
      <c r="C989">
        <f t="shared" si="121"/>
        <v>9</v>
      </c>
      <c r="D989" t="str">
        <f t="shared" si="122"/>
        <v>Septiembre</v>
      </c>
      <c r="E989" t="str">
        <f t="shared" si="123"/>
        <v>T3</v>
      </c>
      <c r="F989" t="s">
        <v>1114</v>
      </c>
      <c r="G989" t="s">
        <v>74</v>
      </c>
      <c r="H989" t="s">
        <v>75</v>
      </c>
      <c r="I989" t="s">
        <v>76</v>
      </c>
      <c r="J989" t="s">
        <v>64</v>
      </c>
      <c r="K989" t="s">
        <v>65</v>
      </c>
      <c r="L989" t="s">
        <v>66</v>
      </c>
      <c r="M989" s="24">
        <v>18</v>
      </c>
      <c r="N989" s="25">
        <v>39557.120000000003</v>
      </c>
      <c r="O989" s="25">
        <f t="shared" si="124"/>
        <v>712028.16000000003</v>
      </c>
      <c r="P989" s="25">
        <v>27350.6</v>
      </c>
      <c r="Q989" s="25">
        <f t="shared" si="125"/>
        <v>492310.8</v>
      </c>
      <c r="R989" s="25">
        <f t="shared" si="126"/>
        <v>219717.36000000004</v>
      </c>
      <c r="S989" s="26">
        <f t="shared" si="127"/>
        <v>0.30857959325653644</v>
      </c>
    </row>
    <row r="990" spans="1:19" ht="15" x14ac:dyDescent="0.2">
      <c r="A990" s="23">
        <v>45917</v>
      </c>
      <c r="B990">
        <f t="shared" si="120"/>
        <v>2025</v>
      </c>
      <c r="C990">
        <f t="shared" si="121"/>
        <v>9</v>
      </c>
      <c r="D990" t="str">
        <f t="shared" si="122"/>
        <v>Septiembre</v>
      </c>
      <c r="E990" t="str">
        <f t="shared" si="123"/>
        <v>T3</v>
      </c>
      <c r="F990" t="s">
        <v>1115</v>
      </c>
      <c r="G990" t="s">
        <v>92</v>
      </c>
      <c r="H990" t="s">
        <v>93</v>
      </c>
      <c r="I990" t="s">
        <v>94</v>
      </c>
      <c r="J990" t="s">
        <v>57</v>
      </c>
      <c r="K990" t="s">
        <v>58</v>
      </c>
      <c r="L990" t="s">
        <v>162</v>
      </c>
      <c r="M990" s="24">
        <v>1</v>
      </c>
      <c r="N990" s="25">
        <v>29551.8</v>
      </c>
      <c r="O990" s="25">
        <f t="shared" si="124"/>
        <v>29551.8</v>
      </c>
      <c r="P990" s="25">
        <v>17133.330000000002</v>
      </c>
      <c r="Q990" s="25">
        <f t="shared" si="125"/>
        <v>17133.330000000002</v>
      </c>
      <c r="R990" s="25">
        <f t="shared" si="126"/>
        <v>12418.469999999998</v>
      </c>
      <c r="S990" s="26">
        <f t="shared" si="127"/>
        <v>0.42022719428258171</v>
      </c>
    </row>
    <row r="991" spans="1:19" ht="15" x14ac:dyDescent="0.2">
      <c r="A991" s="23">
        <v>45918</v>
      </c>
      <c r="B991">
        <f t="shared" si="120"/>
        <v>2025</v>
      </c>
      <c r="C991">
        <f t="shared" si="121"/>
        <v>9</v>
      </c>
      <c r="D991" t="str">
        <f t="shared" si="122"/>
        <v>Septiembre</v>
      </c>
      <c r="E991" t="str">
        <f t="shared" si="123"/>
        <v>T3</v>
      </c>
      <c r="F991" t="s">
        <v>1116</v>
      </c>
      <c r="G991" t="s">
        <v>54</v>
      </c>
      <c r="H991" t="s">
        <v>55</v>
      </c>
      <c r="I991" t="s">
        <v>56</v>
      </c>
      <c r="J991" t="s">
        <v>125</v>
      </c>
      <c r="K991" t="s">
        <v>138</v>
      </c>
      <c r="L991" t="s">
        <v>142</v>
      </c>
      <c r="M991" s="24">
        <v>7</v>
      </c>
      <c r="N991" s="25">
        <v>57632.7</v>
      </c>
      <c r="O991" s="25">
        <f t="shared" si="124"/>
        <v>403428.89999999997</v>
      </c>
      <c r="P991" s="25">
        <v>42437.599999999999</v>
      </c>
      <c r="Q991" s="25">
        <f t="shared" si="125"/>
        <v>297063.2</v>
      </c>
      <c r="R991" s="25">
        <f t="shared" si="126"/>
        <v>106365.69999999995</v>
      </c>
      <c r="S991" s="26">
        <f t="shared" si="127"/>
        <v>0.2636541407915991</v>
      </c>
    </row>
    <row r="992" spans="1:19" ht="15" x14ac:dyDescent="0.2">
      <c r="A992" s="23">
        <v>45918</v>
      </c>
      <c r="B992">
        <f t="shared" si="120"/>
        <v>2025</v>
      </c>
      <c r="C992">
        <f t="shared" si="121"/>
        <v>9</v>
      </c>
      <c r="D992" t="str">
        <f t="shared" si="122"/>
        <v>Septiembre</v>
      </c>
      <c r="E992" t="str">
        <f t="shared" si="123"/>
        <v>T3</v>
      </c>
      <c r="F992" t="s">
        <v>1117</v>
      </c>
      <c r="G992" t="s">
        <v>61</v>
      </c>
      <c r="H992" t="s">
        <v>62</v>
      </c>
      <c r="I992" t="s">
        <v>63</v>
      </c>
      <c r="J992" t="s">
        <v>64</v>
      </c>
      <c r="K992" t="s">
        <v>65</v>
      </c>
      <c r="L992" t="s">
        <v>123</v>
      </c>
      <c r="M992" s="24">
        <v>283</v>
      </c>
      <c r="N992" s="25">
        <v>5794.49</v>
      </c>
      <c r="O992" s="25">
        <f t="shared" si="124"/>
        <v>1639840.67</v>
      </c>
      <c r="P992" s="25">
        <v>4795.6400000000003</v>
      </c>
      <c r="Q992" s="25">
        <f t="shared" si="125"/>
        <v>1357166.12</v>
      </c>
      <c r="R992" s="25">
        <f t="shared" si="126"/>
        <v>282674.54999999981</v>
      </c>
      <c r="S992" s="26">
        <f t="shared" si="127"/>
        <v>0.1723792775550565</v>
      </c>
    </row>
    <row r="993" spans="1:19" ht="15" x14ac:dyDescent="0.2">
      <c r="A993" s="23">
        <v>45918</v>
      </c>
      <c r="B993">
        <f t="shared" si="120"/>
        <v>2025</v>
      </c>
      <c r="C993">
        <f t="shared" si="121"/>
        <v>9</v>
      </c>
      <c r="D993" t="str">
        <f t="shared" si="122"/>
        <v>Septiembre</v>
      </c>
      <c r="E993" t="str">
        <f t="shared" si="123"/>
        <v>T3</v>
      </c>
      <c r="F993" t="s">
        <v>1118</v>
      </c>
      <c r="G993" t="s">
        <v>110</v>
      </c>
      <c r="H993" t="s">
        <v>62</v>
      </c>
      <c r="I993" t="s">
        <v>69</v>
      </c>
      <c r="J993" t="s">
        <v>57</v>
      </c>
      <c r="K993" t="s">
        <v>81</v>
      </c>
      <c r="L993" t="s">
        <v>82</v>
      </c>
      <c r="M993" s="24">
        <v>70</v>
      </c>
      <c r="N993" s="25">
        <v>6574.83</v>
      </c>
      <c r="O993" s="25">
        <f t="shared" si="124"/>
        <v>460238.1</v>
      </c>
      <c r="P993" s="25">
        <v>5390.61</v>
      </c>
      <c r="Q993" s="25">
        <f t="shared" si="125"/>
        <v>377342.69999999995</v>
      </c>
      <c r="R993" s="25">
        <f t="shared" si="126"/>
        <v>82895.400000000023</v>
      </c>
      <c r="S993" s="26">
        <f t="shared" si="127"/>
        <v>0.1801141626475514</v>
      </c>
    </row>
    <row r="994" spans="1:19" ht="15" x14ac:dyDescent="0.2">
      <c r="A994" s="23">
        <v>45918</v>
      </c>
      <c r="B994">
        <f t="shared" si="120"/>
        <v>2025</v>
      </c>
      <c r="C994">
        <f t="shared" si="121"/>
        <v>9</v>
      </c>
      <c r="D994" t="str">
        <f t="shared" si="122"/>
        <v>Septiembre</v>
      </c>
      <c r="E994" t="str">
        <f t="shared" si="123"/>
        <v>T3</v>
      </c>
      <c r="F994" t="s">
        <v>1119</v>
      </c>
      <c r="G994" t="s">
        <v>110</v>
      </c>
      <c r="H994" t="s">
        <v>62</v>
      </c>
      <c r="I994" t="s">
        <v>69</v>
      </c>
      <c r="J994" t="s">
        <v>57</v>
      </c>
      <c r="K994" t="s">
        <v>58</v>
      </c>
      <c r="L994" t="s">
        <v>59</v>
      </c>
      <c r="M994" s="24">
        <v>52</v>
      </c>
      <c r="N994" s="25">
        <v>6586.1</v>
      </c>
      <c r="O994" s="25">
        <f t="shared" si="124"/>
        <v>342477.2</v>
      </c>
      <c r="P994" s="25">
        <v>5409.93</v>
      </c>
      <c r="Q994" s="25">
        <f t="shared" si="125"/>
        <v>281316.36</v>
      </c>
      <c r="R994" s="25">
        <f t="shared" si="126"/>
        <v>61160.840000000026</v>
      </c>
      <c r="S994" s="26">
        <f t="shared" si="127"/>
        <v>0.17858368381895209</v>
      </c>
    </row>
    <row r="995" spans="1:19" ht="15" x14ac:dyDescent="0.2">
      <c r="A995" s="23">
        <v>45918</v>
      </c>
      <c r="B995">
        <f t="shared" si="120"/>
        <v>2025</v>
      </c>
      <c r="C995">
        <f t="shared" si="121"/>
        <v>9</v>
      </c>
      <c r="D995" t="str">
        <f t="shared" si="122"/>
        <v>Septiembre</v>
      </c>
      <c r="E995" t="str">
        <f t="shared" si="123"/>
        <v>T3</v>
      </c>
      <c r="F995" t="s">
        <v>1120</v>
      </c>
      <c r="G995" t="s">
        <v>61</v>
      </c>
      <c r="H995" t="s">
        <v>62</v>
      </c>
      <c r="I995" t="s">
        <v>63</v>
      </c>
      <c r="J995" t="s">
        <v>70</v>
      </c>
      <c r="K995" t="s">
        <v>71</v>
      </c>
      <c r="L995" t="s">
        <v>72</v>
      </c>
      <c r="M995" s="24">
        <v>26</v>
      </c>
      <c r="N995" s="25">
        <v>5617.26</v>
      </c>
      <c r="O995" s="25">
        <f t="shared" si="124"/>
        <v>146048.76</v>
      </c>
      <c r="P995" s="25">
        <v>4816.6499999999996</v>
      </c>
      <c r="Q995" s="25">
        <f t="shared" si="125"/>
        <v>125232.9</v>
      </c>
      <c r="R995" s="25">
        <f t="shared" si="126"/>
        <v>20815.860000000015</v>
      </c>
      <c r="S995" s="26">
        <f t="shared" si="127"/>
        <v>0.14252678352079137</v>
      </c>
    </row>
    <row r="996" spans="1:19" ht="15" x14ac:dyDescent="0.2">
      <c r="A996" s="23">
        <v>45918</v>
      </c>
      <c r="B996">
        <f t="shared" si="120"/>
        <v>2025</v>
      </c>
      <c r="C996">
        <f t="shared" si="121"/>
        <v>9</v>
      </c>
      <c r="D996" t="str">
        <f t="shared" si="122"/>
        <v>Septiembre</v>
      </c>
      <c r="E996" t="str">
        <f t="shared" si="123"/>
        <v>T3</v>
      </c>
      <c r="F996" t="s">
        <v>1121</v>
      </c>
      <c r="G996" t="s">
        <v>74</v>
      </c>
      <c r="H996" t="s">
        <v>75</v>
      </c>
      <c r="I996" t="s">
        <v>76</v>
      </c>
      <c r="J996" t="s">
        <v>64</v>
      </c>
      <c r="K996" t="s">
        <v>96</v>
      </c>
      <c r="L996" t="s">
        <v>97</v>
      </c>
      <c r="M996" s="24">
        <v>28</v>
      </c>
      <c r="N996" s="25">
        <v>40571.9</v>
      </c>
      <c r="O996" s="25">
        <f t="shared" si="124"/>
        <v>1136013.2</v>
      </c>
      <c r="P996" s="25">
        <v>28011.16</v>
      </c>
      <c r="Q996" s="25">
        <f t="shared" si="125"/>
        <v>784312.48</v>
      </c>
      <c r="R996" s="25">
        <f t="shared" si="126"/>
        <v>351700.72</v>
      </c>
      <c r="S996" s="26">
        <f t="shared" si="127"/>
        <v>0.3095921068522795</v>
      </c>
    </row>
    <row r="997" spans="1:19" ht="15" x14ac:dyDescent="0.2">
      <c r="A997" s="23">
        <v>45918</v>
      </c>
      <c r="B997">
        <f t="shared" si="120"/>
        <v>2025</v>
      </c>
      <c r="C997">
        <f t="shared" si="121"/>
        <v>9</v>
      </c>
      <c r="D997" t="str">
        <f t="shared" si="122"/>
        <v>Septiembre</v>
      </c>
      <c r="E997" t="str">
        <f t="shared" si="123"/>
        <v>T3</v>
      </c>
      <c r="F997" t="s">
        <v>1122</v>
      </c>
      <c r="G997" t="s">
        <v>74</v>
      </c>
      <c r="H997" t="s">
        <v>75</v>
      </c>
      <c r="I997" t="s">
        <v>76</v>
      </c>
      <c r="J997" t="s">
        <v>125</v>
      </c>
      <c r="K997" t="s">
        <v>138</v>
      </c>
      <c r="L997" t="s">
        <v>139</v>
      </c>
      <c r="M997" s="24">
        <v>8</v>
      </c>
      <c r="N997" s="25">
        <v>43067.37</v>
      </c>
      <c r="O997" s="25">
        <f t="shared" si="124"/>
        <v>344538.96</v>
      </c>
      <c r="P997" s="25">
        <v>29247.58</v>
      </c>
      <c r="Q997" s="25">
        <f t="shared" si="125"/>
        <v>233980.64</v>
      </c>
      <c r="R997" s="25">
        <f t="shared" si="126"/>
        <v>110558.32</v>
      </c>
      <c r="S997" s="26">
        <f t="shared" si="127"/>
        <v>0.32088771615262318</v>
      </c>
    </row>
    <row r="998" spans="1:19" ht="15" x14ac:dyDescent="0.2">
      <c r="A998" s="23">
        <v>45918</v>
      </c>
      <c r="B998">
        <f t="shared" si="120"/>
        <v>2025</v>
      </c>
      <c r="C998">
        <f t="shared" si="121"/>
        <v>9</v>
      </c>
      <c r="D998" t="str">
        <f t="shared" si="122"/>
        <v>Septiembre</v>
      </c>
      <c r="E998" t="str">
        <f t="shared" si="123"/>
        <v>T3</v>
      </c>
      <c r="F998" t="s">
        <v>1123</v>
      </c>
      <c r="G998" t="s">
        <v>206</v>
      </c>
      <c r="H998" t="s">
        <v>93</v>
      </c>
      <c r="I998" t="s">
        <v>207</v>
      </c>
      <c r="J998" t="s">
        <v>77</v>
      </c>
      <c r="K998" t="s">
        <v>107</v>
      </c>
      <c r="L998" t="s">
        <v>108</v>
      </c>
      <c r="M998" s="24">
        <v>3</v>
      </c>
      <c r="N998" s="25">
        <v>103695.28</v>
      </c>
      <c r="O998" s="25">
        <f t="shared" si="124"/>
        <v>311085.83999999997</v>
      </c>
      <c r="P998" s="25">
        <v>58265.57</v>
      </c>
      <c r="Q998" s="25">
        <f t="shared" si="125"/>
        <v>174796.71</v>
      </c>
      <c r="R998" s="25">
        <f t="shared" si="126"/>
        <v>136289.12999999998</v>
      </c>
      <c r="S998" s="26">
        <f t="shared" si="127"/>
        <v>0.43810779044137782</v>
      </c>
    </row>
    <row r="999" spans="1:19" ht="15" x14ac:dyDescent="0.2">
      <c r="A999" s="23">
        <v>45918</v>
      </c>
      <c r="B999">
        <f t="shared" si="120"/>
        <v>2025</v>
      </c>
      <c r="C999">
        <f t="shared" si="121"/>
        <v>9</v>
      </c>
      <c r="D999" t="str">
        <f t="shared" si="122"/>
        <v>Septiembre</v>
      </c>
      <c r="E999" t="str">
        <f t="shared" si="123"/>
        <v>T3</v>
      </c>
      <c r="F999" t="s">
        <v>1124</v>
      </c>
      <c r="G999" t="s">
        <v>92</v>
      </c>
      <c r="H999" t="s">
        <v>93</v>
      </c>
      <c r="I999" t="s">
        <v>94</v>
      </c>
      <c r="J999" t="s">
        <v>57</v>
      </c>
      <c r="K999" t="s">
        <v>81</v>
      </c>
      <c r="L999" t="s">
        <v>82</v>
      </c>
      <c r="M999" s="24">
        <v>12</v>
      </c>
      <c r="N999" s="25">
        <v>19583.86</v>
      </c>
      <c r="O999" s="25">
        <f t="shared" si="124"/>
        <v>235006.32</v>
      </c>
      <c r="P999" s="25">
        <v>11527.52</v>
      </c>
      <c r="Q999" s="25">
        <f t="shared" si="125"/>
        <v>138330.23999999999</v>
      </c>
      <c r="R999" s="25">
        <f t="shared" si="126"/>
        <v>96676.080000000016</v>
      </c>
      <c r="S999" s="26">
        <f t="shared" si="127"/>
        <v>0.41137651106574502</v>
      </c>
    </row>
    <row r="1000" spans="1:19" ht="15" x14ac:dyDescent="0.2">
      <c r="A1000" s="23">
        <v>45918</v>
      </c>
      <c r="B1000">
        <f t="shared" si="120"/>
        <v>2025</v>
      </c>
      <c r="C1000">
        <f t="shared" si="121"/>
        <v>9</v>
      </c>
      <c r="D1000" t="str">
        <f t="shared" si="122"/>
        <v>Septiembre</v>
      </c>
      <c r="E1000" t="str">
        <f t="shared" si="123"/>
        <v>T3</v>
      </c>
      <c r="F1000" t="s">
        <v>1125</v>
      </c>
      <c r="G1000" t="s">
        <v>92</v>
      </c>
      <c r="H1000" t="s">
        <v>93</v>
      </c>
      <c r="I1000" t="s">
        <v>94</v>
      </c>
      <c r="J1000" t="s">
        <v>125</v>
      </c>
      <c r="K1000" t="s">
        <v>126</v>
      </c>
      <c r="L1000" t="s">
        <v>127</v>
      </c>
      <c r="M1000" s="24">
        <v>4</v>
      </c>
      <c r="N1000" s="25">
        <v>19270.98</v>
      </c>
      <c r="O1000" s="25">
        <f t="shared" si="124"/>
        <v>77083.92</v>
      </c>
      <c r="P1000" s="25">
        <v>11375.32</v>
      </c>
      <c r="Q1000" s="25">
        <f t="shared" si="125"/>
        <v>45501.279999999999</v>
      </c>
      <c r="R1000" s="25">
        <f t="shared" si="126"/>
        <v>31582.639999999999</v>
      </c>
      <c r="S1000" s="26">
        <f t="shared" si="127"/>
        <v>0.40971761685186742</v>
      </c>
    </row>
    <row r="1001" spans="1:19" ht="15" x14ac:dyDescent="0.2">
      <c r="A1001" s="23">
        <v>45918</v>
      </c>
      <c r="B1001">
        <f t="shared" si="120"/>
        <v>2025</v>
      </c>
      <c r="C1001">
        <f t="shared" si="121"/>
        <v>9</v>
      </c>
      <c r="D1001" t="str">
        <f t="shared" si="122"/>
        <v>Septiembre</v>
      </c>
      <c r="E1001" t="str">
        <f t="shared" si="123"/>
        <v>T3</v>
      </c>
      <c r="F1001" t="s">
        <v>1126</v>
      </c>
      <c r="G1001" t="s">
        <v>92</v>
      </c>
      <c r="H1001" t="s">
        <v>93</v>
      </c>
      <c r="I1001" t="s">
        <v>94</v>
      </c>
      <c r="J1001" t="s">
        <v>70</v>
      </c>
      <c r="K1001" t="s">
        <v>84</v>
      </c>
      <c r="L1001" t="s">
        <v>85</v>
      </c>
      <c r="M1001" s="24">
        <v>2</v>
      </c>
      <c r="N1001" s="25">
        <v>18976.55</v>
      </c>
      <c r="O1001" s="25">
        <f t="shared" si="124"/>
        <v>37953.1</v>
      </c>
      <c r="P1001" s="25">
        <v>11751.26</v>
      </c>
      <c r="Q1001" s="25">
        <f t="shared" si="125"/>
        <v>23502.52</v>
      </c>
      <c r="R1001" s="25">
        <f t="shared" si="126"/>
        <v>14450.579999999998</v>
      </c>
      <c r="S1001" s="26">
        <f t="shared" si="127"/>
        <v>0.38074834466749746</v>
      </c>
    </row>
    <row r="1002" spans="1:19" ht="15" x14ac:dyDescent="0.2">
      <c r="A1002" s="23">
        <v>45919</v>
      </c>
      <c r="B1002">
        <f t="shared" si="120"/>
        <v>2025</v>
      </c>
      <c r="C1002">
        <f t="shared" si="121"/>
        <v>9</v>
      </c>
      <c r="D1002" t="str">
        <f t="shared" si="122"/>
        <v>Septiembre</v>
      </c>
      <c r="E1002" t="str">
        <f t="shared" si="123"/>
        <v>T3</v>
      </c>
      <c r="F1002" t="s">
        <v>1127</v>
      </c>
      <c r="G1002" t="s">
        <v>68</v>
      </c>
      <c r="H1002" t="s">
        <v>62</v>
      </c>
      <c r="I1002" t="s">
        <v>69</v>
      </c>
      <c r="J1002" t="s">
        <v>77</v>
      </c>
      <c r="K1002" t="s">
        <v>107</v>
      </c>
      <c r="L1002" t="s">
        <v>112</v>
      </c>
      <c r="M1002" s="24">
        <v>202</v>
      </c>
      <c r="N1002" s="25">
        <v>3308.97</v>
      </c>
      <c r="O1002" s="25">
        <f t="shared" si="124"/>
        <v>668411.93999999994</v>
      </c>
      <c r="P1002" s="25">
        <v>2602.98</v>
      </c>
      <c r="Q1002" s="25">
        <f t="shared" si="125"/>
        <v>525801.96</v>
      </c>
      <c r="R1002" s="25">
        <f t="shared" si="126"/>
        <v>142609.97999999998</v>
      </c>
      <c r="S1002" s="26">
        <f t="shared" si="127"/>
        <v>0.21335642208904884</v>
      </c>
    </row>
    <row r="1003" spans="1:19" ht="15" x14ac:dyDescent="0.2">
      <c r="A1003" s="23">
        <v>45919</v>
      </c>
      <c r="B1003">
        <f t="shared" si="120"/>
        <v>2025</v>
      </c>
      <c r="C1003">
        <f t="shared" si="121"/>
        <v>9</v>
      </c>
      <c r="D1003" t="str">
        <f t="shared" si="122"/>
        <v>Septiembre</v>
      </c>
      <c r="E1003" t="str">
        <f t="shared" si="123"/>
        <v>T3</v>
      </c>
      <c r="F1003" t="s">
        <v>1128</v>
      </c>
      <c r="G1003" t="s">
        <v>100</v>
      </c>
      <c r="H1003" t="s">
        <v>88</v>
      </c>
      <c r="I1003" t="s">
        <v>101</v>
      </c>
      <c r="J1003" t="s">
        <v>64</v>
      </c>
      <c r="K1003" t="s">
        <v>65</v>
      </c>
      <c r="L1003" t="s">
        <v>123</v>
      </c>
      <c r="M1003" s="24">
        <v>3</v>
      </c>
      <c r="N1003" s="25">
        <v>40650.449999999997</v>
      </c>
      <c r="O1003" s="25">
        <f t="shared" si="124"/>
        <v>121951.34999999999</v>
      </c>
      <c r="P1003" s="25">
        <v>22898.75</v>
      </c>
      <c r="Q1003" s="25">
        <f t="shared" si="125"/>
        <v>68696.25</v>
      </c>
      <c r="R1003" s="25">
        <f t="shared" si="126"/>
        <v>53255.099999999991</v>
      </c>
      <c r="S1003" s="26">
        <f t="shared" si="127"/>
        <v>0.4366913527402525</v>
      </c>
    </row>
    <row r="1004" spans="1:19" ht="15" x14ac:dyDescent="0.2">
      <c r="A1004" s="23">
        <v>45919</v>
      </c>
      <c r="B1004">
        <f t="shared" si="120"/>
        <v>2025</v>
      </c>
      <c r="C1004">
        <f t="shared" si="121"/>
        <v>9</v>
      </c>
      <c r="D1004" t="str">
        <f t="shared" si="122"/>
        <v>Septiembre</v>
      </c>
      <c r="E1004" t="str">
        <f t="shared" si="123"/>
        <v>T3</v>
      </c>
      <c r="F1004" t="s">
        <v>1129</v>
      </c>
      <c r="G1004" t="s">
        <v>149</v>
      </c>
      <c r="H1004" t="s">
        <v>93</v>
      </c>
      <c r="I1004" t="s">
        <v>150</v>
      </c>
      <c r="J1004" t="s">
        <v>64</v>
      </c>
      <c r="K1004" t="s">
        <v>96</v>
      </c>
      <c r="L1004" t="s">
        <v>97</v>
      </c>
      <c r="M1004" s="24">
        <v>6</v>
      </c>
      <c r="N1004" s="25">
        <v>44488.79</v>
      </c>
      <c r="O1004" s="25">
        <f t="shared" si="124"/>
        <v>266932.74</v>
      </c>
      <c r="P1004" s="25">
        <v>26674.67</v>
      </c>
      <c r="Q1004" s="25">
        <f t="shared" si="125"/>
        <v>160048.01999999999</v>
      </c>
      <c r="R1004" s="25">
        <f t="shared" si="126"/>
        <v>106884.72</v>
      </c>
      <c r="S1004" s="26">
        <f t="shared" si="127"/>
        <v>0.40041817275767672</v>
      </c>
    </row>
    <row r="1005" spans="1:19" ht="15" x14ac:dyDescent="0.2">
      <c r="A1005" s="23">
        <v>45919</v>
      </c>
      <c r="B1005">
        <f t="shared" si="120"/>
        <v>2025</v>
      </c>
      <c r="C1005">
        <f t="shared" si="121"/>
        <v>9</v>
      </c>
      <c r="D1005" t="str">
        <f t="shared" si="122"/>
        <v>Septiembre</v>
      </c>
      <c r="E1005" t="str">
        <f t="shared" si="123"/>
        <v>T3</v>
      </c>
      <c r="F1005" t="s">
        <v>1130</v>
      </c>
      <c r="G1005" t="s">
        <v>149</v>
      </c>
      <c r="H1005" t="s">
        <v>93</v>
      </c>
      <c r="I1005" t="s">
        <v>150</v>
      </c>
      <c r="J1005" t="s">
        <v>64</v>
      </c>
      <c r="K1005" t="s">
        <v>96</v>
      </c>
      <c r="L1005" t="s">
        <v>103</v>
      </c>
      <c r="M1005" s="24">
        <v>10</v>
      </c>
      <c r="N1005" s="25">
        <v>44022.59</v>
      </c>
      <c r="O1005" s="25">
        <f t="shared" si="124"/>
        <v>440225.89999999997</v>
      </c>
      <c r="P1005" s="25">
        <v>25950.21</v>
      </c>
      <c r="Q1005" s="25">
        <f t="shared" si="125"/>
        <v>259502.09999999998</v>
      </c>
      <c r="R1005" s="25">
        <f t="shared" si="126"/>
        <v>180723.8</v>
      </c>
      <c r="S1005" s="26">
        <f t="shared" si="127"/>
        <v>0.41052514175108734</v>
      </c>
    </row>
    <row r="1006" spans="1:19" ht="15" x14ac:dyDescent="0.2">
      <c r="A1006" s="23">
        <v>45920</v>
      </c>
      <c r="B1006">
        <f t="shared" si="120"/>
        <v>2025</v>
      </c>
      <c r="C1006">
        <f t="shared" si="121"/>
        <v>9</v>
      </c>
      <c r="D1006" t="str">
        <f t="shared" si="122"/>
        <v>Septiembre</v>
      </c>
      <c r="E1006" t="str">
        <f t="shared" si="123"/>
        <v>T3</v>
      </c>
      <c r="F1006" t="s">
        <v>1131</v>
      </c>
      <c r="G1006" t="s">
        <v>54</v>
      </c>
      <c r="H1006" t="s">
        <v>55</v>
      </c>
      <c r="I1006" t="s">
        <v>56</v>
      </c>
      <c r="J1006" t="s">
        <v>70</v>
      </c>
      <c r="K1006" t="s">
        <v>84</v>
      </c>
      <c r="L1006" t="s">
        <v>85</v>
      </c>
      <c r="M1006" s="24">
        <v>10</v>
      </c>
      <c r="N1006" s="25">
        <v>53179.03</v>
      </c>
      <c r="O1006" s="25">
        <f t="shared" si="124"/>
        <v>531790.30000000005</v>
      </c>
      <c r="P1006" s="25">
        <v>41479.69</v>
      </c>
      <c r="Q1006" s="25">
        <f t="shared" si="125"/>
        <v>414796.9</v>
      </c>
      <c r="R1006" s="25">
        <f t="shared" si="126"/>
        <v>116993.40000000002</v>
      </c>
      <c r="S1006" s="26">
        <f t="shared" si="127"/>
        <v>0.21999912371474248</v>
      </c>
    </row>
    <row r="1007" spans="1:19" ht="15" x14ac:dyDescent="0.2">
      <c r="A1007" s="23">
        <v>45920</v>
      </c>
      <c r="B1007">
        <f t="shared" si="120"/>
        <v>2025</v>
      </c>
      <c r="C1007">
        <f t="shared" si="121"/>
        <v>9</v>
      </c>
      <c r="D1007" t="str">
        <f t="shared" si="122"/>
        <v>Septiembre</v>
      </c>
      <c r="E1007" t="str">
        <f t="shared" si="123"/>
        <v>T3</v>
      </c>
      <c r="F1007" t="s">
        <v>1132</v>
      </c>
      <c r="G1007" t="s">
        <v>105</v>
      </c>
      <c r="H1007" t="s">
        <v>62</v>
      </c>
      <c r="I1007" t="s">
        <v>106</v>
      </c>
      <c r="J1007" t="s">
        <v>125</v>
      </c>
      <c r="K1007" t="s">
        <v>126</v>
      </c>
      <c r="L1007" t="s">
        <v>131</v>
      </c>
      <c r="M1007" s="24">
        <v>69</v>
      </c>
      <c r="N1007" s="25">
        <v>1825.2</v>
      </c>
      <c r="O1007" s="25">
        <f t="shared" si="124"/>
        <v>125938.8</v>
      </c>
      <c r="P1007" s="25">
        <v>1498.54</v>
      </c>
      <c r="Q1007" s="25">
        <f t="shared" si="125"/>
        <v>103399.26</v>
      </c>
      <c r="R1007" s="25">
        <f t="shared" si="126"/>
        <v>22539.540000000008</v>
      </c>
      <c r="S1007" s="26">
        <f t="shared" si="127"/>
        <v>0.17897216743370595</v>
      </c>
    </row>
    <row r="1008" spans="1:19" ht="15" x14ac:dyDescent="0.2">
      <c r="A1008" s="23">
        <v>45920</v>
      </c>
      <c r="B1008">
        <f t="shared" si="120"/>
        <v>2025</v>
      </c>
      <c r="C1008">
        <f t="shared" si="121"/>
        <v>9</v>
      </c>
      <c r="D1008" t="str">
        <f t="shared" si="122"/>
        <v>Septiembre</v>
      </c>
      <c r="E1008" t="str">
        <f t="shared" si="123"/>
        <v>T3</v>
      </c>
      <c r="F1008" t="s">
        <v>1133</v>
      </c>
      <c r="G1008" t="s">
        <v>105</v>
      </c>
      <c r="H1008" t="s">
        <v>62</v>
      </c>
      <c r="I1008" t="s">
        <v>106</v>
      </c>
      <c r="J1008" t="s">
        <v>125</v>
      </c>
      <c r="K1008" t="s">
        <v>126</v>
      </c>
      <c r="L1008" t="s">
        <v>127</v>
      </c>
      <c r="M1008" s="24">
        <v>180</v>
      </c>
      <c r="N1008" s="25">
        <v>1825.06</v>
      </c>
      <c r="O1008" s="25">
        <f t="shared" si="124"/>
        <v>328510.8</v>
      </c>
      <c r="P1008" s="25">
        <v>1502</v>
      </c>
      <c r="Q1008" s="25">
        <f t="shared" si="125"/>
        <v>270360</v>
      </c>
      <c r="R1008" s="25">
        <f t="shared" si="126"/>
        <v>58150.799999999988</v>
      </c>
      <c r="S1008" s="26">
        <f t="shared" si="127"/>
        <v>0.17701335846492716</v>
      </c>
    </row>
    <row r="1009" spans="1:19" ht="15" x14ac:dyDescent="0.2">
      <c r="A1009" s="23">
        <v>45920</v>
      </c>
      <c r="B1009">
        <f t="shared" si="120"/>
        <v>2025</v>
      </c>
      <c r="C1009">
        <f t="shared" si="121"/>
        <v>9</v>
      </c>
      <c r="D1009" t="str">
        <f t="shared" si="122"/>
        <v>Septiembre</v>
      </c>
      <c r="E1009" t="str">
        <f t="shared" si="123"/>
        <v>T3</v>
      </c>
      <c r="F1009" t="s">
        <v>1134</v>
      </c>
      <c r="G1009" t="s">
        <v>74</v>
      </c>
      <c r="H1009" t="s">
        <v>75</v>
      </c>
      <c r="I1009" t="s">
        <v>76</v>
      </c>
      <c r="J1009" t="s">
        <v>77</v>
      </c>
      <c r="K1009" t="s">
        <v>78</v>
      </c>
      <c r="L1009" t="s">
        <v>79</v>
      </c>
      <c r="M1009" s="24">
        <v>6</v>
      </c>
      <c r="N1009" s="25">
        <v>44993.919999999998</v>
      </c>
      <c r="O1009" s="25">
        <f t="shared" si="124"/>
        <v>269963.52000000002</v>
      </c>
      <c r="P1009" s="25">
        <v>29483.33</v>
      </c>
      <c r="Q1009" s="25">
        <f t="shared" si="125"/>
        <v>176899.98</v>
      </c>
      <c r="R1009" s="25">
        <f t="shared" si="126"/>
        <v>93063.540000000008</v>
      </c>
      <c r="S1009" s="26">
        <f t="shared" si="127"/>
        <v>0.34472635413851471</v>
      </c>
    </row>
    <row r="1010" spans="1:19" ht="15" x14ac:dyDescent="0.2">
      <c r="A1010" s="23">
        <v>45920</v>
      </c>
      <c r="B1010">
        <f t="shared" si="120"/>
        <v>2025</v>
      </c>
      <c r="C1010">
        <f t="shared" si="121"/>
        <v>9</v>
      </c>
      <c r="D1010" t="str">
        <f t="shared" si="122"/>
        <v>Septiembre</v>
      </c>
      <c r="E1010" t="str">
        <f t="shared" si="123"/>
        <v>T3</v>
      </c>
      <c r="F1010" t="s">
        <v>1135</v>
      </c>
      <c r="G1010" t="s">
        <v>100</v>
      </c>
      <c r="H1010" t="s">
        <v>88</v>
      </c>
      <c r="I1010" t="s">
        <v>101</v>
      </c>
      <c r="J1010" t="s">
        <v>70</v>
      </c>
      <c r="K1010" t="s">
        <v>71</v>
      </c>
      <c r="L1010" t="s">
        <v>90</v>
      </c>
      <c r="M1010" s="24">
        <v>2</v>
      </c>
      <c r="N1010" s="25">
        <v>42650.84</v>
      </c>
      <c r="O1010" s="25">
        <f t="shared" si="124"/>
        <v>85301.68</v>
      </c>
      <c r="P1010" s="25">
        <v>24757.55</v>
      </c>
      <c r="Q1010" s="25">
        <f t="shared" si="125"/>
        <v>49515.1</v>
      </c>
      <c r="R1010" s="25">
        <f t="shared" si="126"/>
        <v>35786.579999999994</v>
      </c>
      <c r="S1010" s="26">
        <f t="shared" si="127"/>
        <v>0.4195296036373492</v>
      </c>
    </row>
    <row r="1011" spans="1:19" ht="15" x14ac:dyDescent="0.2">
      <c r="A1011" s="23">
        <v>45921</v>
      </c>
      <c r="B1011">
        <f t="shared" si="120"/>
        <v>2025</v>
      </c>
      <c r="C1011">
        <f t="shared" si="121"/>
        <v>9</v>
      </c>
      <c r="D1011" t="str">
        <f t="shared" si="122"/>
        <v>Septiembre</v>
      </c>
      <c r="E1011" t="str">
        <f t="shared" si="123"/>
        <v>T3</v>
      </c>
      <c r="F1011" t="s">
        <v>1136</v>
      </c>
      <c r="G1011" t="s">
        <v>54</v>
      </c>
      <c r="H1011" t="s">
        <v>55</v>
      </c>
      <c r="I1011" t="s">
        <v>56</v>
      </c>
      <c r="J1011" t="s">
        <v>125</v>
      </c>
      <c r="K1011" t="s">
        <v>126</v>
      </c>
      <c r="L1011" t="s">
        <v>131</v>
      </c>
      <c r="M1011" s="24">
        <v>6</v>
      </c>
      <c r="N1011" s="25">
        <v>60204.18</v>
      </c>
      <c r="O1011" s="25">
        <f t="shared" si="124"/>
        <v>361225.08</v>
      </c>
      <c r="P1011" s="25">
        <v>44469.42</v>
      </c>
      <c r="Q1011" s="25">
        <f t="shared" si="125"/>
        <v>266816.52</v>
      </c>
      <c r="R1011" s="25">
        <f t="shared" si="126"/>
        <v>94408.56</v>
      </c>
      <c r="S1011" s="26">
        <f t="shared" si="127"/>
        <v>0.26135660347836309</v>
      </c>
    </row>
    <row r="1012" spans="1:19" ht="15" x14ac:dyDescent="0.2">
      <c r="A1012" s="23">
        <v>45921</v>
      </c>
      <c r="B1012">
        <f t="shared" si="120"/>
        <v>2025</v>
      </c>
      <c r="C1012">
        <f t="shared" si="121"/>
        <v>9</v>
      </c>
      <c r="D1012" t="str">
        <f t="shared" si="122"/>
        <v>Septiembre</v>
      </c>
      <c r="E1012" t="str">
        <f t="shared" si="123"/>
        <v>T3</v>
      </c>
      <c r="F1012" t="s">
        <v>1137</v>
      </c>
      <c r="G1012" t="s">
        <v>74</v>
      </c>
      <c r="H1012" t="s">
        <v>75</v>
      </c>
      <c r="I1012" t="s">
        <v>76</v>
      </c>
      <c r="J1012" t="s">
        <v>125</v>
      </c>
      <c r="K1012" t="s">
        <v>138</v>
      </c>
      <c r="L1012" t="s">
        <v>139</v>
      </c>
      <c r="M1012" s="24">
        <v>6</v>
      </c>
      <c r="N1012" s="25">
        <v>43081.33</v>
      </c>
      <c r="O1012" s="25">
        <f t="shared" si="124"/>
        <v>258487.98</v>
      </c>
      <c r="P1012" s="25">
        <v>28656.62</v>
      </c>
      <c r="Q1012" s="25">
        <f t="shared" si="125"/>
        <v>171939.72</v>
      </c>
      <c r="R1012" s="25">
        <f t="shared" si="126"/>
        <v>86548.260000000009</v>
      </c>
      <c r="S1012" s="26">
        <f t="shared" si="127"/>
        <v>0.33482508548366546</v>
      </c>
    </row>
    <row r="1013" spans="1:19" ht="15" x14ac:dyDescent="0.2">
      <c r="A1013" s="23">
        <v>45921</v>
      </c>
      <c r="B1013">
        <f t="shared" si="120"/>
        <v>2025</v>
      </c>
      <c r="C1013">
        <f t="shared" si="121"/>
        <v>9</v>
      </c>
      <c r="D1013" t="str">
        <f t="shared" si="122"/>
        <v>Septiembre</v>
      </c>
      <c r="E1013" t="str">
        <f t="shared" si="123"/>
        <v>T3</v>
      </c>
      <c r="F1013" t="s">
        <v>1138</v>
      </c>
      <c r="G1013" t="s">
        <v>74</v>
      </c>
      <c r="H1013" t="s">
        <v>75</v>
      </c>
      <c r="I1013" t="s">
        <v>76</v>
      </c>
      <c r="J1013" t="s">
        <v>70</v>
      </c>
      <c r="K1013" t="s">
        <v>84</v>
      </c>
      <c r="L1013" t="s">
        <v>85</v>
      </c>
      <c r="M1013" s="24">
        <v>1</v>
      </c>
      <c r="N1013" s="25">
        <v>33623.69</v>
      </c>
      <c r="O1013" s="25">
        <f t="shared" si="124"/>
        <v>33623.69</v>
      </c>
      <c r="P1013" s="25">
        <v>24134.74</v>
      </c>
      <c r="Q1013" s="25">
        <f t="shared" si="125"/>
        <v>24134.74</v>
      </c>
      <c r="R1013" s="25">
        <f t="shared" si="126"/>
        <v>9488.9500000000007</v>
      </c>
      <c r="S1013" s="26">
        <f t="shared" si="127"/>
        <v>0.28221025116517551</v>
      </c>
    </row>
    <row r="1014" spans="1:19" ht="15" x14ac:dyDescent="0.2">
      <c r="A1014" s="23">
        <v>45921</v>
      </c>
      <c r="B1014">
        <f t="shared" si="120"/>
        <v>2025</v>
      </c>
      <c r="C1014">
        <f t="shared" si="121"/>
        <v>9</v>
      </c>
      <c r="D1014" t="str">
        <f t="shared" si="122"/>
        <v>Septiembre</v>
      </c>
      <c r="E1014" t="str">
        <f t="shared" si="123"/>
        <v>T3</v>
      </c>
      <c r="F1014" t="s">
        <v>1139</v>
      </c>
      <c r="G1014" t="s">
        <v>100</v>
      </c>
      <c r="H1014" t="s">
        <v>88</v>
      </c>
      <c r="I1014" t="s">
        <v>101</v>
      </c>
      <c r="J1014" t="s">
        <v>64</v>
      </c>
      <c r="K1014" t="s">
        <v>65</v>
      </c>
      <c r="L1014" t="s">
        <v>66</v>
      </c>
      <c r="M1014" s="24">
        <v>11</v>
      </c>
      <c r="N1014" s="25">
        <v>37926.07</v>
      </c>
      <c r="O1014" s="25">
        <f t="shared" si="124"/>
        <v>417186.77</v>
      </c>
      <c r="P1014" s="25">
        <v>21142.26</v>
      </c>
      <c r="Q1014" s="25">
        <f t="shared" si="125"/>
        <v>232564.86</v>
      </c>
      <c r="R1014" s="25">
        <f t="shared" si="126"/>
        <v>184621.91000000003</v>
      </c>
      <c r="S1014" s="26">
        <f t="shared" si="127"/>
        <v>0.44254018410027723</v>
      </c>
    </row>
    <row r="1015" spans="1:19" ht="15" x14ac:dyDescent="0.2">
      <c r="A1015" s="23">
        <v>45921</v>
      </c>
      <c r="B1015">
        <f t="shared" si="120"/>
        <v>2025</v>
      </c>
      <c r="C1015">
        <f t="shared" si="121"/>
        <v>9</v>
      </c>
      <c r="D1015" t="str">
        <f t="shared" si="122"/>
        <v>Septiembre</v>
      </c>
      <c r="E1015" t="str">
        <f t="shared" si="123"/>
        <v>T3</v>
      </c>
      <c r="F1015" t="s">
        <v>1140</v>
      </c>
      <c r="G1015" t="s">
        <v>87</v>
      </c>
      <c r="H1015" t="s">
        <v>88</v>
      </c>
      <c r="I1015" t="s">
        <v>89</v>
      </c>
      <c r="J1015" t="s">
        <v>70</v>
      </c>
      <c r="K1015" t="s">
        <v>84</v>
      </c>
      <c r="L1015" t="s">
        <v>147</v>
      </c>
      <c r="M1015" s="24">
        <v>4</v>
      </c>
      <c r="N1015" s="25">
        <v>61459.73</v>
      </c>
      <c r="O1015" s="25">
        <f t="shared" si="124"/>
        <v>245838.92</v>
      </c>
      <c r="P1015" s="25">
        <v>36182.65</v>
      </c>
      <c r="Q1015" s="25">
        <f t="shared" si="125"/>
        <v>144730.6</v>
      </c>
      <c r="R1015" s="25">
        <f t="shared" si="126"/>
        <v>101108.32</v>
      </c>
      <c r="S1015" s="26">
        <f t="shared" si="127"/>
        <v>0.41127873487241157</v>
      </c>
    </row>
    <row r="1016" spans="1:19" ht="15" x14ac:dyDescent="0.2">
      <c r="A1016" s="23">
        <v>45922</v>
      </c>
      <c r="B1016">
        <f t="shared" si="120"/>
        <v>2025</v>
      </c>
      <c r="C1016">
        <f t="shared" si="121"/>
        <v>9</v>
      </c>
      <c r="D1016" t="str">
        <f t="shared" si="122"/>
        <v>Septiembre</v>
      </c>
      <c r="E1016" t="str">
        <f t="shared" si="123"/>
        <v>T3</v>
      </c>
      <c r="F1016" t="s">
        <v>1141</v>
      </c>
      <c r="G1016" t="s">
        <v>87</v>
      </c>
      <c r="H1016" t="s">
        <v>88</v>
      </c>
      <c r="I1016" t="s">
        <v>89</v>
      </c>
      <c r="J1016" t="s">
        <v>57</v>
      </c>
      <c r="K1016" t="s">
        <v>81</v>
      </c>
      <c r="L1016" t="s">
        <v>129</v>
      </c>
      <c r="M1016" s="24">
        <v>3</v>
      </c>
      <c r="N1016" s="25">
        <v>50370.18</v>
      </c>
      <c r="O1016" s="25">
        <f t="shared" si="124"/>
        <v>151110.54</v>
      </c>
      <c r="P1016" s="25">
        <v>27867.06</v>
      </c>
      <c r="Q1016" s="25">
        <f t="shared" si="125"/>
        <v>83601.180000000008</v>
      </c>
      <c r="R1016" s="25">
        <f t="shared" si="126"/>
        <v>67509.36</v>
      </c>
      <c r="S1016" s="26">
        <f t="shared" si="127"/>
        <v>0.44675480611742896</v>
      </c>
    </row>
    <row r="1017" spans="1:19" ht="15" x14ac:dyDescent="0.2">
      <c r="A1017" s="23">
        <v>45922</v>
      </c>
      <c r="B1017">
        <f t="shared" si="120"/>
        <v>2025</v>
      </c>
      <c r="C1017">
        <f t="shared" si="121"/>
        <v>9</v>
      </c>
      <c r="D1017" t="str">
        <f t="shared" si="122"/>
        <v>Septiembre</v>
      </c>
      <c r="E1017" t="str">
        <f t="shared" si="123"/>
        <v>T3</v>
      </c>
      <c r="F1017" t="s">
        <v>1142</v>
      </c>
      <c r="G1017" t="s">
        <v>144</v>
      </c>
      <c r="H1017" t="s">
        <v>88</v>
      </c>
      <c r="I1017" t="s">
        <v>145</v>
      </c>
      <c r="J1017" t="s">
        <v>70</v>
      </c>
      <c r="K1017" t="s">
        <v>84</v>
      </c>
      <c r="L1017" t="s">
        <v>147</v>
      </c>
      <c r="M1017" s="24">
        <v>10</v>
      </c>
      <c r="N1017" s="25">
        <v>11699.17</v>
      </c>
      <c r="O1017" s="25">
        <f t="shared" si="124"/>
        <v>116991.7</v>
      </c>
      <c r="P1017" s="25">
        <v>6683.16</v>
      </c>
      <c r="Q1017" s="25">
        <f t="shared" si="125"/>
        <v>66831.600000000006</v>
      </c>
      <c r="R1017" s="25">
        <f t="shared" si="126"/>
        <v>50160.099999999991</v>
      </c>
      <c r="S1017" s="26">
        <f t="shared" si="127"/>
        <v>0.42874921896168694</v>
      </c>
    </row>
    <row r="1018" spans="1:19" ht="15" x14ac:dyDescent="0.2">
      <c r="A1018" s="23">
        <v>45922</v>
      </c>
      <c r="B1018">
        <f t="shared" si="120"/>
        <v>2025</v>
      </c>
      <c r="C1018">
        <f t="shared" si="121"/>
        <v>9</v>
      </c>
      <c r="D1018" t="str">
        <f t="shared" si="122"/>
        <v>Septiembre</v>
      </c>
      <c r="E1018" t="str">
        <f t="shared" si="123"/>
        <v>T3</v>
      </c>
      <c r="F1018" t="s">
        <v>1143</v>
      </c>
      <c r="G1018" t="s">
        <v>92</v>
      </c>
      <c r="H1018" t="s">
        <v>93</v>
      </c>
      <c r="I1018" t="s">
        <v>94</v>
      </c>
      <c r="J1018" t="s">
        <v>64</v>
      </c>
      <c r="K1018" t="s">
        <v>96</v>
      </c>
      <c r="L1018" t="s">
        <v>97</v>
      </c>
      <c r="M1018" s="24">
        <v>2</v>
      </c>
      <c r="N1018" s="25">
        <v>23371.08</v>
      </c>
      <c r="O1018" s="25">
        <f t="shared" si="124"/>
        <v>46742.16</v>
      </c>
      <c r="P1018" s="25">
        <v>14443.85</v>
      </c>
      <c r="Q1018" s="25">
        <f t="shared" si="125"/>
        <v>28887.7</v>
      </c>
      <c r="R1018" s="25">
        <f t="shared" si="126"/>
        <v>17854.460000000003</v>
      </c>
      <c r="S1018" s="26">
        <f t="shared" si="127"/>
        <v>0.38197764074231916</v>
      </c>
    </row>
    <row r="1019" spans="1:19" ht="15" x14ac:dyDescent="0.2">
      <c r="A1019" s="23">
        <v>45923</v>
      </c>
      <c r="B1019">
        <f t="shared" si="120"/>
        <v>2025</v>
      </c>
      <c r="C1019">
        <f t="shared" si="121"/>
        <v>9</v>
      </c>
      <c r="D1019" t="str">
        <f t="shared" si="122"/>
        <v>Septiembre</v>
      </c>
      <c r="E1019" t="str">
        <f t="shared" si="123"/>
        <v>T3</v>
      </c>
      <c r="F1019" t="s">
        <v>1144</v>
      </c>
      <c r="G1019" t="s">
        <v>74</v>
      </c>
      <c r="H1019" t="s">
        <v>75</v>
      </c>
      <c r="I1019" t="s">
        <v>76</v>
      </c>
      <c r="J1019" t="s">
        <v>70</v>
      </c>
      <c r="K1019" t="s">
        <v>71</v>
      </c>
      <c r="L1019" t="s">
        <v>90</v>
      </c>
      <c r="M1019" s="24">
        <v>6</v>
      </c>
      <c r="N1019" s="25">
        <v>36870.29</v>
      </c>
      <c r="O1019" s="25">
        <f t="shared" si="124"/>
        <v>221221.74</v>
      </c>
      <c r="P1019" s="25">
        <v>26982.12</v>
      </c>
      <c r="Q1019" s="25">
        <f t="shared" si="125"/>
        <v>161892.72</v>
      </c>
      <c r="R1019" s="25">
        <f t="shared" si="126"/>
        <v>59329.01999999999</v>
      </c>
      <c r="S1019" s="26">
        <f t="shared" si="127"/>
        <v>0.2681880180492206</v>
      </c>
    </row>
    <row r="1020" spans="1:19" ht="15" x14ac:dyDescent="0.2">
      <c r="A1020" s="23">
        <v>45923</v>
      </c>
      <c r="B1020">
        <f t="shared" si="120"/>
        <v>2025</v>
      </c>
      <c r="C1020">
        <f t="shared" si="121"/>
        <v>9</v>
      </c>
      <c r="D1020" t="str">
        <f t="shared" si="122"/>
        <v>Septiembre</v>
      </c>
      <c r="E1020" t="str">
        <f t="shared" si="123"/>
        <v>T3</v>
      </c>
      <c r="F1020" t="s">
        <v>1145</v>
      </c>
      <c r="G1020" t="s">
        <v>100</v>
      </c>
      <c r="H1020" t="s">
        <v>88</v>
      </c>
      <c r="I1020" t="s">
        <v>101</v>
      </c>
      <c r="J1020" t="s">
        <v>77</v>
      </c>
      <c r="K1020" t="s">
        <v>78</v>
      </c>
      <c r="L1020" t="s">
        <v>117</v>
      </c>
      <c r="M1020" s="24">
        <v>9</v>
      </c>
      <c r="N1020" s="25">
        <v>38381.96</v>
      </c>
      <c r="O1020" s="25">
        <f t="shared" si="124"/>
        <v>345437.64</v>
      </c>
      <c r="P1020" s="25">
        <v>21032.61</v>
      </c>
      <c r="Q1020" s="25">
        <f t="shared" si="125"/>
        <v>189293.49</v>
      </c>
      <c r="R1020" s="25">
        <f t="shared" si="126"/>
        <v>156144.15000000002</v>
      </c>
      <c r="S1020" s="26">
        <f t="shared" si="127"/>
        <v>0.45201834403454128</v>
      </c>
    </row>
    <row r="1021" spans="1:19" ht="15" x14ac:dyDescent="0.2">
      <c r="A1021" s="23">
        <v>45923</v>
      </c>
      <c r="B1021">
        <f t="shared" si="120"/>
        <v>2025</v>
      </c>
      <c r="C1021">
        <f t="shared" si="121"/>
        <v>9</v>
      </c>
      <c r="D1021" t="str">
        <f t="shared" si="122"/>
        <v>Septiembre</v>
      </c>
      <c r="E1021" t="str">
        <f t="shared" si="123"/>
        <v>T3</v>
      </c>
      <c r="F1021" t="s">
        <v>1146</v>
      </c>
      <c r="G1021" t="s">
        <v>144</v>
      </c>
      <c r="H1021" t="s">
        <v>88</v>
      </c>
      <c r="I1021" t="s">
        <v>145</v>
      </c>
      <c r="J1021" t="s">
        <v>125</v>
      </c>
      <c r="K1021" t="s">
        <v>138</v>
      </c>
      <c r="L1021" t="s">
        <v>139</v>
      </c>
      <c r="M1021" s="24">
        <v>35</v>
      </c>
      <c r="N1021" s="25">
        <v>13133.9</v>
      </c>
      <c r="O1021" s="25">
        <f t="shared" si="124"/>
        <v>459686.5</v>
      </c>
      <c r="P1021" s="25">
        <v>7029.58</v>
      </c>
      <c r="Q1021" s="25">
        <f t="shared" si="125"/>
        <v>246035.3</v>
      </c>
      <c r="R1021" s="25">
        <f t="shared" si="126"/>
        <v>213651.20000000001</v>
      </c>
      <c r="S1021" s="26">
        <f t="shared" si="127"/>
        <v>0.46477588530444119</v>
      </c>
    </row>
    <row r="1022" spans="1:19" ht="15" x14ac:dyDescent="0.2">
      <c r="A1022" s="23">
        <v>45923</v>
      </c>
      <c r="B1022">
        <f t="shared" si="120"/>
        <v>2025</v>
      </c>
      <c r="C1022">
        <f t="shared" si="121"/>
        <v>9</v>
      </c>
      <c r="D1022" t="str">
        <f t="shared" si="122"/>
        <v>Septiembre</v>
      </c>
      <c r="E1022" t="str">
        <f t="shared" si="123"/>
        <v>T3</v>
      </c>
      <c r="F1022" t="s">
        <v>1147</v>
      </c>
      <c r="G1022" t="s">
        <v>149</v>
      </c>
      <c r="H1022" t="s">
        <v>93</v>
      </c>
      <c r="I1022" t="s">
        <v>150</v>
      </c>
      <c r="J1022" t="s">
        <v>125</v>
      </c>
      <c r="K1022" t="s">
        <v>138</v>
      </c>
      <c r="L1022" t="s">
        <v>142</v>
      </c>
      <c r="M1022" s="24">
        <v>6</v>
      </c>
      <c r="N1022" s="25">
        <v>44330.98</v>
      </c>
      <c r="O1022" s="25">
        <f t="shared" si="124"/>
        <v>265985.88</v>
      </c>
      <c r="P1022" s="25">
        <v>25947.94</v>
      </c>
      <c r="Q1022" s="25">
        <f t="shared" si="125"/>
        <v>155687.63999999998</v>
      </c>
      <c r="R1022" s="25">
        <f t="shared" si="126"/>
        <v>110298.24000000002</v>
      </c>
      <c r="S1022" s="26">
        <f t="shared" si="127"/>
        <v>0.41467704977422115</v>
      </c>
    </row>
    <row r="1023" spans="1:19" ht="15" x14ac:dyDescent="0.2">
      <c r="A1023" s="23">
        <v>45924</v>
      </c>
      <c r="B1023">
        <f t="shared" si="120"/>
        <v>2025</v>
      </c>
      <c r="C1023">
        <f t="shared" si="121"/>
        <v>9</v>
      </c>
      <c r="D1023" t="str">
        <f t="shared" si="122"/>
        <v>Septiembre</v>
      </c>
      <c r="E1023" t="str">
        <f t="shared" si="123"/>
        <v>T3</v>
      </c>
      <c r="F1023" t="s">
        <v>1148</v>
      </c>
      <c r="G1023" t="s">
        <v>282</v>
      </c>
      <c r="H1023" t="s">
        <v>55</v>
      </c>
      <c r="I1023" t="s">
        <v>56</v>
      </c>
      <c r="J1023" t="s">
        <v>64</v>
      </c>
      <c r="K1023" t="s">
        <v>65</v>
      </c>
      <c r="L1023" t="s">
        <v>123</v>
      </c>
      <c r="M1023" s="24">
        <v>3</v>
      </c>
      <c r="N1023" s="25">
        <v>523166.73</v>
      </c>
      <c r="O1023" s="25">
        <f t="shared" si="124"/>
        <v>1569500.19</v>
      </c>
      <c r="P1023" s="25">
        <v>397940.39</v>
      </c>
      <c r="Q1023" s="25">
        <f t="shared" si="125"/>
        <v>1193821.17</v>
      </c>
      <c r="R1023" s="25">
        <f t="shared" si="126"/>
        <v>375679.02</v>
      </c>
      <c r="S1023" s="26">
        <f t="shared" si="127"/>
        <v>0.23936220103292885</v>
      </c>
    </row>
    <row r="1024" spans="1:19" ht="15" x14ac:dyDescent="0.2">
      <c r="A1024" s="23">
        <v>45924</v>
      </c>
      <c r="B1024">
        <f t="shared" si="120"/>
        <v>2025</v>
      </c>
      <c r="C1024">
        <f t="shared" si="121"/>
        <v>9</v>
      </c>
      <c r="D1024" t="str">
        <f t="shared" si="122"/>
        <v>Septiembre</v>
      </c>
      <c r="E1024" t="str">
        <f t="shared" si="123"/>
        <v>T3</v>
      </c>
      <c r="F1024" t="s">
        <v>1149</v>
      </c>
      <c r="G1024" t="s">
        <v>54</v>
      </c>
      <c r="H1024" t="s">
        <v>55</v>
      </c>
      <c r="I1024" t="s">
        <v>56</v>
      </c>
      <c r="J1024" t="s">
        <v>125</v>
      </c>
      <c r="K1024" t="s">
        <v>138</v>
      </c>
      <c r="L1024" t="s">
        <v>139</v>
      </c>
      <c r="M1024" s="24">
        <v>5</v>
      </c>
      <c r="N1024" s="25">
        <v>61746.879999999997</v>
      </c>
      <c r="O1024" s="25">
        <f t="shared" si="124"/>
        <v>308734.39999999997</v>
      </c>
      <c r="P1024" s="25">
        <v>45245.19</v>
      </c>
      <c r="Q1024" s="25">
        <f t="shared" si="125"/>
        <v>226225.95</v>
      </c>
      <c r="R1024" s="25">
        <f t="shared" si="126"/>
        <v>82508.449999999953</v>
      </c>
      <c r="S1024" s="26">
        <f t="shared" si="127"/>
        <v>0.26724734917780452</v>
      </c>
    </row>
    <row r="1025" spans="1:19" ht="15" x14ac:dyDescent="0.2">
      <c r="A1025" s="23">
        <v>45924</v>
      </c>
      <c r="B1025">
        <f t="shared" si="120"/>
        <v>2025</v>
      </c>
      <c r="C1025">
        <f t="shared" si="121"/>
        <v>9</v>
      </c>
      <c r="D1025" t="str">
        <f t="shared" si="122"/>
        <v>Septiembre</v>
      </c>
      <c r="E1025" t="str">
        <f t="shared" si="123"/>
        <v>T3</v>
      </c>
      <c r="F1025" t="s">
        <v>1150</v>
      </c>
      <c r="G1025" t="s">
        <v>61</v>
      </c>
      <c r="H1025" t="s">
        <v>62</v>
      </c>
      <c r="I1025" t="s">
        <v>63</v>
      </c>
      <c r="J1025" t="s">
        <v>64</v>
      </c>
      <c r="K1025" t="s">
        <v>96</v>
      </c>
      <c r="L1025" t="s">
        <v>97</v>
      </c>
      <c r="M1025" s="24">
        <v>198</v>
      </c>
      <c r="N1025" s="25">
        <v>5741.32</v>
      </c>
      <c r="O1025" s="25">
        <f t="shared" si="124"/>
        <v>1136781.3599999999</v>
      </c>
      <c r="P1025" s="25">
        <v>4797.08</v>
      </c>
      <c r="Q1025" s="25">
        <f t="shared" si="125"/>
        <v>949821.84</v>
      </c>
      <c r="R1025" s="25">
        <f t="shared" si="126"/>
        <v>186959.5199999999</v>
      </c>
      <c r="S1025" s="26">
        <f t="shared" si="127"/>
        <v>0.16446392118885544</v>
      </c>
    </row>
    <row r="1026" spans="1:19" ht="15" x14ac:dyDescent="0.2">
      <c r="A1026" s="23">
        <v>45924</v>
      </c>
      <c r="B1026">
        <f t="shared" ref="B1026:B1089" si="128">YEAR($A1026)</f>
        <v>2025</v>
      </c>
      <c r="C1026">
        <f t="shared" ref="C1026:C1089" si="129">MONTH($A1026)</f>
        <v>9</v>
      </c>
      <c r="D1026" t="str">
        <f t="shared" ref="D1026:D1089" si="130">INDEX(lst_Meses,MONTH($A1026))</f>
        <v>Septiembre</v>
      </c>
      <c r="E1026" t="str">
        <f t="shared" ref="E1026:E1089" si="131">"T"&amp;ROUNDUP(MONTH($A1026)/3,0)</f>
        <v>T3</v>
      </c>
      <c r="F1026" t="s">
        <v>1151</v>
      </c>
      <c r="G1026" t="s">
        <v>188</v>
      </c>
      <c r="H1026" t="s">
        <v>88</v>
      </c>
      <c r="I1026" t="s">
        <v>189</v>
      </c>
      <c r="J1026" t="s">
        <v>77</v>
      </c>
      <c r="K1026" t="s">
        <v>78</v>
      </c>
      <c r="L1026" t="s">
        <v>79</v>
      </c>
      <c r="M1026" s="24">
        <v>2</v>
      </c>
      <c r="N1026" s="25">
        <v>85880.65</v>
      </c>
      <c r="O1026" s="25">
        <f t="shared" ref="O1026:O1089" si="132">$M1026*$N1026</f>
        <v>171761.3</v>
      </c>
      <c r="P1026" s="25">
        <v>46633.39</v>
      </c>
      <c r="Q1026" s="25">
        <f t="shared" ref="Q1026:Q1089" si="133">$M1026*$P1026</f>
        <v>93266.78</v>
      </c>
      <c r="R1026" s="25">
        <f t="shared" ref="R1026:R1089" si="134">$O1026-$Q1026</f>
        <v>78494.51999999999</v>
      </c>
      <c r="S1026" s="26">
        <f t="shared" ref="S1026:S1089" si="135">IFERROR($R1026/$O1026,0)</f>
        <v>0.45699770553669539</v>
      </c>
    </row>
    <row r="1027" spans="1:19" ht="15" x14ac:dyDescent="0.2">
      <c r="A1027" s="23">
        <v>45924</v>
      </c>
      <c r="B1027">
        <f t="shared" si="128"/>
        <v>2025</v>
      </c>
      <c r="C1027">
        <f t="shared" si="129"/>
        <v>9</v>
      </c>
      <c r="D1027" t="str">
        <f t="shared" si="130"/>
        <v>Septiembre</v>
      </c>
      <c r="E1027" t="str">
        <f t="shared" si="131"/>
        <v>T3</v>
      </c>
      <c r="F1027" t="s">
        <v>1152</v>
      </c>
      <c r="G1027" t="s">
        <v>149</v>
      </c>
      <c r="H1027" t="s">
        <v>93</v>
      </c>
      <c r="I1027" t="s">
        <v>150</v>
      </c>
      <c r="J1027" t="s">
        <v>77</v>
      </c>
      <c r="K1027" t="s">
        <v>107</v>
      </c>
      <c r="L1027" t="s">
        <v>108</v>
      </c>
      <c r="M1027" s="24">
        <v>8</v>
      </c>
      <c r="N1027" s="25">
        <v>49928.33</v>
      </c>
      <c r="O1027" s="25">
        <f t="shared" si="132"/>
        <v>399426.64</v>
      </c>
      <c r="P1027" s="25">
        <v>26642.93</v>
      </c>
      <c r="Q1027" s="25">
        <f t="shared" si="133"/>
        <v>213143.44</v>
      </c>
      <c r="R1027" s="25">
        <f t="shared" si="134"/>
        <v>186283.2</v>
      </c>
      <c r="S1027" s="26">
        <f t="shared" si="135"/>
        <v>0.46637650408094966</v>
      </c>
    </row>
    <row r="1028" spans="1:19" ht="15" x14ac:dyDescent="0.2">
      <c r="A1028" s="23">
        <v>45924</v>
      </c>
      <c r="B1028">
        <f t="shared" si="128"/>
        <v>2025</v>
      </c>
      <c r="C1028">
        <f t="shared" si="129"/>
        <v>9</v>
      </c>
      <c r="D1028" t="str">
        <f t="shared" si="130"/>
        <v>Septiembre</v>
      </c>
      <c r="E1028" t="str">
        <f t="shared" si="131"/>
        <v>T3</v>
      </c>
      <c r="F1028" t="s">
        <v>1153</v>
      </c>
      <c r="G1028" t="s">
        <v>92</v>
      </c>
      <c r="H1028" t="s">
        <v>93</v>
      </c>
      <c r="I1028" t="s">
        <v>94</v>
      </c>
      <c r="J1028" t="s">
        <v>125</v>
      </c>
      <c r="K1028" t="s">
        <v>126</v>
      </c>
      <c r="L1028" t="s">
        <v>131</v>
      </c>
      <c r="M1028" s="24">
        <v>6</v>
      </c>
      <c r="N1028" s="25">
        <v>20458.009999999998</v>
      </c>
      <c r="O1028" s="25">
        <f t="shared" si="132"/>
        <v>122748.06</v>
      </c>
      <c r="P1028" s="25">
        <v>11987.69</v>
      </c>
      <c r="Q1028" s="25">
        <f t="shared" si="133"/>
        <v>71926.14</v>
      </c>
      <c r="R1028" s="25">
        <f t="shared" si="134"/>
        <v>50821.919999999998</v>
      </c>
      <c r="S1028" s="26">
        <f t="shared" si="135"/>
        <v>0.41403440510587297</v>
      </c>
    </row>
    <row r="1029" spans="1:19" ht="15" x14ac:dyDescent="0.2">
      <c r="A1029" s="23">
        <v>45925</v>
      </c>
      <c r="B1029">
        <f t="shared" si="128"/>
        <v>2025</v>
      </c>
      <c r="C1029">
        <f t="shared" si="129"/>
        <v>9</v>
      </c>
      <c r="D1029" t="str">
        <f t="shared" si="130"/>
        <v>Septiembre</v>
      </c>
      <c r="E1029" t="str">
        <f t="shared" si="131"/>
        <v>T3</v>
      </c>
      <c r="F1029" t="s">
        <v>1154</v>
      </c>
      <c r="G1029" t="s">
        <v>61</v>
      </c>
      <c r="H1029" t="s">
        <v>62</v>
      </c>
      <c r="I1029" t="s">
        <v>63</v>
      </c>
      <c r="J1029" t="s">
        <v>77</v>
      </c>
      <c r="K1029" t="s">
        <v>78</v>
      </c>
      <c r="L1029" t="s">
        <v>79</v>
      </c>
      <c r="M1029" s="24">
        <v>85</v>
      </c>
      <c r="N1029" s="25">
        <v>5962.39</v>
      </c>
      <c r="O1029" s="25">
        <f t="shared" si="132"/>
        <v>506803.15</v>
      </c>
      <c r="P1029" s="25">
        <v>4804.7299999999996</v>
      </c>
      <c r="Q1029" s="25">
        <f t="shared" si="133"/>
        <v>408402.05</v>
      </c>
      <c r="R1029" s="25">
        <f t="shared" si="134"/>
        <v>98401.100000000035</v>
      </c>
      <c r="S1029" s="26">
        <f t="shared" si="135"/>
        <v>0.19416039541190702</v>
      </c>
    </row>
    <row r="1030" spans="1:19" ht="15" x14ac:dyDescent="0.2">
      <c r="A1030" s="23">
        <v>45925</v>
      </c>
      <c r="B1030">
        <f t="shared" si="128"/>
        <v>2025</v>
      </c>
      <c r="C1030">
        <f t="shared" si="129"/>
        <v>9</v>
      </c>
      <c r="D1030" t="str">
        <f t="shared" si="130"/>
        <v>Septiembre</v>
      </c>
      <c r="E1030" t="str">
        <f t="shared" si="131"/>
        <v>T3</v>
      </c>
      <c r="F1030" t="s">
        <v>1155</v>
      </c>
      <c r="G1030" t="s">
        <v>74</v>
      </c>
      <c r="H1030" t="s">
        <v>75</v>
      </c>
      <c r="I1030" t="s">
        <v>76</v>
      </c>
      <c r="J1030" t="s">
        <v>57</v>
      </c>
      <c r="K1030" t="s">
        <v>81</v>
      </c>
      <c r="L1030" t="s">
        <v>82</v>
      </c>
      <c r="M1030" s="24">
        <v>20</v>
      </c>
      <c r="N1030" s="25">
        <v>40850.379999999997</v>
      </c>
      <c r="O1030" s="25">
        <f t="shared" si="132"/>
        <v>817007.6</v>
      </c>
      <c r="P1030" s="25">
        <v>28191.439999999999</v>
      </c>
      <c r="Q1030" s="25">
        <f t="shared" si="133"/>
        <v>563828.79999999993</v>
      </c>
      <c r="R1030" s="25">
        <f t="shared" si="134"/>
        <v>253178.80000000005</v>
      </c>
      <c r="S1030" s="26">
        <f t="shared" si="135"/>
        <v>0.30988548943730765</v>
      </c>
    </row>
    <row r="1031" spans="1:19" ht="15" x14ac:dyDescent="0.2">
      <c r="A1031" s="23">
        <v>45925</v>
      </c>
      <c r="B1031">
        <f t="shared" si="128"/>
        <v>2025</v>
      </c>
      <c r="C1031">
        <f t="shared" si="129"/>
        <v>9</v>
      </c>
      <c r="D1031" t="str">
        <f t="shared" si="130"/>
        <v>Septiembre</v>
      </c>
      <c r="E1031" t="str">
        <f t="shared" si="131"/>
        <v>T3</v>
      </c>
      <c r="F1031" t="s">
        <v>1156</v>
      </c>
      <c r="G1031" t="s">
        <v>114</v>
      </c>
      <c r="H1031" t="s">
        <v>75</v>
      </c>
      <c r="I1031" t="s">
        <v>115</v>
      </c>
      <c r="J1031" t="s">
        <v>57</v>
      </c>
      <c r="K1031" t="s">
        <v>58</v>
      </c>
      <c r="L1031" t="s">
        <v>59</v>
      </c>
      <c r="M1031" s="24">
        <v>4</v>
      </c>
      <c r="N1031" s="25">
        <v>89984.06</v>
      </c>
      <c r="O1031" s="25">
        <f t="shared" si="132"/>
        <v>359936.24</v>
      </c>
      <c r="P1031" s="25">
        <v>62251.06</v>
      </c>
      <c r="Q1031" s="25">
        <f t="shared" si="133"/>
        <v>249004.24</v>
      </c>
      <c r="R1031" s="25">
        <f t="shared" si="134"/>
        <v>110932</v>
      </c>
      <c r="S1031" s="26">
        <f t="shared" si="135"/>
        <v>0.30819902991707643</v>
      </c>
    </row>
    <row r="1032" spans="1:19" ht="15" x14ac:dyDescent="0.2">
      <c r="A1032" s="23">
        <v>45925</v>
      </c>
      <c r="B1032">
        <f t="shared" si="128"/>
        <v>2025</v>
      </c>
      <c r="C1032">
        <f t="shared" si="129"/>
        <v>9</v>
      </c>
      <c r="D1032" t="str">
        <f t="shared" si="130"/>
        <v>Septiembre</v>
      </c>
      <c r="E1032" t="str">
        <f t="shared" si="131"/>
        <v>T3</v>
      </c>
      <c r="F1032" t="s">
        <v>1157</v>
      </c>
      <c r="G1032" t="s">
        <v>100</v>
      </c>
      <c r="H1032" t="s">
        <v>88</v>
      </c>
      <c r="I1032" t="s">
        <v>101</v>
      </c>
      <c r="J1032" t="s">
        <v>125</v>
      </c>
      <c r="K1032" t="s">
        <v>126</v>
      </c>
      <c r="L1032" t="s">
        <v>127</v>
      </c>
      <c r="M1032" s="24">
        <v>4</v>
      </c>
      <c r="N1032" s="25">
        <v>35105.599999999999</v>
      </c>
      <c r="O1032" s="25">
        <f t="shared" si="132"/>
        <v>140422.39999999999</v>
      </c>
      <c r="P1032" s="25">
        <v>18752.560000000001</v>
      </c>
      <c r="Q1032" s="25">
        <f t="shared" si="133"/>
        <v>75010.240000000005</v>
      </c>
      <c r="R1032" s="25">
        <f t="shared" si="134"/>
        <v>65412.159999999989</v>
      </c>
      <c r="S1032" s="26">
        <f t="shared" si="135"/>
        <v>0.46582425595916316</v>
      </c>
    </row>
    <row r="1033" spans="1:19" ht="15" x14ac:dyDescent="0.2">
      <c r="A1033" s="23">
        <v>45925</v>
      </c>
      <c r="B1033">
        <f t="shared" si="128"/>
        <v>2025</v>
      </c>
      <c r="C1033">
        <f t="shared" si="129"/>
        <v>9</v>
      </c>
      <c r="D1033" t="str">
        <f t="shared" si="130"/>
        <v>Septiembre</v>
      </c>
      <c r="E1033" t="str">
        <f t="shared" si="131"/>
        <v>T3</v>
      </c>
      <c r="F1033" t="s">
        <v>1158</v>
      </c>
      <c r="G1033" t="s">
        <v>206</v>
      </c>
      <c r="H1033" t="s">
        <v>93</v>
      </c>
      <c r="I1033" t="s">
        <v>207</v>
      </c>
      <c r="J1033" t="s">
        <v>64</v>
      </c>
      <c r="K1033" t="s">
        <v>65</v>
      </c>
      <c r="L1033" t="s">
        <v>66</v>
      </c>
      <c r="M1033" s="24">
        <v>3</v>
      </c>
      <c r="N1033" s="25">
        <v>104565.27</v>
      </c>
      <c r="O1033" s="25">
        <f t="shared" si="132"/>
        <v>313695.81</v>
      </c>
      <c r="P1033" s="25">
        <v>61937.66</v>
      </c>
      <c r="Q1033" s="25">
        <f t="shared" si="133"/>
        <v>185812.98</v>
      </c>
      <c r="R1033" s="25">
        <f t="shared" si="134"/>
        <v>127882.82999999999</v>
      </c>
      <c r="S1033" s="26">
        <f t="shared" si="135"/>
        <v>0.40766508803544421</v>
      </c>
    </row>
    <row r="1034" spans="1:19" ht="15" x14ac:dyDescent="0.2">
      <c r="A1034" s="23">
        <v>45925</v>
      </c>
      <c r="B1034">
        <f t="shared" si="128"/>
        <v>2025</v>
      </c>
      <c r="C1034">
        <f t="shared" si="129"/>
        <v>9</v>
      </c>
      <c r="D1034" t="str">
        <f t="shared" si="130"/>
        <v>Septiembre</v>
      </c>
      <c r="E1034" t="str">
        <f t="shared" si="131"/>
        <v>T3</v>
      </c>
      <c r="F1034" t="s">
        <v>1159</v>
      </c>
      <c r="G1034" t="s">
        <v>92</v>
      </c>
      <c r="H1034" t="s">
        <v>93</v>
      </c>
      <c r="I1034" t="s">
        <v>94</v>
      </c>
      <c r="J1034" t="s">
        <v>70</v>
      </c>
      <c r="K1034" t="s">
        <v>71</v>
      </c>
      <c r="L1034" t="s">
        <v>90</v>
      </c>
      <c r="M1034" s="24">
        <v>6</v>
      </c>
      <c r="N1034" s="25">
        <v>18097.13</v>
      </c>
      <c r="O1034" s="25">
        <f t="shared" si="132"/>
        <v>108582.78</v>
      </c>
      <c r="P1034" s="25">
        <v>11343.97</v>
      </c>
      <c r="Q1034" s="25">
        <f t="shared" si="133"/>
        <v>68063.819999999992</v>
      </c>
      <c r="R1034" s="25">
        <f t="shared" si="134"/>
        <v>40518.960000000006</v>
      </c>
      <c r="S1034" s="26">
        <f t="shared" si="135"/>
        <v>0.37316193230639338</v>
      </c>
    </row>
    <row r="1035" spans="1:19" ht="15" x14ac:dyDescent="0.2">
      <c r="A1035" s="23">
        <v>45926</v>
      </c>
      <c r="B1035">
        <f t="shared" si="128"/>
        <v>2025</v>
      </c>
      <c r="C1035">
        <f t="shared" si="129"/>
        <v>9</v>
      </c>
      <c r="D1035" t="str">
        <f t="shared" si="130"/>
        <v>Septiembre</v>
      </c>
      <c r="E1035" t="str">
        <f t="shared" si="131"/>
        <v>T3</v>
      </c>
      <c r="F1035" t="s">
        <v>1160</v>
      </c>
      <c r="G1035" t="s">
        <v>282</v>
      </c>
      <c r="H1035" t="s">
        <v>55</v>
      </c>
      <c r="I1035" t="s">
        <v>56</v>
      </c>
      <c r="J1035" t="s">
        <v>77</v>
      </c>
      <c r="K1035" t="s">
        <v>107</v>
      </c>
      <c r="L1035" t="s">
        <v>108</v>
      </c>
      <c r="M1035" s="24">
        <v>3</v>
      </c>
      <c r="N1035" s="25">
        <v>472550.39</v>
      </c>
      <c r="O1035" s="25">
        <f t="shared" si="132"/>
        <v>1417651.17</v>
      </c>
      <c r="P1035" s="25">
        <v>334158.46000000002</v>
      </c>
      <c r="Q1035" s="25">
        <f t="shared" si="133"/>
        <v>1002475.3800000001</v>
      </c>
      <c r="R1035" s="25">
        <f t="shared" si="134"/>
        <v>415175.7899999998</v>
      </c>
      <c r="S1035" s="26">
        <f t="shared" si="135"/>
        <v>0.29286174115738206</v>
      </c>
    </row>
    <row r="1036" spans="1:19" ht="15" x14ac:dyDescent="0.2">
      <c r="A1036" s="23">
        <v>45926</v>
      </c>
      <c r="B1036">
        <f t="shared" si="128"/>
        <v>2025</v>
      </c>
      <c r="C1036">
        <f t="shared" si="129"/>
        <v>9</v>
      </c>
      <c r="D1036" t="str">
        <f t="shared" si="130"/>
        <v>Septiembre</v>
      </c>
      <c r="E1036" t="str">
        <f t="shared" si="131"/>
        <v>T3</v>
      </c>
      <c r="F1036" t="s">
        <v>1161</v>
      </c>
      <c r="G1036" t="s">
        <v>54</v>
      </c>
      <c r="H1036" t="s">
        <v>55</v>
      </c>
      <c r="I1036" t="s">
        <v>56</v>
      </c>
      <c r="J1036" t="s">
        <v>125</v>
      </c>
      <c r="K1036" t="s">
        <v>138</v>
      </c>
      <c r="L1036" t="s">
        <v>139</v>
      </c>
      <c r="M1036" s="24">
        <v>8</v>
      </c>
      <c r="N1036" s="25">
        <v>60840.2</v>
      </c>
      <c r="O1036" s="25">
        <f t="shared" si="132"/>
        <v>486721.6</v>
      </c>
      <c r="P1036" s="25">
        <v>44318.879999999997</v>
      </c>
      <c r="Q1036" s="25">
        <f t="shared" si="133"/>
        <v>354551.03999999998</v>
      </c>
      <c r="R1036" s="25">
        <f t="shared" si="134"/>
        <v>132170.56</v>
      </c>
      <c r="S1036" s="26">
        <f t="shared" si="135"/>
        <v>0.27155269049082681</v>
      </c>
    </row>
    <row r="1037" spans="1:19" ht="15" x14ac:dyDescent="0.2">
      <c r="A1037" s="23">
        <v>45926</v>
      </c>
      <c r="B1037">
        <f t="shared" si="128"/>
        <v>2025</v>
      </c>
      <c r="C1037">
        <f t="shared" si="129"/>
        <v>9</v>
      </c>
      <c r="D1037" t="str">
        <f t="shared" si="130"/>
        <v>Septiembre</v>
      </c>
      <c r="E1037" t="str">
        <f t="shared" si="131"/>
        <v>T3</v>
      </c>
      <c r="F1037" t="s">
        <v>1162</v>
      </c>
      <c r="G1037" t="s">
        <v>100</v>
      </c>
      <c r="H1037" t="s">
        <v>88</v>
      </c>
      <c r="I1037" t="s">
        <v>101</v>
      </c>
      <c r="J1037" t="s">
        <v>77</v>
      </c>
      <c r="K1037" t="s">
        <v>107</v>
      </c>
      <c r="L1037" t="s">
        <v>112</v>
      </c>
      <c r="M1037" s="24">
        <v>10</v>
      </c>
      <c r="N1037" s="25">
        <v>39835.410000000003</v>
      </c>
      <c r="O1037" s="25">
        <f t="shared" si="132"/>
        <v>398354.10000000003</v>
      </c>
      <c r="P1037" s="25">
        <v>20753.47</v>
      </c>
      <c r="Q1037" s="25">
        <f t="shared" si="133"/>
        <v>207534.7</v>
      </c>
      <c r="R1037" s="25">
        <f t="shared" si="134"/>
        <v>190819.40000000002</v>
      </c>
      <c r="S1037" s="26">
        <f t="shared" si="135"/>
        <v>0.47901954567556854</v>
      </c>
    </row>
    <row r="1038" spans="1:19" ht="15" x14ac:dyDescent="0.2">
      <c r="A1038" s="23">
        <v>45926</v>
      </c>
      <c r="B1038">
        <f t="shared" si="128"/>
        <v>2025</v>
      </c>
      <c r="C1038">
        <f t="shared" si="129"/>
        <v>9</v>
      </c>
      <c r="D1038" t="str">
        <f t="shared" si="130"/>
        <v>Septiembre</v>
      </c>
      <c r="E1038" t="str">
        <f t="shared" si="131"/>
        <v>T3</v>
      </c>
      <c r="F1038" t="s">
        <v>1163</v>
      </c>
      <c r="G1038" t="s">
        <v>149</v>
      </c>
      <c r="H1038" t="s">
        <v>93</v>
      </c>
      <c r="I1038" t="s">
        <v>150</v>
      </c>
      <c r="J1038" t="s">
        <v>64</v>
      </c>
      <c r="K1038" t="s">
        <v>65</v>
      </c>
      <c r="L1038" t="s">
        <v>66</v>
      </c>
      <c r="M1038" s="24">
        <v>8</v>
      </c>
      <c r="N1038" s="25">
        <v>45623.67</v>
      </c>
      <c r="O1038" s="25">
        <f t="shared" si="132"/>
        <v>364989.36</v>
      </c>
      <c r="P1038" s="25">
        <v>27309.8</v>
      </c>
      <c r="Q1038" s="25">
        <f t="shared" si="133"/>
        <v>218478.4</v>
      </c>
      <c r="R1038" s="25">
        <f t="shared" si="134"/>
        <v>146510.96</v>
      </c>
      <c r="S1038" s="26">
        <f t="shared" si="135"/>
        <v>0.40141159183380032</v>
      </c>
    </row>
    <row r="1039" spans="1:19" ht="15" x14ac:dyDescent="0.2">
      <c r="A1039" s="23">
        <v>45927</v>
      </c>
      <c r="B1039">
        <f t="shared" si="128"/>
        <v>2025</v>
      </c>
      <c r="C1039">
        <f t="shared" si="129"/>
        <v>9</v>
      </c>
      <c r="D1039" t="str">
        <f t="shared" si="130"/>
        <v>Septiembre</v>
      </c>
      <c r="E1039" t="str">
        <f t="shared" si="131"/>
        <v>T3</v>
      </c>
      <c r="F1039" t="s">
        <v>1164</v>
      </c>
      <c r="G1039" t="s">
        <v>282</v>
      </c>
      <c r="H1039" t="s">
        <v>55</v>
      </c>
      <c r="I1039" t="s">
        <v>56</v>
      </c>
      <c r="J1039" t="s">
        <v>64</v>
      </c>
      <c r="K1039" t="s">
        <v>65</v>
      </c>
      <c r="L1039" t="s">
        <v>66</v>
      </c>
      <c r="M1039" s="24">
        <v>3</v>
      </c>
      <c r="N1039" s="25">
        <v>503209.48</v>
      </c>
      <c r="O1039" s="25">
        <f t="shared" si="132"/>
        <v>1509628.44</v>
      </c>
      <c r="P1039" s="25">
        <v>383241.49</v>
      </c>
      <c r="Q1039" s="25">
        <f t="shared" si="133"/>
        <v>1149724.47</v>
      </c>
      <c r="R1039" s="25">
        <f t="shared" si="134"/>
        <v>359903.97</v>
      </c>
      <c r="S1039" s="26">
        <f t="shared" si="135"/>
        <v>0.23840566358169563</v>
      </c>
    </row>
    <row r="1040" spans="1:19" ht="15" x14ac:dyDescent="0.2">
      <c r="A1040" s="23">
        <v>45927</v>
      </c>
      <c r="B1040">
        <f t="shared" si="128"/>
        <v>2025</v>
      </c>
      <c r="C1040">
        <f t="shared" si="129"/>
        <v>9</v>
      </c>
      <c r="D1040" t="str">
        <f t="shared" si="130"/>
        <v>Septiembre</v>
      </c>
      <c r="E1040" t="str">
        <f t="shared" si="131"/>
        <v>T3</v>
      </c>
      <c r="F1040" t="s">
        <v>1165</v>
      </c>
      <c r="G1040" t="s">
        <v>61</v>
      </c>
      <c r="H1040" t="s">
        <v>62</v>
      </c>
      <c r="I1040" t="s">
        <v>63</v>
      </c>
      <c r="J1040" t="s">
        <v>77</v>
      </c>
      <c r="K1040" t="s">
        <v>107</v>
      </c>
      <c r="L1040" t="s">
        <v>112</v>
      </c>
      <c r="M1040" s="24">
        <v>141</v>
      </c>
      <c r="N1040" s="25">
        <v>6139.06</v>
      </c>
      <c r="O1040" s="25">
        <f t="shared" si="132"/>
        <v>865607.46000000008</v>
      </c>
      <c r="P1040" s="25">
        <v>4792.34</v>
      </c>
      <c r="Q1040" s="25">
        <f t="shared" si="133"/>
        <v>675719.94000000006</v>
      </c>
      <c r="R1040" s="25">
        <f t="shared" si="134"/>
        <v>189887.52000000002</v>
      </c>
      <c r="S1040" s="26">
        <f t="shared" si="135"/>
        <v>0.21936908907878405</v>
      </c>
    </row>
    <row r="1041" spans="1:19" ht="15" x14ac:dyDescent="0.2">
      <c r="A1041" s="23">
        <v>45927</v>
      </c>
      <c r="B1041">
        <f t="shared" si="128"/>
        <v>2025</v>
      </c>
      <c r="C1041">
        <f t="shared" si="129"/>
        <v>9</v>
      </c>
      <c r="D1041" t="str">
        <f t="shared" si="130"/>
        <v>Septiembre</v>
      </c>
      <c r="E1041" t="str">
        <f t="shared" si="131"/>
        <v>T3</v>
      </c>
      <c r="F1041" t="s">
        <v>1166</v>
      </c>
      <c r="G1041" t="s">
        <v>74</v>
      </c>
      <c r="H1041" t="s">
        <v>75</v>
      </c>
      <c r="I1041" t="s">
        <v>76</v>
      </c>
      <c r="J1041" t="s">
        <v>77</v>
      </c>
      <c r="K1041" t="s">
        <v>107</v>
      </c>
      <c r="L1041" t="s">
        <v>108</v>
      </c>
      <c r="M1041" s="24">
        <v>21</v>
      </c>
      <c r="N1041" s="25">
        <v>42277.36</v>
      </c>
      <c r="O1041" s="25">
        <f t="shared" si="132"/>
        <v>887824.56</v>
      </c>
      <c r="P1041" s="25">
        <v>27560.76</v>
      </c>
      <c r="Q1041" s="25">
        <f t="shared" si="133"/>
        <v>578775.96</v>
      </c>
      <c r="R1041" s="25">
        <f t="shared" si="134"/>
        <v>309048.60000000009</v>
      </c>
      <c r="S1041" s="26">
        <f t="shared" si="135"/>
        <v>0.34809647527660204</v>
      </c>
    </row>
    <row r="1042" spans="1:19" ht="15" x14ac:dyDescent="0.2">
      <c r="A1042" s="23">
        <v>45927</v>
      </c>
      <c r="B1042">
        <f t="shared" si="128"/>
        <v>2025</v>
      </c>
      <c r="C1042">
        <f t="shared" si="129"/>
        <v>9</v>
      </c>
      <c r="D1042" t="str">
        <f t="shared" si="130"/>
        <v>Septiembre</v>
      </c>
      <c r="E1042" t="str">
        <f t="shared" si="131"/>
        <v>T3</v>
      </c>
      <c r="F1042" t="s">
        <v>1167</v>
      </c>
      <c r="G1042" t="s">
        <v>87</v>
      </c>
      <c r="H1042" t="s">
        <v>88</v>
      </c>
      <c r="I1042" t="s">
        <v>89</v>
      </c>
      <c r="J1042" t="s">
        <v>77</v>
      </c>
      <c r="K1042" t="s">
        <v>107</v>
      </c>
      <c r="L1042" t="s">
        <v>112</v>
      </c>
      <c r="M1042" s="24">
        <v>7</v>
      </c>
      <c r="N1042" s="25">
        <v>64000.68</v>
      </c>
      <c r="O1042" s="25">
        <f t="shared" si="132"/>
        <v>448004.76</v>
      </c>
      <c r="P1042" s="25">
        <v>33673.99</v>
      </c>
      <c r="Q1042" s="25">
        <f t="shared" si="133"/>
        <v>235717.93</v>
      </c>
      <c r="R1042" s="25">
        <f t="shared" si="134"/>
        <v>212286.83000000002</v>
      </c>
      <c r="S1042" s="26">
        <f t="shared" si="135"/>
        <v>0.47384949659909864</v>
      </c>
    </row>
    <row r="1043" spans="1:19" ht="15" x14ac:dyDescent="0.2">
      <c r="A1043" s="23">
        <v>45927</v>
      </c>
      <c r="B1043">
        <f t="shared" si="128"/>
        <v>2025</v>
      </c>
      <c r="C1043">
        <f t="shared" si="129"/>
        <v>9</v>
      </c>
      <c r="D1043" t="str">
        <f t="shared" si="130"/>
        <v>Septiembre</v>
      </c>
      <c r="E1043" t="str">
        <f t="shared" si="131"/>
        <v>T3</v>
      </c>
      <c r="F1043" t="s">
        <v>1168</v>
      </c>
      <c r="G1043" t="s">
        <v>188</v>
      </c>
      <c r="H1043" t="s">
        <v>88</v>
      </c>
      <c r="I1043" t="s">
        <v>189</v>
      </c>
      <c r="J1043" t="s">
        <v>57</v>
      </c>
      <c r="K1043" t="s">
        <v>81</v>
      </c>
      <c r="L1043" t="s">
        <v>82</v>
      </c>
      <c r="M1043" s="24">
        <v>3</v>
      </c>
      <c r="N1043" s="25">
        <v>83483.69</v>
      </c>
      <c r="O1043" s="25">
        <f t="shared" si="132"/>
        <v>250451.07</v>
      </c>
      <c r="P1043" s="25">
        <v>45698.16</v>
      </c>
      <c r="Q1043" s="25">
        <f t="shared" si="133"/>
        <v>137094.48000000001</v>
      </c>
      <c r="R1043" s="25">
        <f t="shared" si="134"/>
        <v>113356.59</v>
      </c>
      <c r="S1043" s="26">
        <f t="shared" si="135"/>
        <v>0.45260972532479093</v>
      </c>
    </row>
    <row r="1044" spans="1:19" ht="15" x14ac:dyDescent="0.2">
      <c r="A1044" s="23">
        <v>45927</v>
      </c>
      <c r="B1044">
        <f t="shared" si="128"/>
        <v>2025</v>
      </c>
      <c r="C1044">
        <f t="shared" si="129"/>
        <v>9</v>
      </c>
      <c r="D1044" t="str">
        <f t="shared" si="130"/>
        <v>Septiembre</v>
      </c>
      <c r="E1044" t="str">
        <f t="shared" si="131"/>
        <v>T3</v>
      </c>
      <c r="F1044" t="s">
        <v>1169</v>
      </c>
      <c r="G1044" t="s">
        <v>144</v>
      </c>
      <c r="H1044" t="s">
        <v>88</v>
      </c>
      <c r="I1044" t="s">
        <v>145</v>
      </c>
      <c r="J1044" t="s">
        <v>70</v>
      </c>
      <c r="K1044" t="s">
        <v>84</v>
      </c>
      <c r="L1044" t="s">
        <v>147</v>
      </c>
      <c r="M1044" s="24">
        <v>8</v>
      </c>
      <c r="N1044" s="25">
        <v>11936.6</v>
      </c>
      <c r="O1044" s="25">
        <f t="shared" si="132"/>
        <v>95492.800000000003</v>
      </c>
      <c r="P1044" s="25">
        <v>7162.59</v>
      </c>
      <c r="Q1044" s="25">
        <f t="shared" si="133"/>
        <v>57300.72</v>
      </c>
      <c r="R1044" s="25">
        <f t="shared" si="134"/>
        <v>38192.080000000002</v>
      </c>
      <c r="S1044" s="26">
        <f t="shared" si="135"/>
        <v>0.39994722115175174</v>
      </c>
    </row>
    <row r="1045" spans="1:19" ht="15" x14ac:dyDescent="0.2">
      <c r="A1045" s="23">
        <v>45927</v>
      </c>
      <c r="B1045">
        <f t="shared" si="128"/>
        <v>2025</v>
      </c>
      <c r="C1045">
        <f t="shared" si="129"/>
        <v>9</v>
      </c>
      <c r="D1045" t="str">
        <f t="shared" si="130"/>
        <v>Septiembre</v>
      </c>
      <c r="E1045" t="str">
        <f t="shared" si="131"/>
        <v>T3</v>
      </c>
      <c r="F1045" t="s">
        <v>1170</v>
      </c>
      <c r="G1045" t="s">
        <v>92</v>
      </c>
      <c r="H1045" t="s">
        <v>93</v>
      </c>
      <c r="I1045" t="s">
        <v>94</v>
      </c>
      <c r="J1045" t="s">
        <v>70</v>
      </c>
      <c r="K1045" t="s">
        <v>84</v>
      </c>
      <c r="L1045" t="s">
        <v>85</v>
      </c>
      <c r="M1045" s="24">
        <v>7</v>
      </c>
      <c r="N1045" s="25">
        <v>18665.72</v>
      </c>
      <c r="O1045" s="25">
        <f t="shared" si="132"/>
        <v>130660.04000000001</v>
      </c>
      <c r="P1045" s="25">
        <v>11620.17</v>
      </c>
      <c r="Q1045" s="25">
        <f t="shared" si="133"/>
        <v>81341.19</v>
      </c>
      <c r="R1045" s="25">
        <f t="shared" si="134"/>
        <v>49318.850000000006</v>
      </c>
      <c r="S1045" s="26">
        <f t="shared" si="135"/>
        <v>0.377459321151287</v>
      </c>
    </row>
    <row r="1046" spans="1:19" ht="15" x14ac:dyDescent="0.2">
      <c r="A1046" s="23">
        <v>45928</v>
      </c>
      <c r="B1046">
        <f t="shared" si="128"/>
        <v>2025</v>
      </c>
      <c r="C1046">
        <f t="shared" si="129"/>
        <v>9</v>
      </c>
      <c r="D1046" t="str">
        <f t="shared" si="130"/>
        <v>Septiembre</v>
      </c>
      <c r="E1046" t="str">
        <f t="shared" si="131"/>
        <v>T3</v>
      </c>
      <c r="F1046" t="s">
        <v>1171</v>
      </c>
      <c r="G1046" t="s">
        <v>54</v>
      </c>
      <c r="H1046" t="s">
        <v>55</v>
      </c>
      <c r="I1046" t="s">
        <v>56</v>
      </c>
      <c r="J1046" t="s">
        <v>77</v>
      </c>
      <c r="K1046" t="s">
        <v>78</v>
      </c>
      <c r="L1046" t="s">
        <v>79</v>
      </c>
      <c r="M1046" s="24">
        <v>8</v>
      </c>
      <c r="N1046" s="25">
        <v>54843.86</v>
      </c>
      <c r="O1046" s="25">
        <f t="shared" si="132"/>
        <v>438750.88</v>
      </c>
      <c r="P1046" s="25">
        <v>40295.85</v>
      </c>
      <c r="Q1046" s="25">
        <f t="shared" si="133"/>
        <v>322366.8</v>
      </c>
      <c r="R1046" s="25">
        <f t="shared" si="134"/>
        <v>116384.08000000002</v>
      </c>
      <c r="S1046" s="26">
        <f t="shared" si="135"/>
        <v>0.26526232836273744</v>
      </c>
    </row>
    <row r="1047" spans="1:19" ht="15" x14ac:dyDescent="0.2">
      <c r="A1047" s="23">
        <v>45928</v>
      </c>
      <c r="B1047">
        <f t="shared" si="128"/>
        <v>2025</v>
      </c>
      <c r="C1047">
        <f t="shared" si="129"/>
        <v>9</v>
      </c>
      <c r="D1047" t="str">
        <f t="shared" si="130"/>
        <v>Septiembre</v>
      </c>
      <c r="E1047" t="str">
        <f t="shared" si="131"/>
        <v>T3</v>
      </c>
      <c r="F1047" t="s">
        <v>1172</v>
      </c>
      <c r="G1047" t="s">
        <v>87</v>
      </c>
      <c r="H1047" t="s">
        <v>88</v>
      </c>
      <c r="I1047" t="s">
        <v>89</v>
      </c>
      <c r="J1047" t="s">
        <v>57</v>
      </c>
      <c r="K1047" t="s">
        <v>58</v>
      </c>
      <c r="L1047" t="s">
        <v>162</v>
      </c>
      <c r="M1047" s="24">
        <v>5</v>
      </c>
      <c r="N1047" s="25">
        <v>55907.13</v>
      </c>
      <c r="O1047" s="25">
        <f t="shared" si="132"/>
        <v>279535.64999999997</v>
      </c>
      <c r="P1047" s="25">
        <v>31959.38</v>
      </c>
      <c r="Q1047" s="25">
        <f t="shared" si="133"/>
        <v>159796.9</v>
      </c>
      <c r="R1047" s="25">
        <f t="shared" si="134"/>
        <v>119738.74999999997</v>
      </c>
      <c r="S1047" s="26">
        <f t="shared" si="135"/>
        <v>0.4283487633867093</v>
      </c>
    </row>
    <row r="1048" spans="1:19" ht="15" x14ac:dyDescent="0.2">
      <c r="A1048" s="23">
        <v>45931</v>
      </c>
      <c r="B1048">
        <f t="shared" si="128"/>
        <v>2025</v>
      </c>
      <c r="C1048">
        <f t="shared" si="129"/>
        <v>10</v>
      </c>
      <c r="D1048" t="str">
        <f t="shared" si="130"/>
        <v>Octubre</v>
      </c>
      <c r="E1048" t="str">
        <f t="shared" si="131"/>
        <v>T4</v>
      </c>
      <c r="F1048" t="s">
        <v>1173</v>
      </c>
      <c r="G1048" t="s">
        <v>1035</v>
      </c>
      <c r="H1048" t="s">
        <v>55</v>
      </c>
      <c r="I1048" t="s">
        <v>1036</v>
      </c>
      <c r="J1048" t="s">
        <v>64</v>
      </c>
      <c r="K1048" t="s">
        <v>96</v>
      </c>
      <c r="L1048" t="s">
        <v>97</v>
      </c>
      <c r="M1048" s="24">
        <v>2</v>
      </c>
      <c r="N1048" s="25">
        <v>889024.77</v>
      </c>
      <c r="O1048" s="25">
        <f t="shared" si="132"/>
        <v>1778049.54</v>
      </c>
      <c r="P1048" s="25">
        <v>681530.53</v>
      </c>
      <c r="Q1048" s="25">
        <f t="shared" si="133"/>
        <v>1363061.06</v>
      </c>
      <c r="R1048" s="25">
        <f t="shared" si="134"/>
        <v>414988.48</v>
      </c>
      <c r="S1048" s="26">
        <f t="shared" si="135"/>
        <v>0.23339534172934234</v>
      </c>
    </row>
    <row r="1049" spans="1:19" ht="15" x14ac:dyDescent="0.2">
      <c r="A1049" s="23">
        <v>45931</v>
      </c>
      <c r="B1049">
        <f t="shared" si="128"/>
        <v>2025</v>
      </c>
      <c r="C1049">
        <f t="shared" si="129"/>
        <v>10</v>
      </c>
      <c r="D1049" t="str">
        <f t="shared" si="130"/>
        <v>Octubre</v>
      </c>
      <c r="E1049" t="str">
        <f t="shared" si="131"/>
        <v>T4</v>
      </c>
      <c r="F1049" t="s">
        <v>1174</v>
      </c>
      <c r="G1049" t="s">
        <v>183</v>
      </c>
      <c r="H1049" t="s">
        <v>55</v>
      </c>
      <c r="I1049" t="s">
        <v>184</v>
      </c>
      <c r="J1049" t="s">
        <v>77</v>
      </c>
      <c r="K1049" t="s">
        <v>107</v>
      </c>
      <c r="L1049" t="s">
        <v>112</v>
      </c>
      <c r="M1049" s="24">
        <v>2</v>
      </c>
      <c r="N1049" s="25">
        <v>484242.75</v>
      </c>
      <c r="O1049" s="25">
        <f t="shared" si="132"/>
        <v>968485.5</v>
      </c>
      <c r="P1049" s="25">
        <v>349179.19</v>
      </c>
      <c r="Q1049" s="25">
        <f t="shared" si="133"/>
        <v>698358.38</v>
      </c>
      <c r="R1049" s="25">
        <f t="shared" si="134"/>
        <v>270127.12</v>
      </c>
      <c r="S1049" s="26">
        <f t="shared" si="135"/>
        <v>0.27891705141687717</v>
      </c>
    </row>
    <row r="1050" spans="1:19" ht="15" x14ac:dyDescent="0.2">
      <c r="A1050" s="23">
        <v>45931</v>
      </c>
      <c r="B1050">
        <f t="shared" si="128"/>
        <v>2025</v>
      </c>
      <c r="C1050">
        <f t="shared" si="129"/>
        <v>10</v>
      </c>
      <c r="D1050" t="str">
        <f t="shared" si="130"/>
        <v>Octubre</v>
      </c>
      <c r="E1050" t="str">
        <f t="shared" si="131"/>
        <v>T4</v>
      </c>
      <c r="F1050" t="s">
        <v>1175</v>
      </c>
      <c r="G1050" t="s">
        <v>110</v>
      </c>
      <c r="H1050" t="s">
        <v>62</v>
      </c>
      <c r="I1050" t="s">
        <v>69</v>
      </c>
      <c r="J1050" t="s">
        <v>125</v>
      </c>
      <c r="K1050" t="s">
        <v>126</v>
      </c>
      <c r="L1050" t="s">
        <v>127</v>
      </c>
      <c r="M1050" s="24">
        <v>31</v>
      </c>
      <c r="N1050" s="25">
        <v>6525.29</v>
      </c>
      <c r="O1050" s="25">
        <f t="shared" si="132"/>
        <v>202283.99</v>
      </c>
      <c r="P1050" s="25">
        <v>5335.02</v>
      </c>
      <c r="Q1050" s="25">
        <f t="shared" si="133"/>
        <v>165385.62000000002</v>
      </c>
      <c r="R1050" s="25">
        <f t="shared" si="134"/>
        <v>36898.369999999966</v>
      </c>
      <c r="S1050" s="26">
        <f t="shared" si="135"/>
        <v>0.18240875118193964</v>
      </c>
    </row>
    <row r="1051" spans="1:19" ht="15" x14ac:dyDescent="0.2">
      <c r="A1051" s="23">
        <v>45931</v>
      </c>
      <c r="B1051">
        <f t="shared" si="128"/>
        <v>2025</v>
      </c>
      <c r="C1051">
        <f t="shared" si="129"/>
        <v>10</v>
      </c>
      <c r="D1051" t="str">
        <f t="shared" si="130"/>
        <v>Octubre</v>
      </c>
      <c r="E1051" t="str">
        <f t="shared" si="131"/>
        <v>T4</v>
      </c>
      <c r="F1051" t="s">
        <v>1176</v>
      </c>
      <c r="G1051" t="s">
        <v>87</v>
      </c>
      <c r="H1051" t="s">
        <v>88</v>
      </c>
      <c r="I1051" t="s">
        <v>89</v>
      </c>
      <c r="J1051" t="s">
        <v>77</v>
      </c>
      <c r="K1051" t="s">
        <v>107</v>
      </c>
      <c r="L1051" t="s">
        <v>112</v>
      </c>
      <c r="M1051" s="24">
        <v>4</v>
      </c>
      <c r="N1051" s="25">
        <v>62548.34</v>
      </c>
      <c r="O1051" s="25">
        <f t="shared" si="132"/>
        <v>250193.36</v>
      </c>
      <c r="P1051" s="25">
        <v>33291.99</v>
      </c>
      <c r="Q1051" s="25">
        <f t="shared" si="133"/>
        <v>133167.96</v>
      </c>
      <c r="R1051" s="25">
        <f t="shared" si="134"/>
        <v>117025.4</v>
      </c>
      <c r="S1051" s="26">
        <f t="shared" si="135"/>
        <v>0.46773983130487556</v>
      </c>
    </row>
    <row r="1052" spans="1:19" ht="15" x14ac:dyDescent="0.2">
      <c r="A1052" s="23">
        <v>45931</v>
      </c>
      <c r="B1052">
        <f t="shared" si="128"/>
        <v>2025</v>
      </c>
      <c r="C1052">
        <f t="shared" si="129"/>
        <v>10</v>
      </c>
      <c r="D1052" t="str">
        <f t="shared" si="130"/>
        <v>Octubre</v>
      </c>
      <c r="E1052" t="str">
        <f t="shared" si="131"/>
        <v>T4</v>
      </c>
      <c r="F1052" t="s">
        <v>1177</v>
      </c>
      <c r="G1052" t="s">
        <v>144</v>
      </c>
      <c r="H1052" t="s">
        <v>88</v>
      </c>
      <c r="I1052" t="s">
        <v>145</v>
      </c>
      <c r="J1052" t="s">
        <v>125</v>
      </c>
      <c r="K1052" t="s">
        <v>126</v>
      </c>
      <c r="L1052" t="s">
        <v>127</v>
      </c>
      <c r="M1052" s="24">
        <v>8</v>
      </c>
      <c r="N1052" s="25">
        <v>13055.17</v>
      </c>
      <c r="O1052" s="25">
        <f t="shared" si="132"/>
        <v>104441.36</v>
      </c>
      <c r="P1052" s="25">
        <v>7015.45</v>
      </c>
      <c r="Q1052" s="25">
        <f t="shared" si="133"/>
        <v>56123.6</v>
      </c>
      <c r="R1052" s="25">
        <f t="shared" si="134"/>
        <v>48317.760000000002</v>
      </c>
      <c r="S1052" s="26">
        <f t="shared" si="135"/>
        <v>0.46263051342877959</v>
      </c>
    </row>
    <row r="1053" spans="1:19" ht="15" x14ac:dyDescent="0.2">
      <c r="A1053" s="23">
        <v>45931</v>
      </c>
      <c r="B1053">
        <f t="shared" si="128"/>
        <v>2025</v>
      </c>
      <c r="C1053">
        <f t="shared" si="129"/>
        <v>10</v>
      </c>
      <c r="D1053" t="str">
        <f t="shared" si="130"/>
        <v>Octubre</v>
      </c>
      <c r="E1053" t="str">
        <f t="shared" si="131"/>
        <v>T4</v>
      </c>
      <c r="F1053" t="s">
        <v>1178</v>
      </c>
      <c r="G1053" t="s">
        <v>92</v>
      </c>
      <c r="H1053" t="s">
        <v>93</v>
      </c>
      <c r="I1053" t="s">
        <v>94</v>
      </c>
      <c r="J1053" t="s">
        <v>125</v>
      </c>
      <c r="K1053" t="s">
        <v>138</v>
      </c>
      <c r="L1053" t="s">
        <v>142</v>
      </c>
      <c r="M1053" s="24">
        <v>6</v>
      </c>
      <c r="N1053" s="25">
        <v>19351.57</v>
      </c>
      <c r="O1053" s="25">
        <f t="shared" si="132"/>
        <v>116109.42</v>
      </c>
      <c r="P1053" s="25">
        <v>11387.83</v>
      </c>
      <c r="Q1053" s="25">
        <f t="shared" si="133"/>
        <v>68326.98</v>
      </c>
      <c r="R1053" s="25">
        <f t="shared" si="134"/>
        <v>47782.44</v>
      </c>
      <c r="S1053" s="26">
        <f t="shared" si="135"/>
        <v>0.41152940045691389</v>
      </c>
    </row>
    <row r="1054" spans="1:19" ht="15" x14ac:dyDescent="0.2">
      <c r="A1054" s="23">
        <v>45931</v>
      </c>
      <c r="B1054">
        <f t="shared" si="128"/>
        <v>2025</v>
      </c>
      <c r="C1054">
        <f t="shared" si="129"/>
        <v>10</v>
      </c>
      <c r="D1054" t="str">
        <f t="shared" si="130"/>
        <v>Octubre</v>
      </c>
      <c r="E1054" t="str">
        <f t="shared" si="131"/>
        <v>T4</v>
      </c>
      <c r="F1054" t="s">
        <v>1179</v>
      </c>
      <c r="G1054" t="s">
        <v>92</v>
      </c>
      <c r="H1054" t="s">
        <v>93</v>
      </c>
      <c r="I1054" t="s">
        <v>94</v>
      </c>
      <c r="J1054" t="s">
        <v>125</v>
      </c>
      <c r="K1054" t="s">
        <v>126</v>
      </c>
      <c r="L1054" t="s">
        <v>127</v>
      </c>
      <c r="M1054" s="24">
        <v>4</v>
      </c>
      <c r="N1054" s="25">
        <v>21575.09</v>
      </c>
      <c r="O1054" s="25">
        <f t="shared" si="132"/>
        <v>86300.36</v>
      </c>
      <c r="P1054" s="25">
        <v>12290.98</v>
      </c>
      <c r="Q1054" s="25">
        <f t="shared" si="133"/>
        <v>49163.92</v>
      </c>
      <c r="R1054" s="25">
        <f t="shared" si="134"/>
        <v>37136.44</v>
      </c>
      <c r="S1054" s="26">
        <f t="shared" si="135"/>
        <v>0.43031616554090857</v>
      </c>
    </row>
    <row r="1055" spans="1:19" ht="15" x14ac:dyDescent="0.2">
      <c r="A1055" s="23">
        <v>45932</v>
      </c>
      <c r="B1055">
        <f t="shared" si="128"/>
        <v>2025</v>
      </c>
      <c r="C1055">
        <f t="shared" si="129"/>
        <v>10</v>
      </c>
      <c r="D1055" t="str">
        <f t="shared" si="130"/>
        <v>Octubre</v>
      </c>
      <c r="E1055" t="str">
        <f t="shared" si="131"/>
        <v>T4</v>
      </c>
      <c r="F1055" t="s">
        <v>1180</v>
      </c>
      <c r="G1055" t="s">
        <v>105</v>
      </c>
      <c r="H1055" t="s">
        <v>62</v>
      </c>
      <c r="I1055" t="s">
        <v>106</v>
      </c>
      <c r="J1055" t="s">
        <v>125</v>
      </c>
      <c r="K1055" t="s">
        <v>126</v>
      </c>
      <c r="L1055" t="s">
        <v>127</v>
      </c>
      <c r="M1055" s="24">
        <v>85</v>
      </c>
      <c r="N1055" s="25">
        <v>1842.32</v>
      </c>
      <c r="O1055" s="25">
        <f t="shared" si="132"/>
        <v>156597.19999999998</v>
      </c>
      <c r="P1055" s="25">
        <v>1499.65</v>
      </c>
      <c r="Q1055" s="25">
        <f t="shared" si="133"/>
        <v>127470.25000000001</v>
      </c>
      <c r="R1055" s="25">
        <f t="shared" si="134"/>
        <v>29126.949999999968</v>
      </c>
      <c r="S1055" s="26">
        <f t="shared" si="135"/>
        <v>0.18599917495331955</v>
      </c>
    </row>
    <row r="1056" spans="1:19" ht="15" x14ac:dyDescent="0.2">
      <c r="A1056" s="23">
        <v>45932</v>
      </c>
      <c r="B1056">
        <f t="shared" si="128"/>
        <v>2025</v>
      </c>
      <c r="C1056">
        <f t="shared" si="129"/>
        <v>10</v>
      </c>
      <c r="D1056" t="str">
        <f t="shared" si="130"/>
        <v>Octubre</v>
      </c>
      <c r="E1056" t="str">
        <f t="shared" si="131"/>
        <v>T4</v>
      </c>
      <c r="F1056" t="s">
        <v>1181</v>
      </c>
      <c r="G1056" t="s">
        <v>105</v>
      </c>
      <c r="H1056" t="s">
        <v>62</v>
      </c>
      <c r="I1056" t="s">
        <v>106</v>
      </c>
      <c r="J1056" t="s">
        <v>70</v>
      </c>
      <c r="K1056" t="s">
        <v>84</v>
      </c>
      <c r="L1056" t="s">
        <v>147</v>
      </c>
      <c r="M1056" s="24">
        <v>224</v>
      </c>
      <c r="N1056" s="25">
        <v>1756.04</v>
      </c>
      <c r="O1056" s="25">
        <f t="shared" si="132"/>
        <v>393352.95999999996</v>
      </c>
      <c r="P1056" s="25">
        <v>1501.38</v>
      </c>
      <c r="Q1056" s="25">
        <f t="shared" si="133"/>
        <v>336309.12</v>
      </c>
      <c r="R1056" s="25">
        <f t="shared" si="134"/>
        <v>57043.839999999967</v>
      </c>
      <c r="S1056" s="26">
        <f t="shared" si="135"/>
        <v>0.14501947563836809</v>
      </c>
    </row>
    <row r="1057" spans="1:19" ht="15" x14ac:dyDescent="0.2">
      <c r="A1057" s="23">
        <v>45932</v>
      </c>
      <c r="B1057">
        <f t="shared" si="128"/>
        <v>2025</v>
      </c>
      <c r="C1057">
        <f t="shared" si="129"/>
        <v>10</v>
      </c>
      <c r="D1057" t="str">
        <f t="shared" si="130"/>
        <v>Octubre</v>
      </c>
      <c r="E1057" t="str">
        <f t="shared" si="131"/>
        <v>T4</v>
      </c>
      <c r="F1057" t="s">
        <v>1182</v>
      </c>
      <c r="G1057" t="s">
        <v>74</v>
      </c>
      <c r="H1057" t="s">
        <v>75</v>
      </c>
      <c r="I1057" t="s">
        <v>76</v>
      </c>
      <c r="J1057" t="s">
        <v>77</v>
      </c>
      <c r="K1057" t="s">
        <v>107</v>
      </c>
      <c r="L1057" t="s">
        <v>108</v>
      </c>
      <c r="M1057" s="24">
        <v>15</v>
      </c>
      <c r="N1057" s="25">
        <v>44753.88</v>
      </c>
      <c r="O1057" s="25">
        <f t="shared" si="132"/>
        <v>671308.2</v>
      </c>
      <c r="P1057" s="25">
        <v>28240.240000000002</v>
      </c>
      <c r="Q1057" s="25">
        <f t="shared" si="133"/>
        <v>423603.60000000003</v>
      </c>
      <c r="R1057" s="25">
        <f t="shared" si="134"/>
        <v>247704.59999999992</v>
      </c>
      <c r="S1057" s="26">
        <f t="shared" si="135"/>
        <v>0.36898789557464057</v>
      </c>
    </row>
    <row r="1058" spans="1:19" ht="15" x14ac:dyDescent="0.2">
      <c r="A1058" s="23">
        <v>45932</v>
      </c>
      <c r="B1058">
        <f t="shared" si="128"/>
        <v>2025</v>
      </c>
      <c r="C1058">
        <f t="shared" si="129"/>
        <v>10</v>
      </c>
      <c r="D1058" t="str">
        <f t="shared" si="130"/>
        <v>Octubre</v>
      </c>
      <c r="E1058" t="str">
        <f t="shared" si="131"/>
        <v>T4</v>
      </c>
      <c r="F1058" t="s">
        <v>1183</v>
      </c>
      <c r="G1058" t="s">
        <v>87</v>
      </c>
      <c r="H1058" t="s">
        <v>88</v>
      </c>
      <c r="I1058" t="s">
        <v>89</v>
      </c>
      <c r="J1058" t="s">
        <v>57</v>
      </c>
      <c r="K1058" t="s">
        <v>81</v>
      </c>
      <c r="L1058" t="s">
        <v>82</v>
      </c>
      <c r="M1058" s="24">
        <v>4</v>
      </c>
      <c r="N1058" s="25">
        <v>61761.71</v>
      </c>
      <c r="O1058" s="25">
        <f t="shared" si="132"/>
        <v>247046.84</v>
      </c>
      <c r="P1058" s="25">
        <v>34525.58</v>
      </c>
      <c r="Q1058" s="25">
        <f t="shared" si="133"/>
        <v>138102.32</v>
      </c>
      <c r="R1058" s="25">
        <f t="shared" si="134"/>
        <v>108944.51999999999</v>
      </c>
      <c r="S1058" s="26">
        <f t="shared" si="135"/>
        <v>0.4409873042699109</v>
      </c>
    </row>
    <row r="1059" spans="1:19" ht="15" x14ac:dyDescent="0.2">
      <c r="A1059" s="23">
        <v>45932</v>
      </c>
      <c r="B1059">
        <f t="shared" si="128"/>
        <v>2025</v>
      </c>
      <c r="C1059">
        <f t="shared" si="129"/>
        <v>10</v>
      </c>
      <c r="D1059" t="str">
        <f t="shared" si="130"/>
        <v>Octubre</v>
      </c>
      <c r="E1059" t="str">
        <f t="shared" si="131"/>
        <v>T4</v>
      </c>
      <c r="F1059" t="s">
        <v>1184</v>
      </c>
      <c r="G1059" t="s">
        <v>149</v>
      </c>
      <c r="H1059" t="s">
        <v>93</v>
      </c>
      <c r="I1059" t="s">
        <v>150</v>
      </c>
      <c r="J1059" t="s">
        <v>77</v>
      </c>
      <c r="K1059" t="s">
        <v>78</v>
      </c>
      <c r="L1059" t="s">
        <v>117</v>
      </c>
      <c r="M1059" s="24">
        <v>4</v>
      </c>
      <c r="N1059" s="25">
        <v>47508.91</v>
      </c>
      <c r="O1059" s="25">
        <f t="shared" si="132"/>
        <v>190035.64</v>
      </c>
      <c r="P1059" s="25">
        <v>27774.66</v>
      </c>
      <c r="Q1059" s="25">
        <f t="shared" si="133"/>
        <v>111098.64</v>
      </c>
      <c r="R1059" s="25">
        <f t="shared" si="134"/>
        <v>78937.000000000015</v>
      </c>
      <c r="S1059" s="26">
        <f t="shared" si="135"/>
        <v>0.41537997819777389</v>
      </c>
    </row>
    <row r="1060" spans="1:19" ht="15" x14ac:dyDescent="0.2">
      <c r="A1060" s="23">
        <v>45933</v>
      </c>
      <c r="B1060">
        <f t="shared" si="128"/>
        <v>2025</v>
      </c>
      <c r="C1060">
        <f t="shared" si="129"/>
        <v>10</v>
      </c>
      <c r="D1060" t="str">
        <f t="shared" si="130"/>
        <v>Octubre</v>
      </c>
      <c r="E1060" t="str">
        <f t="shared" si="131"/>
        <v>T4</v>
      </c>
      <c r="F1060" t="s">
        <v>1185</v>
      </c>
      <c r="G1060" t="s">
        <v>114</v>
      </c>
      <c r="H1060" t="s">
        <v>75</v>
      </c>
      <c r="I1060" t="s">
        <v>115</v>
      </c>
      <c r="J1060" t="s">
        <v>64</v>
      </c>
      <c r="K1060" t="s">
        <v>96</v>
      </c>
      <c r="L1060" t="s">
        <v>103</v>
      </c>
      <c r="M1060" s="24">
        <v>12</v>
      </c>
      <c r="N1060" s="25">
        <v>93368.78</v>
      </c>
      <c r="O1060" s="25">
        <f t="shared" si="132"/>
        <v>1120425.3599999999</v>
      </c>
      <c r="P1060" s="25">
        <v>66027.53</v>
      </c>
      <c r="Q1060" s="25">
        <f t="shared" si="133"/>
        <v>792330.36</v>
      </c>
      <c r="R1060" s="25">
        <f t="shared" si="134"/>
        <v>328094.99999999988</v>
      </c>
      <c r="S1060" s="26">
        <f t="shared" si="135"/>
        <v>0.29283075134964809</v>
      </c>
    </row>
    <row r="1061" spans="1:19" ht="15" x14ac:dyDescent="0.2">
      <c r="A1061" s="23">
        <v>45933</v>
      </c>
      <c r="B1061">
        <f t="shared" si="128"/>
        <v>2025</v>
      </c>
      <c r="C1061">
        <f t="shared" si="129"/>
        <v>10</v>
      </c>
      <c r="D1061" t="str">
        <f t="shared" si="130"/>
        <v>Octubre</v>
      </c>
      <c r="E1061" t="str">
        <f t="shared" si="131"/>
        <v>T4</v>
      </c>
      <c r="F1061" t="s">
        <v>1186</v>
      </c>
      <c r="G1061" t="s">
        <v>149</v>
      </c>
      <c r="H1061" t="s">
        <v>93</v>
      </c>
      <c r="I1061" t="s">
        <v>150</v>
      </c>
      <c r="J1061" t="s">
        <v>64</v>
      </c>
      <c r="K1061" t="s">
        <v>65</v>
      </c>
      <c r="L1061" t="s">
        <v>66</v>
      </c>
      <c r="M1061" s="24">
        <v>6</v>
      </c>
      <c r="N1061" s="25">
        <v>43577.760000000002</v>
      </c>
      <c r="O1061" s="25">
        <f t="shared" si="132"/>
        <v>261466.56</v>
      </c>
      <c r="P1061" s="25">
        <v>25663.06</v>
      </c>
      <c r="Q1061" s="25">
        <f t="shared" si="133"/>
        <v>153978.36000000002</v>
      </c>
      <c r="R1061" s="25">
        <f t="shared" si="134"/>
        <v>107488.19999999998</v>
      </c>
      <c r="S1061" s="26">
        <f t="shared" si="135"/>
        <v>0.41109731202338068</v>
      </c>
    </row>
    <row r="1062" spans="1:19" ht="15" x14ac:dyDescent="0.2">
      <c r="A1062" s="23">
        <v>45933</v>
      </c>
      <c r="B1062">
        <f t="shared" si="128"/>
        <v>2025</v>
      </c>
      <c r="C1062">
        <f t="shared" si="129"/>
        <v>10</v>
      </c>
      <c r="D1062" t="str">
        <f t="shared" si="130"/>
        <v>Octubre</v>
      </c>
      <c r="E1062" t="str">
        <f t="shared" si="131"/>
        <v>T4</v>
      </c>
      <c r="F1062" t="s">
        <v>1187</v>
      </c>
      <c r="G1062" t="s">
        <v>149</v>
      </c>
      <c r="H1062" t="s">
        <v>93</v>
      </c>
      <c r="I1062" t="s">
        <v>150</v>
      </c>
      <c r="J1062" t="s">
        <v>125</v>
      </c>
      <c r="K1062" t="s">
        <v>126</v>
      </c>
      <c r="L1062" t="s">
        <v>127</v>
      </c>
      <c r="M1062" s="24">
        <v>4</v>
      </c>
      <c r="N1062" s="25">
        <v>39351.78</v>
      </c>
      <c r="O1062" s="25">
        <f t="shared" si="132"/>
        <v>157407.12</v>
      </c>
      <c r="P1062" s="25">
        <v>23310.51</v>
      </c>
      <c r="Q1062" s="25">
        <f t="shared" si="133"/>
        <v>93242.04</v>
      </c>
      <c r="R1062" s="25">
        <f t="shared" si="134"/>
        <v>64165.08</v>
      </c>
      <c r="S1062" s="26">
        <f t="shared" si="135"/>
        <v>0.40763772312205449</v>
      </c>
    </row>
    <row r="1063" spans="1:19" ht="15" x14ac:dyDescent="0.2">
      <c r="A1063" s="23">
        <v>45934</v>
      </c>
      <c r="B1063">
        <f t="shared" si="128"/>
        <v>2025</v>
      </c>
      <c r="C1063">
        <f t="shared" si="129"/>
        <v>10</v>
      </c>
      <c r="D1063" t="str">
        <f t="shared" si="130"/>
        <v>Octubre</v>
      </c>
      <c r="E1063" t="str">
        <f t="shared" si="131"/>
        <v>T4</v>
      </c>
      <c r="F1063" t="s">
        <v>1188</v>
      </c>
      <c r="G1063" t="s">
        <v>54</v>
      </c>
      <c r="H1063" t="s">
        <v>55</v>
      </c>
      <c r="I1063" t="s">
        <v>56</v>
      </c>
      <c r="J1063" t="s">
        <v>70</v>
      </c>
      <c r="K1063" t="s">
        <v>71</v>
      </c>
      <c r="L1063" t="s">
        <v>72</v>
      </c>
      <c r="M1063" s="24">
        <v>8</v>
      </c>
      <c r="N1063" s="25">
        <v>50306.39</v>
      </c>
      <c r="O1063" s="25">
        <f t="shared" si="132"/>
        <v>402451.12</v>
      </c>
      <c r="P1063" s="25">
        <v>39988.85</v>
      </c>
      <c r="Q1063" s="25">
        <f t="shared" si="133"/>
        <v>319910.8</v>
      </c>
      <c r="R1063" s="25">
        <f t="shared" si="134"/>
        <v>82540.320000000007</v>
      </c>
      <c r="S1063" s="26">
        <f t="shared" si="135"/>
        <v>0.20509402483461844</v>
      </c>
    </row>
    <row r="1064" spans="1:19" ht="15" x14ac:dyDescent="0.2">
      <c r="A1064" s="23">
        <v>45934</v>
      </c>
      <c r="B1064">
        <f t="shared" si="128"/>
        <v>2025</v>
      </c>
      <c r="C1064">
        <f t="shared" si="129"/>
        <v>10</v>
      </c>
      <c r="D1064" t="str">
        <f t="shared" si="130"/>
        <v>Octubre</v>
      </c>
      <c r="E1064" t="str">
        <f t="shared" si="131"/>
        <v>T4</v>
      </c>
      <c r="F1064" t="s">
        <v>1189</v>
      </c>
      <c r="G1064" t="s">
        <v>110</v>
      </c>
      <c r="H1064" t="s">
        <v>62</v>
      </c>
      <c r="I1064" t="s">
        <v>69</v>
      </c>
      <c r="J1064" t="s">
        <v>64</v>
      </c>
      <c r="K1064" t="s">
        <v>96</v>
      </c>
      <c r="L1064" t="s">
        <v>97</v>
      </c>
      <c r="M1064" s="24">
        <v>111</v>
      </c>
      <c r="N1064" s="25">
        <v>6484.25</v>
      </c>
      <c r="O1064" s="25">
        <f t="shared" si="132"/>
        <v>719751.75</v>
      </c>
      <c r="P1064" s="25">
        <v>5409.98</v>
      </c>
      <c r="Q1064" s="25">
        <f t="shared" si="133"/>
        <v>600507.77999999991</v>
      </c>
      <c r="R1064" s="25">
        <f t="shared" si="134"/>
        <v>119243.97000000009</v>
      </c>
      <c r="S1064" s="26">
        <f t="shared" si="135"/>
        <v>0.16567374792767101</v>
      </c>
    </row>
    <row r="1065" spans="1:19" ht="15" x14ac:dyDescent="0.2">
      <c r="A1065" s="23">
        <v>45934</v>
      </c>
      <c r="B1065">
        <f t="shared" si="128"/>
        <v>2025</v>
      </c>
      <c r="C1065">
        <f t="shared" si="129"/>
        <v>10</v>
      </c>
      <c r="D1065" t="str">
        <f t="shared" si="130"/>
        <v>Octubre</v>
      </c>
      <c r="E1065" t="str">
        <f t="shared" si="131"/>
        <v>T4</v>
      </c>
      <c r="F1065" t="s">
        <v>1190</v>
      </c>
      <c r="G1065" t="s">
        <v>105</v>
      </c>
      <c r="H1065" t="s">
        <v>62</v>
      </c>
      <c r="I1065" t="s">
        <v>106</v>
      </c>
      <c r="J1065" t="s">
        <v>77</v>
      </c>
      <c r="K1065" t="s">
        <v>107</v>
      </c>
      <c r="L1065" t="s">
        <v>108</v>
      </c>
      <c r="M1065" s="24">
        <v>360</v>
      </c>
      <c r="N1065" s="25">
        <v>1903.37</v>
      </c>
      <c r="O1065" s="25">
        <f t="shared" si="132"/>
        <v>685213.2</v>
      </c>
      <c r="P1065" s="25">
        <v>1499.53</v>
      </c>
      <c r="Q1065" s="25">
        <f t="shared" si="133"/>
        <v>539830.80000000005</v>
      </c>
      <c r="R1065" s="25">
        <f t="shared" si="134"/>
        <v>145382.39999999991</v>
      </c>
      <c r="S1065" s="26">
        <f t="shared" si="135"/>
        <v>0.21217104399039585</v>
      </c>
    </row>
    <row r="1066" spans="1:19" ht="15" x14ac:dyDescent="0.2">
      <c r="A1066" s="23">
        <v>45935</v>
      </c>
      <c r="B1066">
        <f t="shared" si="128"/>
        <v>2025</v>
      </c>
      <c r="C1066">
        <f t="shared" si="129"/>
        <v>10</v>
      </c>
      <c r="D1066" t="str">
        <f t="shared" si="130"/>
        <v>Octubre</v>
      </c>
      <c r="E1066" t="str">
        <f t="shared" si="131"/>
        <v>T4</v>
      </c>
      <c r="F1066" t="s">
        <v>1191</v>
      </c>
      <c r="G1066" t="s">
        <v>206</v>
      </c>
      <c r="H1066" t="s">
        <v>93</v>
      </c>
      <c r="I1066" t="s">
        <v>207</v>
      </c>
      <c r="J1066" t="s">
        <v>64</v>
      </c>
      <c r="K1066" t="s">
        <v>65</v>
      </c>
      <c r="L1066" t="s">
        <v>123</v>
      </c>
      <c r="M1066" s="24">
        <v>3</v>
      </c>
      <c r="N1066" s="25">
        <v>97843.28</v>
      </c>
      <c r="O1066" s="25">
        <f t="shared" si="132"/>
        <v>293529.83999999997</v>
      </c>
      <c r="P1066" s="25">
        <v>59046.73</v>
      </c>
      <c r="Q1066" s="25">
        <f t="shared" si="133"/>
        <v>177140.19</v>
      </c>
      <c r="R1066" s="25">
        <f t="shared" si="134"/>
        <v>116389.64999999997</v>
      </c>
      <c r="S1066" s="26">
        <f t="shared" si="135"/>
        <v>0.39651726720526942</v>
      </c>
    </row>
    <row r="1067" spans="1:19" ht="15" x14ac:dyDescent="0.2">
      <c r="A1067" s="23">
        <v>45935</v>
      </c>
      <c r="B1067">
        <f t="shared" si="128"/>
        <v>2025</v>
      </c>
      <c r="C1067">
        <f t="shared" si="129"/>
        <v>10</v>
      </c>
      <c r="D1067" t="str">
        <f t="shared" si="130"/>
        <v>Octubre</v>
      </c>
      <c r="E1067" t="str">
        <f t="shared" si="131"/>
        <v>T4</v>
      </c>
      <c r="F1067" t="s">
        <v>1192</v>
      </c>
      <c r="G1067" t="s">
        <v>92</v>
      </c>
      <c r="H1067" t="s">
        <v>93</v>
      </c>
      <c r="I1067" t="s">
        <v>94</v>
      </c>
      <c r="J1067" t="s">
        <v>70</v>
      </c>
      <c r="K1067" t="s">
        <v>84</v>
      </c>
      <c r="L1067" t="s">
        <v>147</v>
      </c>
      <c r="M1067" s="24">
        <v>10</v>
      </c>
      <c r="N1067" s="25">
        <v>19675.09</v>
      </c>
      <c r="O1067" s="25">
        <f t="shared" si="132"/>
        <v>196750.9</v>
      </c>
      <c r="P1067" s="25">
        <v>12059.99</v>
      </c>
      <c r="Q1067" s="25">
        <f t="shared" si="133"/>
        <v>120599.9</v>
      </c>
      <c r="R1067" s="25">
        <f t="shared" si="134"/>
        <v>76151</v>
      </c>
      <c r="S1067" s="26">
        <f t="shared" si="135"/>
        <v>0.38704270221889708</v>
      </c>
    </row>
    <row r="1068" spans="1:19" ht="15" x14ac:dyDescent="0.2">
      <c r="A1068" s="23">
        <v>45936</v>
      </c>
      <c r="B1068">
        <f t="shared" si="128"/>
        <v>2025</v>
      </c>
      <c r="C1068">
        <f t="shared" si="129"/>
        <v>10</v>
      </c>
      <c r="D1068" t="str">
        <f t="shared" si="130"/>
        <v>Octubre</v>
      </c>
      <c r="E1068" t="str">
        <f t="shared" si="131"/>
        <v>T4</v>
      </c>
      <c r="F1068" t="s">
        <v>1193</v>
      </c>
      <c r="G1068" t="s">
        <v>282</v>
      </c>
      <c r="H1068" t="s">
        <v>55</v>
      </c>
      <c r="I1068" t="s">
        <v>56</v>
      </c>
      <c r="J1068" t="s">
        <v>64</v>
      </c>
      <c r="K1068" t="s">
        <v>96</v>
      </c>
      <c r="L1068" t="s">
        <v>97</v>
      </c>
      <c r="M1068" s="24">
        <v>2</v>
      </c>
      <c r="N1068" s="25">
        <v>603065.86</v>
      </c>
      <c r="O1068" s="25">
        <f t="shared" si="132"/>
        <v>1206131.72</v>
      </c>
      <c r="P1068" s="25">
        <v>464548.15</v>
      </c>
      <c r="Q1068" s="25">
        <f t="shared" si="133"/>
        <v>929096.3</v>
      </c>
      <c r="R1068" s="25">
        <f t="shared" si="134"/>
        <v>277035.41999999993</v>
      </c>
      <c r="S1068" s="26">
        <f t="shared" si="135"/>
        <v>0.22968919182392444</v>
      </c>
    </row>
    <row r="1069" spans="1:19" ht="15" x14ac:dyDescent="0.2">
      <c r="A1069" s="23">
        <v>45936</v>
      </c>
      <c r="B1069">
        <f t="shared" si="128"/>
        <v>2025</v>
      </c>
      <c r="C1069">
        <f t="shared" si="129"/>
        <v>10</v>
      </c>
      <c r="D1069" t="str">
        <f t="shared" si="130"/>
        <v>Octubre</v>
      </c>
      <c r="E1069" t="str">
        <f t="shared" si="131"/>
        <v>T4</v>
      </c>
      <c r="F1069" t="s">
        <v>1194</v>
      </c>
      <c r="G1069" t="s">
        <v>54</v>
      </c>
      <c r="H1069" t="s">
        <v>55</v>
      </c>
      <c r="I1069" t="s">
        <v>56</v>
      </c>
      <c r="J1069" t="s">
        <v>77</v>
      </c>
      <c r="K1069" t="s">
        <v>78</v>
      </c>
      <c r="L1069" t="s">
        <v>117</v>
      </c>
      <c r="M1069" s="24">
        <v>9</v>
      </c>
      <c r="N1069" s="25">
        <v>58615.64</v>
      </c>
      <c r="O1069" s="25">
        <f t="shared" si="132"/>
        <v>527540.76</v>
      </c>
      <c r="P1069" s="25">
        <v>43391.43</v>
      </c>
      <c r="Q1069" s="25">
        <f t="shared" si="133"/>
        <v>390522.87</v>
      </c>
      <c r="R1069" s="25">
        <f t="shared" si="134"/>
        <v>137017.89000000001</v>
      </c>
      <c r="S1069" s="26">
        <f t="shared" si="135"/>
        <v>0.25972948516812239</v>
      </c>
    </row>
    <row r="1070" spans="1:19" ht="15" x14ac:dyDescent="0.2">
      <c r="A1070" s="23">
        <v>45936</v>
      </c>
      <c r="B1070">
        <f t="shared" si="128"/>
        <v>2025</v>
      </c>
      <c r="C1070">
        <f t="shared" si="129"/>
        <v>10</v>
      </c>
      <c r="D1070" t="str">
        <f t="shared" si="130"/>
        <v>Octubre</v>
      </c>
      <c r="E1070" t="str">
        <f t="shared" si="131"/>
        <v>T4</v>
      </c>
      <c r="F1070" t="s">
        <v>1195</v>
      </c>
      <c r="G1070" t="s">
        <v>54</v>
      </c>
      <c r="H1070" t="s">
        <v>55</v>
      </c>
      <c r="I1070" t="s">
        <v>56</v>
      </c>
      <c r="J1070" t="s">
        <v>125</v>
      </c>
      <c r="K1070" t="s">
        <v>138</v>
      </c>
      <c r="L1070" t="s">
        <v>139</v>
      </c>
      <c r="M1070" s="24">
        <v>15</v>
      </c>
      <c r="N1070" s="25">
        <v>55646.53</v>
      </c>
      <c r="O1070" s="25">
        <f t="shared" si="132"/>
        <v>834697.95</v>
      </c>
      <c r="P1070" s="25">
        <v>40860</v>
      </c>
      <c r="Q1070" s="25">
        <f t="shared" si="133"/>
        <v>612900</v>
      </c>
      <c r="R1070" s="25">
        <f t="shared" si="134"/>
        <v>221797.94999999995</v>
      </c>
      <c r="S1070" s="26">
        <f t="shared" si="135"/>
        <v>0.26572240892648646</v>
      </c>
    </row>
    <row r="1071" spans="1:19" ht="15" x14ac:dyDescent="0.2">
      <c r="A1071" s="23">
        <v>45936</v>
      </c>
      <c r="B1071">
        <f t="shared" si="128"/>
        <v>2025</v>
      </c>
      <c r="C1071">
        <f t="shared" si="129"/>
        <v>10</v>
      </c>
      <c r="D1071" t="str">
        <f t="shared" si="130"/>
        <v>Octubre</v>
      </c>
      <c r="E1071" t="str">
        <f t="shared" si="131"/>
        <v>T4</v>
      </c>
      <c r="F1071" t="s">
        <v>1196</v>
      </c>
      <c r="G1071" t="s">
        <v>100</v>
      </c>
      <c r="H1071" t="s">
        <v>88</v>
      </c>
      <c r="I1071" t="s">
        <v>101</v>
      </c>
      <c r="J1071" t="s">
        <v>64</v>
      </c>
      <c r="K1071" t="s">
        <v>65</v>
      </c>
      <c r="L1071" t="s">
        <v>66</v>
      </c>
      <c r="M1071" s="24">
        <v>20</v>
      </c>
      <c r="N1071" s="25">
        <v>36465.39</v>
      </c>
      <c r="O1071" s="25">
        <f t="shared" si="132"/>
        <v>729307.8</v>
      </c>
      <c r="P1071" s="25">
        <v>20933.54</v>
      </c>
      <c r="Q1071" s="25">
        <f t="shared" si="133"/>
        <v>418670.80000000005</v>
      </c>
      <c r="R1071" s="25">
        <f t="shared" si="134"/>
        <v>310637</v>
      </c>
      <c r="S1071" s="26">
        <f t="shared" si="135"/>
        <v>0.42593401578866974</v>
      </c>
    </row>
    <row r="1072" spans="1:19" ht="15" x14ac:dyDescent="0.2">
      <c r="A1072" s="23">
        <v>45937</v>
      </c>
      <c r="B1072">
        <f t="shared" si="128"/>
        <v>2025</v>
      </c>
      <c r="C1072">
        <f t="shared" si="129"/>
        <v>10</v>
      </c>
      <c r="D1072" t="str">
        <f t="shared" si="130"/>
        <v>Octubre</v>
      </c>
      <c r="E1072" t="str">
        <f t="shared" si="131"/>
        <v>T4</v>
      </c>
      <c r="F1072" t="s">
        <v>1197</v>
      </c>
      <c r="G1072" t="s">
        <v>54</v>
      </c>
      <c r="H1072" t="s">
        <v>55</v>
      </c>
      <c r="I1072" t="s">
        <v>56</v>
      </c>
      <c r="J1072" t="s">
        <v>70</v>
      </c>
      <c r="K1072" t="s">
        <v>71</v>
      </c>
      <c r="L1072" t="s">
        <v>90</v>
      </c>
      <c r="M1072" s="24">
        <v>6</v>
      </c>
      <c r="N1072" s="25">
        <v>48935.26</v>
      </c>
      <c r="O1072" s="25">
        <f t="shared" si="132"/>
        <v>293611.56</v>
      </c>
      <c r="P1072" s="25">
        <v>38579.83</v>
      </c>
      <c r="Q1072" s="25">
        <f t="shared" si="133"/>
        <v>231478.98</v>
      </c>
      <c r="R1072" s="25">
        <f t="shared" si="134"/>
        <v>62132.579999999987</v>
      </c>
      <c r="S1072" s="26">
        <f t="shared" si="135"/>
        <v>0.21161489690664764</v>
      </c>
    </row>
    <row r="1073" spans="1:19" ht="15" x14ac:dyDescent="0.2">
      <c r="A1073" s="23">
        <v>45937</v>
      </c>
      <c r="B1073">
        <f t="shared" si="128"/>
        <v>2025</v>
      </c>
      <c r="C1073">
        <f t="shared" si="129"/>
        <v>10</v>
      </c>
      <c r="D1073" t="str">
        <f t="shared" si="130"/>
        <v>Octubre</v>
      </c>
      <c r="E1073" t="str">
        <f t="shared" si="131"/>
        <v>T4</v>
      </c>
      <c r="F1073" t="s">
        <v>1198</v>
      </c>
      <c r="G1073" t="s">
        <v>74</v>
      </c>
      <c r="H1073" t="s">
        <v>75</v>
      </c>
      <c r="I1073" t="s">
        <v>76</v>
      </c>
      <c r="J1073" t="s">
        <v>125</v>
      </c>
      <c r="K1073" t="s">
        <v>126</v>
      </c>
      <c r="L1073" t="s">
        <v>127</v>
      </c>
      <c r="M1073" s="24">
        <v>4</v>
      </c>
      <c r="N1073" s="25">
        <v>45550.12</v>
      </c>
      <c r="O1073" s="25">
        <f t="shared" si="132"/>
        <v>182200.48</v>
      </c>
      <c r="P1073" s="25">
        <v>31108.75</v>
      </c>
      <c r="Q1073" s="25">
        <f t="shared" si="133"/>
        <v>124435</v>
      </c>
      <c r="R1073" s="25">
        <f t="shared" si="134"/>
        <v>57765.48000000001</v>
      </c>
      <c r="S1073" s="26">
        <f t="shared" si="135"/>
        <v>0.31704351163070488</v>
      </c>
    </row>
    <row r="1074" spans="1:19" ht="15" x14ac:dyDescent="0.2">
      <c r="A1074" s="23">
        <v>45937</v>
      </c>
      <c r="B1074">
        <f t="shared" si="128"/>
        <v>2025</v>
      </c>
      <c r="C1074">
        <f t="shared" si="129"/>
        <v>10</v>
      </c>
      <c r="D1074" t="str">
        <f t="shared" si="130"/>
        <v>Octubre</v>
      </c>
      <c r="E1074" t="str">
        <f t="shared" si="131"/>
        <v>T4</v>
      </c>
      <c r="F1074" t="s">
        <v>1199</v>
      </c>
      <c r="G1074" t="s">
        <v>206</v>
      </c>
      <c r="H1074" t="s">
        <v>93</v>
      </c>
      <c r="I1074" t="s">
        <v>207</v>
      </c>
      <c r="J1074" t="s">
        <v>77</v>
      </c>
      <c r="K1074" t="s">
        <v>78</v>
      </c>
      <c r="L1074" t="s">
        <v>79</v>
      </c>
      <c r="M1074" s="24">
        <v>2</v>
      </c>
      <c r="N1074" s="25">
        <v>134764.18</v>
      </c>
      <c r="O1074" s="25">
        <f t="shared" si="132"/>
        <v>269528.36</v>
      </c>
      <c r="P1074" s="25">
        <v>77424.23</v>
      </c>
      <c r="Q1074" s="25">
        <f t="shared" si="133"/>
        <v>154848.46</v>
      </c>
      <c r="R1074" s="25">
        <f t="shared" si="134"/>
        <v>114679.9</v>
      </c>
      <c r="S1074" s="26">
        <f t="shared" si="135"/>
        <v>0.4254836114463057</v>
      </c>
    </row>
    <row r="1075" spans="1:19" ht="15" x14ac:dyDescent="0.2">
      <c r="A1075" s="23">
        <v>45938</v>
      </c>
      <c r="B1075">
        <f t="shared" si="128"/>
        <v>2025</v>
      </c>
      <c r="C1075">
        <f t="shared" si="129"/>
        <v>10</v>
      </c>
      <c r="D1075" t="str">
        <f t="shared" si="130"/>
        <v>Octubre</v>
      </c>
      <c r="E1075" t="str">
        <f t="shared" si="131"/>
        <v>T4</v>
      </c>
      <c r="F1075" t="s">
        <v>1200</v>
      </c>
      <c r="G1075" t="s">
        <v>282</v>
      </c>
      <c r="H1075" t="s">
        <v>55</v>
      </c>
      <c r="I1075" t="s">
        <v>56</v>
      </c>
      <c r="J1075" t="s">
        <v>77</v>
      </c>
      <c r="K1075" t="s">
        <v>78</v>
      </c>
      <c r="L1075" t="s">
        <v>117</v>
      </c>
      <c r="M1075" s="24">
        <v>2</v>
      </c>
      <c r="N1075" s="25">
        <v>584725.77</v>
      </c>
      <c r="O1075" s="25">
        <f t="shared" si="132"/>
        <v>1169451.54</v>
      </c>
      <c r="P1075" s="25">
        <v>423153.46</v>
      </c>
      <c r="Q1075" s="25">
        <f t="shared" si="133"/>
        <v>846306.92</v>
      </c>
      <c r="R1075" s="25">
        <f t="shared" si="134"/>
        <v>323144.62</v>
      </c>
      <c r="S1075" s="26">
        <f t="shared" si="135"/>
        <v>0.2763215139295126</v>
      </c>
    </row>
    <row r="1076" spans="1:19" ht="15" x14ac:dyDescent="0.2">
      <c r="A1076" s="23">
        <v>45938</v>
      </c>
      <c r="B1076">
        <f t="shared" si="128"/>
        <v>2025</v>
      </c>
      <c r="C1076">
        <f t="shared" si="129"/>
        <v>10</v>
      </c>
      <c r="D1076" t="str">
        <f t="shared" si="130"/>
        <v>Octubre</v>
      </c>
      <c r="E1076" t="str">
        <f t="shared" si="131"/>
        <v>T4</v>
      </c>
      <c r="F1076" t="s">
        <v>1201</v>
      </c>
      <c r="G1076" t="s">
        <v>110</v>
      </c>
      <c r="H1076" t="s">
        <v>62</v>
      </c>
      <c r="I1076" t="s">
        <v>69</v>
      </c>
      <c r="J1076" t="s">
        <v>77</v>
      </c>
      <c r="K1076" t="s">
        <v>78</v>
      </c>
      <c r="L1076" t="s">
        <v>117</v>
      </c>
      <c r="M1076" s="24">
        <v>77</v>
      </c>
      <c r="N1076" s="25">
        <v>6669.53</v>
      </c>
      <c r="O1076" s="25">
        <f t="shared" si="132"/>
        <v>513553.81</v>
      </c>
      <c r="P1076" s="25">
        <v>5399.15</v>
      </c>
      <c r="Q1076" s="25">
        <f t="shared" si="133"/>
        <v>415734.55</v>
      </c>
      <c r="R1076" s="25">
        <f t="shared" si="134"/>
        <v>97819.260000000009</v>
      </c>
      <c r="S1076" s="26">
        <f t="shared" si="135"/>
        <v>0.1904751909055061</v>
      </c>
    </row>
    <row r="1077" spans="1:19" ht="15" x14ac:dyDescent="0.2">
      <c r="A1077" s="23">
        <v>45938</v>
      </c>
      <c r="B1077">
        <f t="shared" si="128"/>
        <v>2025</v>
      </c>
      <c r="C1077">
        <f t="shared" si="129"/>
        <v>10</v>
      </c>
      <c r="D1077" t="str">
        <f t="shared" si="130"/>
        <v>Octubre</v>
      </c>
      <c r="E1077" t="str">
        <f t="shared" si="131"/>
        <v>T4</v>
      </c>
      <c r="F1077" t="s">
        <v>1202</v>
      </c>
      <c r="G1077" t="s">
        <v>87</v>
      </c>
      <c r="H1077" t="s">
        <v>88</v>
      </c>
      <c r="I1077" t="s">
        <v>89</v>
      </c>
      <c r="J1077" t="s">
        <v>70</v>
      </c>
      <c r="K1077" t="s">
        <v>84</v>
      </c>
      <c r="L1077" t="s">
        <v>147</v>
      </c>
      <c r="M1077" s="24">
        <v>5</v>
      </c>
      <c r="N1077" s="25">
        <v>59447.22</v>
      </c>
      <c r="O1077" s="25">
        <f t="shared" si="132"/>
        <v>297236.09999999998</v>
      </c>
      <c r="P1077" s="25">
        <v>35874.76</v>
      </c>
      <c r="Q1077" s="25">
        <f t="shared" si="133"/>
        <v>179373.80000000002</v>
      </c>
      <c r="R1077" s="25">
        <f t="shared" si="134"/>
        <v>117862.29999999996</v>
      </c>
      <c r="S1077" s="26">
        <f t="shared" si="135"/>
        <v>0.39652754157385312</v>
      </c>
    </row>
    <row r="1078" spans="1:19" ht="15" x14ac:dyDescent="0.2">
      <c r="A1078" s="23">
        <v>45939</v>
      </c>
      <c r="B1078">
        <f t="shared" si="128"/>
        <v>2025</v>
      </c>
      <c r="C1078">
        <f t="shared" si="129"/>
        <v>10</v>
      </c>
      <c r="D1078" t="str">
        <f t="shared" si="130"/>
        <v>Octubre</v>
      </c>
      <c r="E1078" t="str">
        <f t="shared" si="131"/>
        <v>T4</v>
      </c>
      <c r="F1078" t="s">
        <v>1203</v>
      </c>
      <c r="G1078" t="s">
        <v>74</v>
      </c>
      <c r="H1078" t="s">
        <v>75</v>
      </c>
      <c r="I1078" t="s">
        <v>76</v>
      </c>
      <c r="J1078" t="s">
        <v>64</v>
      </c>
      <c r="K1078" t="s">
        <v>96</v>
      </c>
      <c r="L1078" t="s">
        <v>103</v>
      </c>
      <c r="M1078" s="24">
        <v>12</v>
      </c>
      <c r="N1078" s="25">
        <v>39045.910000000003</v>
      </c>
      <c r="O1078" s="25">
        <f t="shared" si="132"/>
        <v>468550.92000000004</v>
      </c>
      <c r="P1078" s="25">
        <v>27396.43</v>
      </c>
      <c r="Q1078" s="25">
        <f t="shared" si="133"/>
        <v>328757.16000000003</v>
      </c>
      <c r="R1078" s="25">
        <f t="shared" si="134"/>
        <v>139793.76</v>
      </c>
      <c r="S1078" s="26">
        <f t="shared" si="135"/>
        <v>0.29835339988234361</v>
      </c>
    </row>
    <row r="1079" spans="1:19" ht="15" x14ac:dyDescent="0.2">
      <c r="A1079" s="23">
        <v>45939</v>
      </c>
      <c r="B1079">
        <f t="shared" si="128"/>
        <v>2025</v>
      </c>
      <c r="C1079">
        <f t="shared" si="129"/>
        <v>10</v>
      </c>
      <c r="D1079" t="str">
        <f t="shared" si="130"/>
        <v>Octubre</v>
      </c>
      <c r="E1079" t="str">
        <f t="shared" si="131"/>
        <v>T4</v>
      </c>
      <c r="F1079" t="s">
        <v>1204</v>
      </c>
      <c r="G1079" t="s">
        <v>87</v>
      </c>
      <c r="H1079" t="s">
        <v>88</v>
      </c>
      <c r="I1079" t="s">
        <v>89</v>
      </c>
      <c r="J1079" t="s">
        <v>64</v>
      </c>
      <c r="K1079" t="s">
        <v>65</v>
      </c>
      <c r="L1079" t="s">
        <v>123</v>
      </c>
      <c r="M1079" s="24">
        <v>14</v>
      </c>
      <c r="N1079" s="25">
        <v>58144.27</v>
      </c>
      <c r="O1079" s="25">
        <f t="shared" si="132"/>
        <v>814019.77999999991</v>
      </c>
      <c r="P1079" s="25">
        <v>33789.199999999997</v>
      </c>
      <c r="Q1079" s="25">
        <f t="shared" si="133"/>
        <v>473048.79999999993</v>
      </c>
      <c r="R1079" s="25">
        <f t="shared" si="134"/>
        <v>340970.98</v>
      </c>
      <c r="S1079" s="26">
        <f t="shared" si="135"/>
        <v>0.41887308930011508</v>
      </c>
    </row>
    <row r="1080" spans="1:19" ht="15" x14ac:dyDescent="0.2">
      <c r="A1080" s="23">
        <v>45939</v>
      </c>
      <c r="B1080">
        <f t="shared" si="128"/>
        <v>2025</v>
      </c>
      <c r="C1080">
        <f t="shared" si="129"/>
        <v>10</v>
      </c>
      <c r="D1080" t="str">
        <f t="shared" si="130"/>
        <v>Octubre</v>
      </c>
      <c r="E1080" t="str">
        <f t="shared" si="131"/>
        <v>T4</v>
      </c>
      <c r="F1080" t="s">
        <v>1205</v>
      </c>
      <c r="G1080" t="s">
        <v>87</v>
      </c>
      <c r="H1080" t="s">
        <v>88</v>
      </c>
      <c r="I1080" t="s">
        <v>89</v>
      </c>
      <c r="J1080" t="s">
        <v>70</v>
      </c>
      <c r="K1080" t="s">
        <v>71</v>
      </c>
      <c r="L1080" t="s">
        <v>90</v>
      </c>
      <c r="M1080" s="24">
        <v>2</v>
      </c>
      <c r="N1080" s="25">
        <v>58646.32</v>
      </c>
      <c r="O1080" s="25">
        <f t="shared" si="132"/>
        <v>117292.64</v>
      </c>
      <c r="P1080" s="25">
        <v>34398.769999999997</v>
      </c>
      <c r="Q1080" s="25">
        <f t="shared" si="133"/>
        <v>68797.539999999994</v>
      </c>
      <c r="R1080" s="25">
        <f t="shared" si="134"/>
        <v>48495.100000000006</v>
      </c>
      <c r="S1080" s="26">
        <f t="shared" si="135"/>
        <v>0.41345390469512838</v>
      </c>
    </row>
    <row r="1081" spans="1:19" ht="15" x14ac:dyDescent="0.2">
      <c r="A1081" s="23">
        <v>45940</v>
      </c>
      <c r="B1081">
        <f t="shared" si="128"/>
        <v>2025</v>
      </c>
      <c r="C1081">
        <f t="shared" si="129"/>
        <v>10</v>
      </c>
      <c r="D1081" t="str">
        <f t="shared" si="130"/>
        <v>Octubre</v>
      </c>
      <c r="E1081" t="str">
        <f t="shared" si="131"/>
        <v>T4</v>
      </c>
      <c r="F1081" t="s">
        <v>1206</v>
      </c>
      <c r="G1081" t="s">
        <v>282</v>
      </c>
      <c r="H1081" t="s">
        <v>55</v>
      </c>
      <c r="I1081" t="s">
        <v>56</v>
      </c>
      <c r="J1081" t="s">
        <v>64</v>
      </c>
      <c r="K1081" t="s">
        <v>65</v>
      </c>
      <c r="L1081" t="s">
        <v>66</v>
      </c>
      <c r="M1081" s="24">
        <v>2</v>
      </c>
      <c r="N1081" s="25">
        <v>582244.17000000004</v>
      </c>
      <c r="O1081" s="25">
        <f t="shared" si="132"/>
        <v>1164488.3400000001</v>
      </c>
      <c r="P1081" s="25">
        <v>445653.17</v>
      </c>
      <c r="Q1081" s="25">
        <f t="shared" si="133"/>
        <v>891306.34</v>
      </c>
      <c r="R1081" s="25">
        <f t="shared" si="134"/>
        <v>273182.00000000012</v>
      </c>
      <c r="S1081" s="26">
        <f t="shared" si="135"/>
        <v>0.23459401920675316</v>
      </c>
    </row>
    <row r="1082" spans="1:19" ht="15" x14ac:dyDescent="0.2">
      <c r="A1082" s="23">
        <v>45940</v>
      </c>
      <c r="B1082">
        <f t="shared" si="128"/>
        <v>2025</v>
      </c>
      <c r="C1082">
        <f t="shared" si="129"/>
        <v>10</v>
      </c>
      <c r="D1082" t="str">
        <f t="shared" si="130"/>
        <v>Octubre</v>
      </c>
      <c r="E1082" t="str">
        <f t="shared" si="131"/>
        <v>T4</v>
      </c>
      <c r="F1082" t="s">
        <v>1207</v>
      </c>
      <c r="G1082" t="s">
        <v>74</v>
      </c>
      <c r="H1082" t="s">
        <v>75</v>
      </c>
      <c r="I1082" t="s">
        <v>76</v>
      </c>
      <c r="J1082" t="s">
        <v>64</v>
      </c>
      <c r="K1082" t="s">
        <v>65</v>
      </c>
      <c r="L1082" t="s">
        <v>123</v>
      </c>
      <c r="M1082" s="24">
        <v>23</v>
      </c>
      <c r="N1082" s="25">
        <v>39828.99</v>
      </c>
      <c r="O1082" s="25">
        <f t="shared" si="132"/>
        <v>916066.7699999999</v>
      </c>
      <c r="P1082" s="25">
        <v>27881.13</v>
      </c>
      <c r="Q1082" s="25">
        <f t="shared" si="133"/>
        <v>641265.99</v>
      </c>
      <c r="R1082" s="25">
        <f t="shared" si="134"/>
        <v>274800.77999999991</v>
      </c>
      <c r="S1082" s="26">
        <f t="shared" si="135"/>
        <v>0.29997898515628935</v>
      </c>
    </row>
    <row r="1083" spans="1:19" ht="15" x14ac:dyDescent="0.2">
      <c r="A1083" s="23">
        <v>45941</v>
      </c>
      <c r="B1083">
        <f t="shared" si="128"/>
        <v>2025</v>
      </c>
      <c r="C1083">
        <f t="shared" si="129"/>
        <v>10</v>
      </c>
      <c r="D1083" t="str">
        <f t="shared" si="130"/>
        <v>Octubre</v>
      </c>
      <c r="E1083" t="str">
        <f t="shared" si="131"/>
        <v>T4</v>
      </c>
      <c r="F1083" t="s">
        <v>1208</v>
      </c>
      <c r="G1083" t="s">
        <v>68</v>
      </c>
      <c r="H1083" t="s">
        <v>62</v>
      </c>
      <c r="I1083" t="s">
        <v>69</v>
      </c>
      <c r="J1083" t="s">
        <v>125</v>
      </c>
      <c r="K1083" t="s">
        <v>138</v>
      </c>
      <c r="L1083" t="s">
        <v>139</v>
      </c>
      <c r="M1083" s="24">
        <v>222</v>
      </c>
      <c r="N1083" s="25">
        <v>3209.11</v>
      </c>
      <c r="O1083" s="25">
        <f t="shared" si="132"/>
        <v>712422.42</v>
      </c>
      <c r="P1083" s="25">
        <v>2602.9699999999998</v>
      </c>
      <c r="Q1083" s="25">
        <f t="shared" si="133"/>
        <v>577859.34</v>
      </c>
      <c r="R1083" s="25">
        <f t="shared" si="134"/>
        <v>134563.08000000007</v>
      </c>
      <c r="S1083" s="26">
        <f t="shared" si="135"/>
        <v>0.1888810293196557</v>
      </c>
    </row>
    <row r="1084" spans="1:19" ht="15" x14ac:dyDescent="0.2">
      <c r="A1084" s="23">
        <v>45941</v>
      </c>
      <c r="B1084">
        <f t="shared" si="128"/>
        <v>2025</v>
      </c>
      <c r="C1084">
        <f t="shared" si="129"/>
        <v>10</v>
      </c>
      <c r="D1084" t="str">
        <f t="shared" si="130"/>
        <v>Octubre</v>
      </c>
      <c r="E1084" t="str">
        <f t="shared" si="131"/>
        <v>T4</v>
      </c>
      <c r="F1084" t="s">
        <v>1209</v>
      </c>
      <c r="G1084" t="s">
        <v>74</v>
      </c>
      <c r="H1084" t="s">
        <v>75</v>
      </c>
      <c r="I1084" t="s">
        <v>76</v>
      </c>
      <c r="J1084" t="s">
        <v>64</v>
      </c>
      <c r="K1084" t="s">
        <v>65</v>
      </c>
      <c r="L1084" t="s">
        <v>66</v>
      </c>
      <c r="M1084" s="24">
        <v>28</v>
      </c>
      <c r="N1084" s="25">
        <v>40759.64</v>
      </c>
      <c r="O1084" s="25">
        <f t="shared" si="132"/>
        <v>1141269.92</v>
      </c>
      <c r="P1084" s="25">
        <v>27993.360000000001</v>
      </c>
      <c r="Q1084" s="25">
        <f t="shared" si="133"/>
        <v>783814.08000000007</v>
      </c>
      <c r="R1084" s="25">
        <f t="shared" si="134"/>
        <v>357455.83999999985</v>
      </c>
      <c r="S1084" s="26">
        <f t="shared" si="135"/>
        <v>0.31320885071605137</v>
      </c>
    </row>
    <row r="1085" spans="1:19" ht="15" x14ac:dyDescent="0.2">
      <c r="A1085" s="23">
        <v>45941</v>
      </c>
      <c r="B1085">
        <f t="shared" si="128"/>
        <v>2025</v>
      </c>
      <c r="C1085">
        <f t="shared" si="129"/>
        <v>10</v>
      </c>
      <c r="D1085" t="str">
        <f t="shared" si="130"/>
        <v>Octubre</v>
      </c>
      <c r="E1085" t="str">
        <f t="shared" si="131"/>
        <v>T4</v>
      </c>
      <c r="F1085" t="s">
        <v>1210</v>
      </c>
      <c r="G1085" t="s">
        <v>87</v>
      </c>
      <c r="H1085" t="s">
        <v>88</v>
      </c>
      <c r="I1085" t="s">
        <v>89</v>
      </c>
      <c r="J1085" t="s">
        <v>77</v>
      </c>
      <c r="K1085" t="s">
        <v>78</v>
      </c>
      <c r="L1085" t="s">
        <v>79</v>
      </c>
      <c r="M1085" s="24">
        <v>7</v>
      </c>
      <c r="N1085" s="25">
        <v>62493.29</v>
      </c>
      <c r="O1085" s="25">
        <f t="shared" si="132"/>
        <v>437453.03</v>
      </c>
      <c r="P1085" s="25">
        <v>33789.599999999999</v>
      </c>
      <c r="Q1085" s="25">
        <f t="shared" si="133"/>
        <v>236527.19999999998</v>
      </c>
      <c r="R1085" s="25">
        <f t="shared" si="134"/>
        <v>200925.83000000005</v>
      </c>
      <c r="S1085" s="26">
        <f t="shared" si="135"/>
        <v>0.45930835134460041</v>
      </c>
    </row>
    <row r="1086" spans="1:19" ht="15" x14ac:dyDescent="0.2">
      <c r="A1086" s="23">
        <v>45942</v>
      </c>
      <c r="B1086">
        <f t="shared" si="128"/>
        <v>2025</v>
      </c>
      <c r="C1086">
        <f t="shared" si="129"/>
        <v>10</v>
      </c>
      <c r="D1086" t="str">
        <f t="shared" si="130"/>
        <v>Octubre</v>
      </c>
      <c r="E1086" t="str">
        <f t="shared" si="131"/>
        <v>T4</v>
      </c>
      <c r="F1086" t="s">
        <v>1211</v>
      </c>
      <c r="G1086" t="s">
        <v>54</v>
      </c>
      <c r="H1086" t="s">
        <v>55</v>
      </c>
      <c r="I1086" t="s">
        <v>56</v>
      </c>
      <c r="J1086" t="s">
        <v>70</v>
      </c>
      <c r="K1086" t="s">
        <v>84</v>
      </c>
      <c r="L1086" t="s">
        <v>85</v>
      </c>
      <c r="M1086" s="24">
        <v>5</v>
      </c>
      <c r="N1086" s="25">
        <v>53803.33</v>
      </c>
      <c r="O1086" s="25">
        <f t="shared" si="132"/>
        <v>269016.65000000002</v>
      </c>
      <c r="P1086" s="25">
        <v>42232.19</v>
      </c>
      <c r="Q1086" s="25">
        <f t="shared" si="133"/>
        <v>211160.95</v>
      </c>
      <c r="R1086" s="25">
        <f t="shared" si="134"/>
        <v>57855.700000000012</v>
      </c>
      <c r="S1086" s="26">
        <f t="shared" si="135"/>
        <v>0.21506364011298187</v>
      </c>
    </row>
    <row r="1087" spans="1:19" ht="15" x14ac:dyDescent="0.2">
      <c r="A1087" s="23">
        <v>45942</v>
      </c>
      <c r="B1087">
        <f t="shared" si="128"/>
        <v>2025</v>
      </c>
      <c r="C1087">
        <f t="shared" si="129"/>
        <v>10</v>
      </c>
      <c r="D1087" t="str">
        <f t="shared" si="130"/>
        <v>Octubre</v>
      </c>
      <c r="E1087" t="str">
        <f t="shared" si="131"/>
        <v>T4</v>
      </c>
      <c r="F1087" t="s">
        <v>1212</v>
      </c>
      <c r="G1087" t="s">
        <v>61</v>
      </c>
      <c r="H1087" t="s">
        <v>62</v>
      </c>
      <c r="I1087" t="s">
        <v>63</v>
      </c>
      <c r="J1087" t="s">
        <v>64</v>
      </c>
      <c r="K1087" t="s">
        <v>65</v>
      </c>
      <c r="L1087" t="s">
        <v>66</v>
      </c>
      <c r="M1087" s="24">
        <v>202</v>
      </c>
      <c r="N1087" s="25">
        <v>5748.89</v>
      </c>
      <c r="O1087" s="25">
        <f t="shared" si="132"/>
        <v>1161275.78</v>
      </c>
      <c r="P1087" s="25">
        <v>4805.28</v>
      </c>
      <c r="Q1087" s="25">
        <f t="shared" si="133"/>
        <v>970666.55999999994</v>
      </c>
      <c r="R1087" s="25">
        <f t="shared" si="134"/>
        <v>190609.22000000009</v>
      </c>
      <c r="S1087" s="26">
        <f t="shared" si="135"/>
        <v>0.16413777268307456</v>
      </c>
    </row>
    <row r="1088" spans="1:19" ht="15" x14ac:dyDescent="0.2">
      <c r="A1088" s="23">
        <v>45942</v>
      </c>
      <c r="B1088">
        <f t="shared" si="128"/>
        <v>2025</v>
      </c>
      <c r="C1088">
        <f t="shared" si="129"/>
        <v>10</v>
      </c>
      <c r="D1088" t="str">
        <f t="shared" si="130"/>
        <v>Octubre</v>
      </c>
      <c r="E1088" t="str">
        <f t="shared" si="131"/>
        <v>T4</v>
      </c>
      <c r="F1088" t="s">
        <v>1213</v>
      </c>
      <c r="G1088" t="s">
        <v>110</v>
      </c>
      <c r="H1088" t="s">
        <v>62</v>
      </c>
      <c r="I1088" t="s">
        <v>69</v>
      </c>
      <c r="J1088" t="s">
        <v>64</v>
      </c>
      <c r="K1088" t="s">
        <v>65</v>
      </c>
      <c r="L1088" t="s">
        <v>123</v>
      </c>
      <c r="M1088" s="24">
        <v>127</v>
      </c>
      <c r="N1088" s="25">
        <v>6523.16</v>
      </c>
      <c r="O1088" s="25">
        <f t="shared" si="132"/>
        <v>828441.32</v>
      </c>
      <c r="P1088" s="25">
        <v>5414.54</v>
      </c>
      <c r="Q1088" s="25">
        <f t="shared" si="133"/>
        <v>687646.58</v>
      </c>
      <c r="R1088" s="25">
        <f t="shared" si="134"/>
        <v>140794.74</v>
      </c>
      <c r="S1088" s="26">
        <f t="shared" si="135"/>
        <v>0.16995137326081225</v>
      </c>
    </row>
    <row r="1089" spans="1:19" ht="15" x14ac:dyDescent="0.2">
      <c r="A1089" s="23">
        <v>45943</v>
      </c>
      <c r="B1089">
        <f t="shared" si="128"/>
        <v>2025</v>
      </c>
      <c r="C1089">
        <f t="shared" si="129"/>
        <v>10</v>
      </c>
      <c r="D1089" t="str">
        <f t="shared" si="130"/>
        <v>Octubre</v>
      </c>
      <c r="E1089" t="str">
        <f t="shared" si="131"/>
        <v>T4</v>
      </c>
      <c r="F1089" t="s">
        <v>1214</v>
      </c>
      <c r="G1089" t="s">
        <v>74</v>
      </c>
      <c r="H1089" t="s">
        <v>75</v>
      </c>
      <c r="I1089" t="s">
        <v>76</v>
      </c>
      <c r="J1089" t="s">
        <v>125</v>
      </c>
      <c r="K1089" t="s">
        <v>138</v>
      </c>
      <c r="L1089" t="s">
        <v>139</v>
      </c>
      <c r="M1089" s="24">
        <v>7</v>
      </c>
      <c r="N1089" s="25">
        <v>40018.11</v>
      </c>
      <c r="O1089" s="25">
        <f t="shared" si="132"/>
        <v>280126.77</v>
      </c>
      <c r="P1089" s="25">
        <v>27194.06</v>
      </c>
      <c r="Q1089" s="25">
        <f t="shared" si="133"/>
        <v>190358.42</v>
      </c>
      <c r="R1089" s="25">
        <f t="shared" si="134"/>
        <v>89768.35</v>
      </c>
      <c r="S1089" s="26">
        <f t="shared" si="135"/>
        <v>0.32045616347198808</v>
      </c>
    </row>
    <row r="1090" spans="1:19" ht="15" x14ac:dyDescent="0.2">
      <c r="A1090" s="23">
        <v>45943</v>
      </c>
      <c r="B1090">
        <f t="shared" ref="B1090:B1153" si="136">YEAR($A1090)</f>
        <v>2025</v>
      </c>
      <c r="C1090">
        <f t="shared" ref="C1090:C1153" si="137">MONTH($A1090)</f>
        <v>10</v>
      </c>
      <c r="D1090" t="str">
        <f t="shared" ref="D1090:D1153" si="138">INDEX(lst_Meses,MONTH($A1090))</f>
        <v>Octubre</v>
      </c>
      <c r="E1090" t="str">
        <f t="shared" ref="E1090:E1153" si="139">"T"&amp;ROUNDUP(MONTH($A1090)/3,0)</f>
        <v>T4</v>
      </c>
      <c r="F1090" t="s">
        <v>1215</v>
      </c>
      <c r="G1090" t="s">
        <v>74</v>
      </c>
      <c r="H1090" t="s">
        <v>75</v>
      </c>
      <c r="I1090" t="s">
        <v>76</v>
      </c>
      <c r="J1090" t="s">
        <v>70</v>
      </c>
      <c r="K1090" t="s">
        <v>84</v>
      </c>
      <c r="L1090" t="s">
        <v>85</v>
      </c>
      <c r="M1090" s="24">
        <v>2</v>
      </c>
      <c r="N1090" s="25">
        <v>33559.699999999997</v>
      </c>
      <c r="O1090" s="25">
        <f t="shared" ref="O1090:O1153" si="140">$M1090*$N1090</f>
        <v>67119.399999999994</v>
      </c>
      <c r="P1090" s="25">
        <v>23992.18</v>
      </c>
      <c r="Q1090" s="25">
        <f t="shared" ref="Q1090:Q1153" si="141">$M1090*$P1090</f>
        <v>47984.36</v>
      </c>
      <c r="R1090" s="25">
        <f t="shared" ref="R1090:R1153" si="142">$O1090-$Q1090</f>
        <v>19135.039999999994</v>
      </c>
      <c r="S1090" s="26">
        <f t="shared" ref="S1090:S1153" si="143">IFERROR($R1090/$O1090,0)</f>
        <v>0.28508955681963777</v>
      </c>
    </row>
    <row r="1091" spans="1:19" ht="15" x14ac:dyDescent="0.2">
      <c r="A1091" s="23">
        <v>45943</v>
      </c>
      <c r="B1091">
        <f t="shared" si="136"/>
        <v>2025</v>
      </c>
      <c r="C1091">
        <f t="shared" si="137"/>
        <v>10</v>
      </c>
      <c r="D1091" t="str">
        <f t="shared" si="138"/>
        <v>Octubre</v>
      </c>
      <c r="E1091" t="str">
        <f t="shared" si="139"/>
        <v>T4</v>
      </c>
      <c r="F1091" t="s">
        <v>1216</v>
      </c>
      <c r="G1091" t="s">
        <v>87</v>
      </c>
      <c r="H1091" t="s">
        <v>88</v>
      </c>
      <c r="I1091" t="s">
        <v>89</v>
      </c>
      <c r="J1091" t="s">
        <v>64</v>
      </c>
      <c r="K1091" t="s">
        <v>96</v>
      </c>
      <c r="L1091" t="s">
        <v>103</v>
      </c>
      <c r="M1091" s="24">
        <v>8</v>
      </c>
      <c r="N1091" s="25">
        <v>56316.56</v>
      </c>
      <c r="O1091" s="25">
        <f t="shared" si="140"/>
        <v>450532.48</v>
      </c>
      <c r="P1091" s="25">
        <v>31788.91</v>
      </c>
      <c r="Q1091" s="25">
        <f t="shared" si="141"/>
        <v>254311.28</v>
      </c>
      <c r="R1091" s="25">
        <f t="shared" si="142"/>
        <v>196221.19999999998</v>
      </c>
      <c r="S1091" s="26">
        <f t="shared" si="143"/>
        <v>0.43553175122912335</v>
      </c>
    </row>
    <row r="1092" spans="1:19" ht="15" x14ac:dyDescent="0.2">
      <c r="A1092" s="23">
        <v>45944</v>
      </c>
      <c r="B1092">
        <f t="shared" si="136"/>
        <v>2025</v>
      </c>
      <c r="C1092">
        <f t="shared" si="137"/>
        <v>10</v>
      </c>
      <c r="D1092" t="str">
        <f t="shared" si="138"/>
        <v>Octubre</v>
      </c>
      <c r="E1092" t="str">
        <f t="shared" si="139"/>
        <v>T4</v>
      </c>
      <c r="F1092" t="s">
        <v>1217</v>
      </c>
      <c r="G1092" t="s">
        <v>54</v>
      </c>
      <c r="H1092" t="s">
        <v>55</v>
      </c>
      <c r="I1092" t="s">
        <v>56</v>
      </c>
      <c r="J1092" t="s">
        <v>125</v>
      </c>
      <c r="K1092" t="s">
        <v>138</v>
      </c>
      <c r="L1092" t="s">
        <v>139</v>
      </c>
      <c r="M1092" s="24">
        <v>7</v>
      </c>
      <c r="N1092" s="25">
        <v>58355.03</v>
      </c>
      <c r="O1092" s="25">
        <f t="shared" si="140"/>
        <v>408485.20999999996</v>
      </c>
      <c r="P1092" s="25">
        <v>42584.75</v>
      </c>
      <c r="Q1092" s="25">
        <f t="shared" si="141"/>
        <v>298093.25</v>
      </c>
      <c r="R1092" s="25">
        <f t="shared" si="142"/>
        <v>110391.95999999996</v>
      </c>
      <c r="S1092" s="26">
        <f t="shared" si="143"/>
        <v>0.27024714064922933</v>
      </c>
    </row>
    <row r="1093" spans="1:19" ht="15" x14ac:dyDescent="0.2">
      <c r="A1093" s="23">
        <v>45944</v>
      </c>
      <c r="B1093">
        <f t="shared" si="136"/>
        <v>2025</v>
      </c>
      <c r="C1093">
        <f t="shared" si="137"/>
        <v>10</v>
      </c>
      <c r="D1093" t="str">
        <f t="shared" si="138"/>
        <v>Octubre</v>
      </c>
      <c r="E1093" t="str">
        <f t="shared" si="139"/>
        <v>T4</v>
      </c>
      <c r="F1093" t="s">
        <v>1218</v>
      </c>
      <c r="G1093" t="s">
        <v>54</v>
      </c>
      <c r="H1093" t="s">
        <v>55</v>
      </c>
      <c r="I1093" t="s">
        <v>56</v>
      </c>
      <c r="J1093" t="s">
        <v>70</v>
      </c>
      <c r="K1093" t="s">
        <v>84</v>
      </c>
      <c r="L1093" t="s">
        <v>147</v>
      </c>
      <c r="M1093" s="24">
        <v>6</v>
      </c>
      <c r="N1093" s="25">
        <v>56636.67</v>
      </c>
      <c r="O1093" s="25">
        <f t="shared" si="140"/>
        <v>339820.02</v>
      </c>
      <c r="P1093" s="25">
        <v>44847.95</v>
      </c>
      <c r="Q1093" s="25">
        <f t="shared" si="141"/>
        <v>269087.69999999995</v>
      </c>
      <c r="R1093" s="25">
        <f t="shared" si="142"/>
        <v>70732.320000000065</v>
      </c>
      <c r="S1093" s="26">
        <f t="shared" si="143"/>
        <v>0.20814641821279412</v>
      </c>
    </row>
    <row r="1094" spans="1:19" ht="15" x14ac:dyDescent="0.2">
      <c r="A1094" s="23">
        <v>45944</v>
      </c>
      <c r="B1094">
        <f t="shared" si="136"/>
        <v>2025</v>
      </c>
      <c r="C1094">
        <f t="shared" si="137"/>
        <v>10</v>
      </c>
      <c r="D1094" t="str">
        <f t="shared" si="138"/>
        <v>Octubre</v>
      </c>
      <c r="E1094" t="str">
        <f t="shared" si="139"/>
        <v>T4</v>
      </c>
      <c r="F1094" t="s">
        <v>1219</v>
      </c>
      <c r="G1094" t="s">
        <v>105</v>
      </c>
      <c r="H1094" t="s">
        <v>62</v>
      </c>
      <c r="I1094" t="s">
        <v>106</v>
      </c>
      <c r="J1094" t="s">
        <v>77</v>
      </c>
      <c r="K1094" t="s">
        <v>78</v>
      </c>
      <c r="L1094" t="s">
        <v>117</v>
      </c>
      <c r="M1094" s="24">
        <v>276</v>
      </c>
      <c r="N1094" s="25">
        <v>1849.17</v>
      </c>
      <c r="O1094" s="25">
        <f t="shared" si="140"/>
        <v>510370.92000000004</v>
      </c>
      <c r="P1094" s="25">
        <v>1499.34</v>
      </c>
      <c r="Q1094" s="25">
        <f t="shared" si="141"/>
        <v>413817.83999999997</v>
      </c>
      <c r="R1094" s="25">
        <f t="shared" si="142"/>
        <v>96553.080000000075</v>
      </c>
      <c r="S1094" s="26">
        <f t="shared" si="143"/>
        <v>0.18918217362384218</v>
      </c>
    </row>
    <row r="1095" spans="1:19" ht="15" x14ac:dyDescent="0.2">
      <c r="A1095" s="23">
        <v>45944</v>
      </c>
      <c r="B1095">
        <f t="shared" si="136"/>
        <v>2025</v>
      </c>
      <c r="C1095">
        <f t="shared" si="137"/>
        <v>10</v>
      </c>
      <c r="D1095" t="str">
        <f t="shared" si="138"/>
        <v>Octubre</v>
      </c>
      <c r="E1095" t="str">
        <f t="shared" si="139"/>
        <v>T4</v>
      </c>
      <c r="F1095" t="s">
        <v>1220</v>
      </c>
      <c r="G1095" t="s">
        <v>149</v>
      </c>
      <c r="H1095" t="s">
        <v>93</v>
      </c>
      <c r="I1095" t="s">
        <v>150</v>
      </c>
      <c r="J1095" t="s">
        <v>64</v>
      </c>
      <c r="K1095" t="s">
        <v>96</v>
      </c>
      <c r="L1095" t="s">
        <v>97</v>
      </c>
      <c r="M1095" s="24">
        <v>7</v>
      </c>
      <c r="N1095" s="25">
        <v>46727.42</v>
      </c>
      <c r="O1095" s="25">
        <f t="shared" si="140"/>
        <v>327091.94</v>
      </c>
      <c r="P1095" s="25">
        <v>27454.86</v>
      </c>
      <c r="Q1095" s="25">
        <f t="shared" si="141"/>
        <v>192184.02000000002</v>
      </c>
      <c r="R1095" s="25">
        <f t="shared" si="142"/>
        <v>134907.91999999998</v>
      </c>
      <c r="S1095" s="26">
        <f t="shared" si="143"/>
        <v>0.41244648217256585</v>
      </c>
    </row>
    <row r="1096" spans="1:19" ht="15" x14ac:dyDescent="0.2">
      <c r="A1096" s="23">
        <v>45944</v>
      </c>
      <c r="B1096">
        <f t="shared" si="136"/>
        <v>2025</v>
      </c>
      <c r="C1096">
        <f t="shared" si="137"/>
        <v>10</v>
      </c>
      <c r="D1096" t="str">
        <f t="shared" si="138"/>
        <v>Octubre</v>
      </c>
      <c r="E1096" t="str">
        <f t="shared" si="139"/>
        <v>T4</v>
      </c>
      <c r="F1096" t="s">
        <v>1221</v>
      </c>
      <c r="G1096" t="s">
        <v>92</v>
      </c>
      <c r="H1096" t="s">
        <v>93</v>
      </c>
      <c r="I1096" t="s">
        <v>94</v>
      </c>
      <c r="J1096" t="s">
        <v>57</v>
      </c>
      <c r="K1096" t="s">
        <v>81</v>
      </c>
      <c r="L1096" t="s">
        <v>129</v>
      </c>
      <c r="M1096" s="24">
        <v>7</v>
      </c>
      <c r="N1096" s="25">
        <v>19852.7</v>
      </c>
      <c r="O1096" s="25">
        <f t="shared" si="140"/>
        <v>138968.9</v>
      </c>
      <c r="P1096" s="25">
        <v>11629.59</v>
      </c>
      <c r="Q1096" s="25">
        <f t="shared" si="141"/>
        <v>81407.13</v>
      </c>
      <c r="R1096" s="25">
        <f t="shared" si="142"/>
        <v>57561.76999999999</v>
      </c>
      <c r="S1096" s="26">
        <f t="shared" si="143"/>
        <v>0.41420612813370467</v>
      </c>
    </row>
    <row r="1097" spans="1:19" ht="15" x14ac:dyDescent="0.2">
      <c r="A1097" s="23">
        <v>45945</v>
      </c>
      <c r="B1097">
        <f t="shared" si="136"/>
        <v>2025</v>
      </c>
      <c r="C1097">
        <f t="shared" si="137"/>
        <v>10</v>
      </c>
      <c r="D1097" t="str">
        <f t="shared" si="138"/>
        <v>Octubre</v>
      </c>
      <c r="E1097" t="str">
        <f t="shared" si="139"/>
        <v>T4</v>
      </c>
      <c r="F1097" t="s">
        <v>1222</v>
      </c>
      <c r="G1097" t="s">
        <v>54</v>
      </c>
      <c r="H1097" t="s">
        <v>55</v>
      </c>
      <c r="I1097" t="s">
        <v>56</v>
      </c>
      <c r="J1097" t="s">
        <v>77</v>
      </c>
      <c r="K1097" t="s">
        <v>107</v>
      </c>
      <c r="L1097" t="s">
        <v>108</v>
      </c>
      <c r="M1097" s="24">
        <v>15</v>
      </c>
      <c r="N1097" s="25">
        <v>56814.93</v>
      </c>
      <c r="O1097" s="25">
        <f t="shared" si="140"/>
        <v>852223.95</v>
      </c>
      <c r="P1097" s="25">
        <v>40696.629999999997</v>
      </c>
      <c r="Q1097" s="25">
        <f t="shared" si="141"/>
        <v>610449.44999999995</v>
      </c>
      <c r="R1097" s="25">
        <f t="shared" si="142"/>
        <v>241774.5</v>
      </c>
      <c r="S1097" s="26">
        <f t="shared" si="143"/>
        <v>0.28369831662205691</v>
      </c>
    </row>
    <row r="1098" spans="1:19" ht="15" x14ac:dyDescent="0.2">
      <c r="A1098" s="23">
        <v>45945</v>
      </c>
      <c r="B1098">
        <f t="shared" si="136"/>
        <v>2025</v>
      </c>
      <c r="C1098">
        <f t="shared" si="137"/>
        <v>10</v>
      </c>
      <c r="D1098" t="str">
        <f t="shared" si="138"/>
        <v>Octubre</v>
      </c>
      <c r="E1098" t="str">
        <f t="shared" si="139"/>
        <v>T4</v>
      </c>
      <c r="F1098" t="s">
        <v>1223</v>
      </c>
      <c r="G1098" t="s">
        <v>105</v>
      </c>
      <c r="H1098" t="s">
        <v>62</v>
      </c>
      <c r="I1098" t="s">
        <v>106</v>
      </c>
      <c r="J1098" t="s">
        <v>57</v>
      </c>
      <c r="K1098" t="s">
        <v>81</v>
      </c>
      <c r="L1098" t="s">
        <v>82</v>
      </c>
      <c r="M1098" s="24">
        <v>89</v>
      </c>
      <c r="N1098" s="25">
        <v>1843.52</v>
      </c>
      <c r="O1098" s="25">
        <f t="shared" si="140"/>
        <v>164073.28</v>
      </c>
      <c r="P1098" s="25">
        <v>1501.4</v>
      </c>
      <c r="Q1098" s="25">
        <f t="shared" si="141"/>
        <v>133624.6</v>
      </c>
      <c r="R1098" s="25">
        <f t="shared" si="142"/>
        <v>30448.679999999993</v>
      </c>
      <c r="S1098" s="26">
        <f t="shared" si="143"/>
        <v>0.18557976045825372</v>
      </c>
    </row>
    <row r="1099" spans="1:19" ht="15" x14ac:dyDescent="0.2">
      <c r="A1099" s="23">
        <v>45945</v>
      </c>
      <c r="B1099">
        <f t="shared" si="136"/>
        <v>2025</v>
      </c>
      <c r="C1099">
        <f t="shared" si="137"/>
        <v>10</v>
      </c>
      <c r="D1099" t="str">
        <f t="shared" si="138"/>
        <v>Octubre</v>
      </c>
      <c r="E1099" t="str">
        <f t="shared" si="139"/>
        <v>T4</v>
      </c>
      <c r="F1099" t="s">
        <v>1224</v>
      </c>
      <c r="G1099" t="s">
        <v>92</v>
      </c>
      <c r="H1099" t="s">
        <v>93</v>
      </c>
      <c r="I1099" t="s">
        <v>94</v>
      </c>
      <c r="J1099" t="s">
        <v>77</v>
      </c>
      <c r="K1099" t="s">
        <v>107</v>
      </c>
      <c r="L1099" t="s">
        <v>108</v>
      </c>
      <c r="M1099" s="24">
        <v>19</v>
      </c>
      <c r="N1099" s="25">
        <v>21579.02</v>
      </c>
      <c r="O1099" s="25">
        <f t="shared" si="140"/>
        <v>410001.38</v>
      </c>
      <c r="P1099" s="25">
        <v>12018.02</v>
      </c>
      <c r="Q1099" s="25">
        <f t="shared" si="141"/>
        <v>228342.38</v>
      </c>
      <c r="R1099" s="25">
        <f t="shared" si="142"/>
        <v>181659</v>
      </c>
      <c r="S1099" s="26">
        <f t="shared" si="143"/>
        <v>0.4430692404010933</v>
      </c>
    </row>
    <row r="1100" spans="1:19" ht="15" x14ac:dyDescent="0.2">
      <c r="A1100" s="23">
        <v>45945</v>
      </c>
      <c r="B1100">
        <f t="shared" si="136"/>
        <v>2025</v>
      </c>
      <c r="C1100">
        <f t="shared" si="137"/>
        <v>10</v>
      </c>
      <c r="D1100" t="str">
        <f t="shared" si="138"/>
        <v>Octubre</v>
      </c>
      <c r="E1100" t="str">
        <f t="shared" si="139"/>
        <v>T4</v>
      </c>
      <c r="F1100" t="s">
        <v>1225</v>
      </c>
      <c r="G1100" t="s">
        <v>206</v>
      </c>
      <c r="H1100" t="s">
        <v>93</v>
      </c>
      <c r="I1100" t="s">
        <v>207</v>
      </c>
      <c r="J1100" t="s">
        <v>77</v>
      </c>
      <c r="K1100" t="s">
        <v>107</v>
      </c>
      <c r="L1100" t="s">
        <v>108</v>
      </c>
      <c r="M1100" s="24">
        <v>3</v>
      </c>
      <c r="N1100" s="25">
        <v>111509.38</v>
      </c>
      <c r="O1100" s="25">
        <f t="shared" si="140"/>
        <v>334528.14</v>
      </c>
      <c r="P1100" s="25">
        <v>60073.03</v>
      </c>
      <c r="Q1100" s="25">
        <f t="shared" si="141"/>
        <v>180219.09</v>
      </c>
      <c r="R1100" s="25">
        <f t="shared" si="142"/>
        <v>154309.05000000002</v>
      </c>
      <c r="S1100" s="26">
        <f t="shared" si="143"/>
        <v>0.46127375114093544</v>
      </c>
    </row>
    <row r="1101" spans="1:19" ht="15" x14ac:dyDescent="0.2">
      <c r="A1101" s="23">
        <v>45946</v>
      </c>
      <c r="B1101">
        <f t="shared" si="136"/>
        <v>2025</v>
      </c>
      <c r="C1101">
        <f t="shared" si="137"/>
        <v>10</v>
      </c>
      <c r="D1101" t="str">
        <f t="shared" si="138"/>
        <v>Octubre</v>
      </c>
      <c r="E1101" t="str">
        <f t="shared" si="139"/>
        <v>T4</v>
      </c>
      <c r="F1101" t="s">
        <v>1226</v>
      </c>
      <c r="G1101" t="s">
        <v>183</v>
      </c>
      <c r="H1101" t="s">
        <v>55</v>
      </c>
      <c r="I1101" t="s">
        <v>184</v>
      </c>
      <c r="J1101" t="s">
        <v>57</v>
      </c>
      <c r="K1101" t="s">
        <v>81</v>
      </c>
      <c r="L1101" t="s">
        <v>129</v>
      </c>
      <c r="M1101" s="24">
        <v>2</v>
      </c>
      <c r="N1101" s="25">
        <v>431818.22</v>
      </c>
      <c r="O1101" s="25">
        <f t="shared" si="140"/>
        <v>863636.44</v>
      </c>
      <c r="P1101" s="25">
        <v>327185.01</v>
      </c>
      <c r="Q1101" s="25">
        <f t="shared" si="141"/>
        <v>654370.02</v>
      </c>
      <c r="R1101" s="25">
        <f t="shared" si="142"/>
        <v>209266.41999999993</v>
      </c>
      <c r="S1101" s="26">
        <f t="shared" si="143"/>
        <v>0.24230846489061988</v>
      </c>
    </row>
    <row r="1102" spans="1:19" ht="15" x14ac:dyDescent="0.2">
      <c r="A1102" s="23">
        <v>45946</v>
      </c>
      <c r="B1102">
        <f t="shared" si="136"/>
        <v>2025</v>
      </c>
      <c r="C1102">
        <f t="shared" si="137"/>
        <v>10</v>
      </c>
      <c r="D1102" t="str">
        <f t="shared" si="138"/>
        <v>Octubre</v>
      </c>
      <c r="E1102" t="str">
        <f t="shared" si="139"/>
        <v>T4</v>
      </c>
      <c r="F1102" t="s">
        <v>1227</v>
      </c>
      <c r="G1102" t="s">
        <v>61</v>
      </c>
      <c r="H1102" t="s">
        <v>62</v>
      </c>
      <c r="I1102" t="s">
        <v>63</v>
      </c>
      <c r="J1102" t="s">
        <v>57</v>
      </c>
      <c r="K1102" t="s">
        <v>81</v>
      </c>
      <c r="L1102" t="s">
        <v>82</v>
      </c>
      <c r="M1102" s="24">
        <v>74</v>
      </c>
      <c r="N1102" s="25">
        <v>5836.5</v>
      </c>
      <c r="O1102" s="25">
        <f t="shared" si="140"/>
        <v>431901</v>
      </c>
      <c r="P1102" s="25">
        <v>4810.95</v>
      </c>
      <c r="Q1102" s="25">
        <f t="shared" si="141"/>
        <v>356010.3</v>
      </c>
      <c r="R1102" s="25">
        <f t="shared" si="142"/>
        <v>75890.700000000012</v>
      </c>
      <c r="S1102" s="26">
        <f t="shared" si="143"/>
        <v>0.17571318427139557</v>
      </c>
    </row>
    <row r="1103" spans="1:19" ht="15" x14ac:dyDescent="0.2">
      <c r="A1103" s="23">
        <v>45946</v>
      </c>
      <c r="B1103">
        <f t="shared" si="136"/>
        <v>2025</v>
      </c>
      <c r="C1103">
        <f t="shared" si="137"/>
        <v>10</v>
      </c>
      <c r="D1103" t="str">
        <f t="shared" si="138"/>
        <v>Octubre</v>
      </c>
      <c r="E1103" t="str">
        <f t="shared" si="139"/>
        <v>T4</v>
      </c>
      <c r="F1103" t="s">
        <v>1228</v>
      </c>
      <c r="G1103" t="s">
        <v>105</v>
      </c>
      <c r="H1103" t="s">
        <v>62</v>
      </c>
      <c r="I1103" t="s">
        <v>106</v>
      </c>
      <c r="J1103" t="s">
        <v>57</v>
      </c>
      <c r="K1103" t="s">
        <v>58</v>
      </c>
      <c r="L1103" t="s">
        <v>162</v>
      </c>
      <c r="M1103" s="24">
        <v>191</v>
      </c>
      <c r="N1103" s="25">
        <v>1822.28</v>
      </c>
      <c r="O1103" s="25">
        <f t="shared" si="140"/>
        <v>348055.48</v>
      </c>
      <c r="P1103" s="25">
        <v>1503.34</v>
      </c>
      <c r="Q1103" s="25">
        <f t="shared" si="141"/>
        <v>287137.94</v>
      </c>
      <c r="R1103" s="25">
        <f t="shared" si="142"/>
        <v>60917.539999999979</v>
      </c>
      <c r="S1103" s="26">
        <f t="shared" si="143"/>
        <v>0.17502249928660793</v>
      </c>
    </row>
    <row r="1104" spans="1:19" ht="15" x14ac:dyDescent="0.2">
      <c r="A1104" s="23">
        <v>45946</v>
      </c>
      <c r="B1104">
        <f t="shared" si="136"/>
        <v>2025</v>
      </c>
      <c r="C1104">
        <f t="shared" si="137"/>
        <v>10</v>
      </c>
      <c r="D1104" t="str">
        <f t="shared" si="138"/>
        <v>Octubre</v>
      </c>
      <c r="E1104" t="str">
        <f t="shared" si="139"/>
        <v>T4</v>
      </c>
      <c r="F1104" t="s">
        <v>1229</v>
      </c>
      <c r="G1104" t="s">
        <v>92</v>
      </c>
      <c r="H1104" t="s">
        <v>93</v>
      </c>
      <c r="I1104" t="s">
        <v>94</v>
      </c>
      <c r="J1104" t="s">
        <v>70</v>
      </c>
      <c r="K1104" t="s">
        <v>84</v>
      </c>
      <c r="L1104" t="s">
        <v>85</v>
      </c>
      <c r="M1104" s="24">
        <v>1</v>
      </c>
      <c r="N1104" s="25">
        <v>24641.78</v>
      </c>
      <c r="O1104" s="25">
        <f t="shared" si="140"/>
        <v>24641.78</v>
      </c>
      <c r="P1104" s="25">
        <v>15525.99</v>
      </c>
      <c r="Q1104" s="25">
        <f t="shared" si="141"/>
        <v>15525.99</v>
      </c>
      <c r="R1104" s="25">
        <f t="shared" si="142"/>
        <v>9115.7899999999991</v>
      </c>
      <c r="S1104" s="26">
        <f t="shared" si="143"/>
        <v>0.36993228573585185</v>
      </c>
    </row>
    <row r="1105" spans="1:19" ht="15" x14ac:dyDescent="0.2">
      <c r="A1105" s="23">
        <v>45947</v>
      </c>
      <c r="B1105">
        <f t="shared" si="136"/>
        <v>2025</v>
      </c>
      <c r="C1105">
        <f t="shared" si="137"/>
        <v>10</v>
      </c>
      <c r="D1105" t="str">
        <f t="shared" si="138"/>
        <v>Octubre</v>
      </c>
      <c r="E1105" t="str">
        <f t="shared" si="139"/>
        <v>T4</v>
      </c>
      <c r="F1105" t="s">
        <v>1230</v>
      </c>
      <c r="G1105" t="s">
        <v>54</v>
      </c>
      <c r="H1105" t="s">
        <v>55</v>
      </c>
      <c r="I1105" t="s">
        <v>56</v>
      </c>
      <c r="J1105" t="s">
        <v>57</v>
      </c>
      <c r="K1105" t="s">
        <v>81</v>
      </c>
      <c r="L1105" t="s">
        <v>129</v>
      </c>
      <c r="M1105" s="24">
        <v>6</v>
      </c>
      <c r="N1105" s="25">
        <v>56349.919999999998</v>
      </c>
      <c r="O1105" s="25">
        <f t="shared" si="140"/>
        <v>338099.52</v>
      </c>
      <c r="P1105" s="25">
        <v>42321.25</v>
      </c>
      <c r="Q1105" s="25">
        <f t="shared" si="141"/>
        <v>253927.5</v>
      </c>
      <c r="R1105" s="25">
        <f t="shared" si="142"/>
        <v>84172.020000000019</v>
      </c>
      <c r="S1105" s="26">
        <f t="shared" si="143"/>
        <v>0.24895634279516285</v>
      </c>
    </row>
    <row r="1106" spans="1:19" ht="15" x14ac:dyDescent="0.2">
      <c r="A1106" s="23">
        <v>45948</v>
      </c>
      <c r="B1106">
        <f t="shared" si="136"/>
        <v>2025</v>
      </c>
      <c r="C1106">
        <f t="shared" si="137"/>
        <v>10</v>
      </c>
      <c r="D1106" t="str">
        <f t="shared" si="138"/>
        <v>Octubre</v>
      </c>
      <c r="E1106" t="str">
        <f t="shared" si="139"/>
        <v>T4</v>
      </c>
      <c r="F1106" t="s">
        <v>1231</v>
      </c>
      <c r="G1106" t="s">
        <v>54</v>
      </c>
      <c r="H1106" t="s">
        <v>55</v>
      </c>
      <c r="I1106" t="s">
        <v>56</v>
      </c>
      <c r="J1106" t="s">
        <v>70</v>
      </c>
      <c r="K1106" t="s">
        <v>84</v>
      </c>
      <c r="L1106" t="s">
        <v>147</v>
      </c>
      <c r="M1106" s="24">
        <v>7</v>
      </c>
      <c r="N1106" s="25">
        <v>56012.86</v>
      </c>
      <c r="O1106" s="25">
        <f t="shared" si="140"/>
        <v>392090.02</v>
      </c>
      <c r="P1106" s="25">
        <v>43451.33</v>
      </c>
      <c r="Q1106" s="25">
        <f t="shared" si="141"/>
        <v>304159.31</v>
      </c>
      <c r="R1106" s="25">
        <f t="shared" si="142"/>
        <v>87930.710000000021</v>
      </c>
      <c r="S1106" s="26">
        <f t="shared" si="143"/>
        <v>0.22426153565449081</v>
      </c>
    </row>
    <row r="1107" spans="1:19" ht="15" x14ac:dyDescent="0.2">
      <c r="A1107" s="23">
        <v>45948</v>
      </c>
      <c r="B1107">
        <f t="shared" si="136"/>
        <v>2025</v>
      </c>
      <c r="C1107">
        <f t="shared" si="137"/>
        <v>10</v>
      </c>
      <c r="D1107" t="str">
        <f t="shared" si="138"/>
        <v>Octubre</v>
      </c>
      <c r="E1107" t="str">
        <f t="shared" si="139"/>
        <v>T4</v>
      </c>
      <c r="F1107" t="s">
        <v>1232</v>
      </c>
      <c r="G1107" t="s">
        <v>61</v>
      </c>
      <c r="H1107" t="s">
        <v>62</v>
      </c>
      <c r="I1107" t="s">
        <v>63</v>
      </c>
      <c r="J1107" t="s">
        <v>125</v>
      </c>
      <c r="K1107" t="s">
        <v>126</v>
      </c>
      <c r="L1107" t="s">
        <v>127</v>
      </c>
      <c r="M1107" s="24">
        <v>32</v>
      </c>
      <c r="N1107" s="25">
        <v>5767.97</v>
      </c>
      <c r="O1107" s="25">
        <f t="shared" si="140"/>
        <v>184575.04</v>
      </c>
      <c r="P1107" s="25">
        <v>4745.79</v>
      </c>
      <c r="Q1107" s="25">
        <f t="shared" si="141"/>
        <v>151865.28</v>
      </c>
      <c r="R1107" s="25">
        <f t="shared" si="142"/>
        <v>32709.760000000009</v>
      </c>
      <c r="S1107" s="26">
        <f t="shared" si="143"/>
        <v>0.17721659439976287</v>
      </c>
    </row>
    <row r="1108" spans="1:19" ht="15" x14ac:dyDescent="0.2">
      <c r="A1108" s="23">
        <v>45948</v>
      </c>
      <c r="B1108">
        <f t="shared" si="136"/>
        <v>2025</v>
      </c>
      <c r="C1108">
        <f t="shared" si="137"/>
        <v>10</v>
      </c>
      <c r="D1108" t="str">
        <f t="shared" si="138"/>
        <v>Octubre</v>
      </c>
      <c r="E1108" t="str">
        <f t="shared" si="139"/>
        <v>T4</v>
      </c>
      <c r="F1108" t="s">
        <v>1233</v>
      </c>
      <c r="G1108" t="s">
        <v>114</v>
      </c>
      <c r="H1108" t="s">
        <v>75</v>
      </c>
      <c r="I1108" t="s">
        <v>115</v>
      </c>
      <c r="J1108" t="s">
        <v>57</v>
      </c>
      <c r="K1108" t="s">
        <v>81</v>
      </c>
      <c r="L1108" t="s">
        <v>129</v>
      </c>
      <c r="M1108" s="24">
        <v>6</v>
      </c>
      <c r="N1108" s="25">
        <v>96753.4</v>
      </c>
      <c r="O1108" s="25">
        <f t="shared" si="140"/>
        <v>580520.39999999991</v>
      </c>
      <c r="P1108" s="25">
        <v>66031.16</v>
      </c>
      <c r="Q1108" s="25">
        <f t="shared" si="141"/>
        <v>396186.96</v>
      </c>
      <c r="R1108" s="25">
        <f t="shared" si="142"/>
        <v>184333.43999999989</v>
      </c>
      <c r="S1108" s="26">
        <f t="shared" si="143"/>
        <v>0.31753137357446853</v>
      </c>
    </row>
    <row r="1109" spans="1:19" ht="15" x14ac:dyDescent="0.2">
      <c r="A1109" s="23">
        <v>45948</v>
      </c>
      <c r="B1109">
        <f t="shared" si="136"/>
        <v>2025</v>
      </c>
      <c r="C1109">
        <f t="shared" si="137"/>
        <v>10</v>
      </c>
      <c r="D1109" t="str">
        <f t="shared" si="138"/>
        <v>Octubre</v>
      </c>
      <c r="E1109" t="str">
        <f t="shared" si="139"/>
        <v>T4</v>
      </c>
      <c r="F1109" t="s">
        <v>1234</v>
      </c>
      <c r="G1109" t="s">
        <v>74</v>
      </c>
      <c r="H1109" t="s">
        <v>75</v>
      </c>
      <c r="I1109" t="s">
        <v>76</v>
      </c>
      <c r="J1109" t="s">
        <v>57</v>
      </c>
      <c r="K1109" t="s">
        <v>81</v>
      </c>
      <c r="L1109" t="s">
        <v>129</v>
      </c>
      <c r="M1109" s="24">
        <v>8</v>
      </c>
      <c r="N1109" s="25">
        <v>43262.85</v>
      </c>
      <c r="O1109" s="25">
        <f t="shared" si="140"/>
        <v>346102.8</v>
      </c>
      <c r="P1109" s="25">
        <v>29738.68</v>
      </c>
      <c r="Q1109" s="25">
        <f t="shared" si="141"/>
        <v>237909.44</v>
      </c>
      <c r="R1109" s="25">
        <f t="shared" si="142"/>
        <v>108193.35999999999</v>
      </c>
      <c r="S1109" s="26">
        <f t="shared" si="143"/>
        <v>0.3126046943278124</v>
      </c>
    </row>
    <row r="1110" spans="1:19" ht="15" x14ac:dyDescent="0.2">
      <c r="A1110" s="23">
        <v>45948</v>
      </c>
      <c r="B1110">
        <f t="shared" si="136"/>
        <v>2025</v>
      </c>
      <c r="C1110">
        <f t="shared" si="137"/>
        <v>10</v>
      </c>
      <c r="D1110" t="str">
        <f t="shared" si="138"/>
        <v>Octubre</v>
      </c>
      <c r="E1110" t="str">
        <f t="shared" si="139"/>
        <v>T4</v>
      </c>
      <c r="F1110" t="s">
        <v>1235</v>
      </c>
      <c r="G1110" t="s">
        <v>114</v>
      </c>
      <c r="H1110" t="s">
        <v>75</v>
      </c>
      <c r="I1110" t="s">
        <v>115</v>
      </c>
      <c r="J1110" t="s">
        <v>70</v>
      </c>
      <c r="K1110" t="s">
        <v>84</v>
      </c>
      <c r="L1110" t="s">
        <v>147</v>
      </c>
      <c r="M1110" s="24">
        <v>4</v>
      </c>
      <c r="N1110" s="25">
        <v>83922.53</v>
      </c>
      <c r="O1110" s="25">
        <f t="shared" si="140"/>
        <v>335690.12</v>
      </c>
      <c r="P1110" s="25">
        <v>60489.62</v>
      </c>
      <c r="Q1110" s="25">
        <f t="shared" si="141"/>
        <v>241958.48</v>
      </c>
      <c r="R1110" s="25">
        <f t="shared" si="142"/>
        <v>93731.639999999985</v>
      </c>
      <c r="S1110" s="26">
        <f t="shared" si="143"/>
        <v>0.27922072892702349</v>
      </c>
    </row>
    <row r="1111" spans="1:19" ht="15" x14ac:dyDescent="0.2">
      <c r="A1111" s="23">
        <v>45948</v>
      </c>
      <c r="B1111">
        <f t="shared" si="136"/>
        <v>2025</v>
      </c>
      <c r="C1111">
        <f t="shared" si="137"/>
        <v>10</v>
      </c>
      <c r="D1111" t="str">
        <f t="shared" si="138"/>
        <v>Octubre</v>
      </c>
      <c r="E1111" t="str">
        <f t="shared" si="139"/>
        <v>T4</v>
      </c>
      <c r="F1111" t="s">
        <v>1236</v>
      </c>
      <c r="G1111" t="s">
        <v>114</v>
      </c>
      <c r="H1111" t="s">
        <v>75</v>
      </c>
      <c r="I1111" t="s">
        <v>115</v>
      </c>
      <c r="J1111" t="s">
        <v>70</v>
      </c>
      <c r="K1111" t="s">
        <v>71</v>
      </c>
      <c r="L1111" t="s">
        <v>90</v>
      </c>
      <c r="M1111" s="24">
        <v>3</v>
      </c>
      <c r="N1111" s="25">
        <v>77136.58</v>
      </c>
      <c r="O1111" s="25">
        <f t="shared" si="140"/>
        <v>231409.74</v>
      </c>
      <c r="P1111" s="25">
        <v>55560.26</v>
      </c>
      <c r="Q1111" s="25">
        <f t="shared" si="141"/>
        <v>166680.78</v>
      </c>
      <c r="R1111" s="25">
        <f t="shared" si="142"/>
        <v>64728.959999999992</v>
      </c>
      <c r="S1111" s="26">
        <f t="shared" si="143"/>
        <v>0.27971579761508741</v>
      </c>
    </row>
    <row r="1112" spans="1:19" ht="15" x14ac:dyDescent="0.2">
      <c r="A1112" s="23">
        <v>45948</v>
      </c>
      <c r="B1112">
        <f t="shared" si="136"/>
        <v>2025</v>
      </c>
      <c r="C1112">
        <f t="shared" si="137"/>
        <v>10</v>
      </c>
      <c r="D1112" t="str">
        <f t="shared" si="138"/>
        <v>Octubre</v>
      </c>
      <c r="E1112" t="str">
        <f t="shared" si="139"/>
        <v>T4</v>
      </c>
      <c r="F1112" t="s">
        <v>1237</v>
      </c>
      <c r="G1112" t="s">
        <v>144</v>
      </c>
      <c r="H1112" t="s">
        <v>88</v>
      </c>
      <c r="I1112" t="s">
        <v>145</v>
      </c>
      <c r="J1112" t="s">
        <v>64</v>
      </c>
      <c r="K1112" t="s">
        <v>96</v>
      </c>
      <c r="L1112" t="s">
        <v>97</v>
      </c>
      <c r="M1112" s="24">
        <v>55</v>
      </c>
      <c r="N1112" s="25">
        <v>12286.97</v>
      </c>
      <c r="O1112" s="25">
        <f t="shared" si="140"/>
        <v>675783.35</v>
      </c>
      <c r="P1112" s="25">
        <v>6950.65</v>
      </c>
      <c r="Q1112" s="25">
        <f t="shared" si="141"/>
        <v>382285.75</v>
      </c>
      <c r="R1112" s="25">
        <f t="shared" si="142"/>
        <v>293497.59999999998</v>
      </c>
      <c r="S1112" s="26">
        <f t="shared" si="143"/>
        <v>0.43430723766721979</v>
      </c>
    </row>
    <row r="1113" spans="1:19" ht="15" x14ac:dyDescent="0.2">
      <c r="A1113" s="23">
        <v>45948</v>
      </c>
      <c r="B1113">
        <f t="shared" si="136"/>
        <v>2025</v>
      </c>
      <c r="C1113">
        <f t="shared" si="137"/>
        <v>10</v>
      </c>
      <c r="D1113" t="str">
        <f t="shared" si="138"/>
        <v>Octubre</v>
      </c>
      <c r="E1113" t="str">
        <f t="shared" si="139"/>
        <v>T4</v>
      </c>
      <c r="F1113" t="s">
        <v>1238</v>
      </c>
      <c r="G1113" t="s">
        <v>100</v>
      </c>
      <c r="H1113" t="s">
        <v>88</v>
      </c>
      <c r="I1113" t="s">
        <v>101</v>
      </c>
      <c r="J1113" t="s">
        <v>125</v>
      </c>
      <c r="K1113" t="s">
        <v>138</v>
      </c>
      <c r="L1113" t="s">
        <v>139</v>
      </c>
      <c r="M1113" s="24">
        <v>5</v>
      </c>
      <c r="N1113" s="25">
        <v>38041.29</v>
      </c>
      <c r="O1113" s="25">
        <f t="shared" si="140"/>
        <v>190206.45</v>
      </c>
      <c r="P1113" s="25">
        <v>20070.87</v>
      </c>
      <c r="Q1113" s="25">
        <f t="shared" si="141"/>
        <v>100354.34999999999</v>
      </c>
      <c r="R1113" s="25">
        <f t="shared" si="142"/>
        <v>89852.10000000002</v>
      </c>
      <c r="S1113" s="26">
        <f t="shared" si="143"/>
        <v>0.47239249773075526</v>
      </c>
    </row>
    <row r="1114" spans="1:19" ht="15" x14ac:dyDescent="0.2">
      <c r="A1114" s="23">
        <v>45949</v>
      </c>
      <c r="B1114">
        <f t="shared" si="136"/>
        <v>2025</v>
      </c>
      <c r="C1114">
        <f t="shared" si="137"/>
        <v>10</v>
      </c>
      <c r="D1114" t="str">
        <f t="shared" si="138"/>
        <v>Octubre</v>
      </c>
      <c r="E1114" t="str">
        <f t="shared" si="139"/>
        <v>T4</v>
      </c>
      <c r="F1114" t="s">
        <v>1239</v>
      </c>
      <c r="G1114" t="s">
        <v>54</v>
      </c>
      <c r="H1114" t="s">
        <v>55</v>
      </c>
      <c r="I1114" t="s">
        <v>56</v>
      </c>
      <c r="J1114" t="s">
        <v>57</v>
      </c>
      <c r="K1114" t="s">
        <v>58</v>
      </c>
      <c r="L1114" t="s">
        <v>162</v>
      </c>
      <c r="M1114" s="24">
        <v>2</v>
      </c>
      <c r="N1114" s="25">
        <v>45754.18</v>
      </c>
      <c r="O1114" s="25">
        <f t="shared" si="140"/>
        <v>91508.36</v>
      </c>
      <c r="P1114" s="25">
        <v>34894.54</v>
      </c>
      <c r="Q1114" s="25">
        <f t="shared" si="141"/>
        <v>69789.08</v>
      </c>
      <c r="R1114" s="25">
        <f t="shared" si="142"/>
        <v>21719.279999999999</v>
      </c>
      <c r="S1114" s="26">
        <f t="shared" si="143"/>
        <v>0.23734749480812461</v>
      </c>
    </row>
    <row r="1115" spans="1:19" ht="15" x14ac:dyDescent="0.2">
      <c r="A1115" s="23">
        <v>45949</v>
      </c>
      <c r="B1115">
        <f t="shared" si="136"/>
        <v>2025</v>
      </c>
      <c r="C1115">
        <f t="shared" si="137"/>
        <v>10</v>
      </c>
      <c r="D1115" t="str">
        <f t="shared" si="138"/>
        <v>Octubre</v>
      </c>
      <c r="E1115" t="str">
        <f t="shared" si="139"/>
        <v>T4</v>
      </c>
      <c r="F1115" t="s">
        <v>1240</v>
      </c>
      <c r="G1115" t="s">
        <v>105</v>
      </c>
      <c r="H1115" t="s">
        <v>62</v>
      </c>
      <c r="I1115" t="s">
        <v>106</v>
      </c>
      <c r="J1115" t="s">
        <v>64</v>
      </c>
      <c r="K1115" t="s">
        <v>96</v>
      </c>
      <c r="L1115" t="s">
        <v>97</v>
      </c>
      <c r="M1115" s="24">
        <v>604</v>
      </c>
      <c r="N1115" s="25">
        <v>1778.36</v>
      </c>
      <c r="O1115" s="25">
        <f t="shared" si="140"/>
        <v>1074129.44</v>
      </c>
      <c r="P1115" s="25">
        <v>1500.3</v>
      </c>
      <c r="Q1115" s="25">
        <f t="shared" si="141"/>
        <v>906181.2</v>
      </c>
      <c r="R1115" s="25">
        <f t="shared" si="142"/>
        <v>167948.24</v>
      </c>
      <c r="S1115" s="26">
        <f t="shared" si="143"/>
        <v>0.15635754290469872</v>
      </c>
    </row>
    <row r="1116" spans="1:19" ht="15" x14ac:dyDescent="0.2">
      <c r="A1116" s="23">
        <v>45949</v>
      </c>
      <c r="B1116">
        <f t="shared" si="136"/>
        <v>2025</v>
      </c>
      <c r="C1116">
        <f t="shared" si="137"/>
        <v>10</v>
      </c>
      <c r="D1116" t="str">
        <f t="shared" si="138"/>
        <v>Octubre</v>
      </c>
      <c r="E1116" t="str">
        <f t="shared" si="139"/>
        <v>T4</v>
      </c>
      <c r="F1116" t="s">
        <v>1241</v>
      </c>
      <c r="G1116" t="s">
        <v>110</v>
      </c>
      <c r="H1116" t="s">
        <v>62</v>
      </c>
      <c r="I1116" t="s">
        <v>69</v>
      </c>
      <c r="J1116" t="s">
        <v>77</v>
      </c>
      <c r="K1116" t="s">
        <v>107</v>
      </c>
      <c r="L1116" t="s">
        <v>112</v>
      </c>
      <c r="M1116" s="24">
        <v>57</v>
      </c>
      <c r="N1116" s="25">
        <v>6940.28</v>
      </c>
      <c r="O1116" s="25">
        <f t="shared" si="140"/>
        <v>395595.95999999996</v>
      </c>
      <c r="P1116" s="25">
        <v>5395.45</v>
      </c>
      <c r="Q1116" s="25">
        <f t="shared" si="141"/>
        <v>307540.64999999997</v>
      </c>
      <c r="R1116" s="25">
        <f t="shared" si="142"/>
        <v>88055.31</v>
      </c>
      <c r="S1116" s="26">
        <f t="shared" si="143"/>
        <v>0.22258900217282301</v>
      </c>
    </row>
    <row r="1117" spans="1:19" ht="15" x14ac:dyDescent="0.2">
      <c r="A1117" s="23">
        <v>45949</v>
      </c>
      <c r="B1117">
        <f t="shared" si="136"/>
        <v>2025</v>
      </c>
      <c r="C1117">
        <f t="shared" si="137"/>
        <v>10</v>
      </c>
      <c r="D1117" t="str">
        <f t="shared" si="138"/>
        <v>Octubre</v>
      </c>
      <c r="E1117" t="str">
        <f t="shared" si="139"/>
        <v>T4</v>
      </c>
      <c r="F1117" t="s">
        <v>1242</v>
      </c>
      <c r="G1117" t="s">
        <v>114</v>
      </c>
      <c r="H1117" t="s">
        <v>75</v>
      </c>
      <c r="I1117" t="s">
        <v>115</v>
      </c>
      <c r="J1117" t="s">
        <v>57</v>
      </c>
      <c r="K1117" t="s">
        <v>58</v>
      </c>
      <c r="L1117" t="s">
        <v>59</v>
      </c>
      <c r="M1117" s="24">
        <v>4</v>
      </c>
      <c r="N1117" s="25">
        <v>93219.98</v>
      </c>
      <c r="O1117" s="25">
        <f t="shared" si="140"/>
        <v>372879.92</v>
      </c>
      <c r="P1117" s="25">
        <v>63196.82</v>
      </c>
      <c r="Q1117" s="25">
        <f t="shared" si="141"/>
        <v>252787.28</v>
      </c>
      <c r="R1117" s="25">
        <f t="shared" si="142"/>
        <v>120092.63999999998</v>
      </c>
      <c r="S1117" s="26">
        <f t="shared" si="143"/>
        <v>0.3220678657086174</v>
      </c>
    </row>
    <row r="1118" spans="1:19" ht="15" x14ac:dyDescent="0.2">
      <c r="A1118" s="23">
        <v>45949</v>
      </c>
      <c r="B1118">
        <f t="shared" si="136"/>
        <v>2025</v>
      </c>
      <c r="C1118">
        <f t="shared" si="137"/>
        <v>10</v>
      </c>
      <c r="D1118" t="str">
        <f t="shared" si="138"/>
        <v>Octubre</v>
      </c>
      <c r="E1118" t="str">
        <f t="shared" si="139"/>
        <v>T4</v>
      </c>
      <c r="F1118" t="s">
        <v>1243</v>
      </c>
      <c r="G1118" t="s">
        <v>74</v>
      </c>
      <c r="H1118" t="s">
        <v>75</v>
      </c>
      <c r="I1118" t="s">
        <v>76</v>
      </c>
      <c r="J1118" t="s">
        <v>125</v>
      </c>
      <c r="K1118" t="s">
        <v>138</v>
      </c>
      <c r="L1118" t="s">
        <v>142</v>
      </c>
      <c r="M1118" s="24">
        <v>14</v>
      </c>
      <c r="N1118" s="25">
        <v>42559.78</v>
      </c>
      <c r="O1118" s="25">
        <f t="shared" si="140"/>
        <v>595836.91999999993</v>
      </c>
      <c r="P1118" s="25">
        <v>28795.49</v>
      </c>
      <c r="Q1118" s="25">
        <f t="shared" si="141"/>
        <v>403136.86000000004</v>
      </c>
      <c r="R1118" s="25">
        <f t="shared" si="142"/>
        <v>192700.05999999988</v>
      </c>
      <c r="S1118" s="26">
        <f t="shared" si="143"/>
        <v>0.32341074131492203</v>
      </c>
    </row>
    <row r="1119" spans="1:19" ht="15" x14ac:dyDescent="0.2">
      <c r="A1119" s="23">
        <v>45949</v>
      </c>
      <c r="B1119">
        <f t="shared" si="136"/>
        <v>2025</v>
      </c>
      <c r="C1119">
        <f t="shared" si="137"/>
        <v>10</v>
      </c>
      <c r="D1119" t="str">
        <f t="shared" si="138"/>
        <v>Octubre</v>
      </c>
      <c r="E1119" t="str">
        <f t="shared" si="139"/>
        <v>T4</v>
      </c>
      <c r="F1119" t="s">
        <v>1244</v>
      </c>
      <c r="G1119" t="s">
        <v>74</v>
      </c>
      <c r="H1119" t="s">
        <v>75</v>
      </c>
      <c r="I1119" t="s">
        <v>76</v>
      </c>
      <c r="J1119" t="s">
        <v>70</v>
      </c>
      <c r="K1119" t="s">
        <v>71</v>
      </c>
      <c r="L1119" t="s">
        <v>72</v>
      </c>
      <c r="M1119" s="24">
        <v>4</v>
      </c>
      <c r="N1119" s="25">
        <v>42868.63</v>
      </c>
      <c r="O1119" s="25">
        <f t="shared" si="140"/>
        <v>171474.52</v>
      </c>
      <c r="P1119" s="25">
        <v>31252.799999999999</v>
      </c>
      <c r="Q1119" s="25">
        <f t="shared" si="141"/>
        <v>125011.2</v>
      </c>
      <c r="R1119" s="25">
        <f t="shared" si="142"/>
        <v>46463.319999999992</v>
      </c>
      <c r="S1119" s="26">
        <f t="shared" si="143"/>
        <v>0.27096340610838271</v>
      </c>
    </row>
    <row r="1120" spans="1:19" ht="15" x14ac:dyDescent="0.2">
      <c r="A1120" s="23">
        <v>45949</v>
      </c>
      <c r="B1120">
        <f t="shared" si="136"/>
        <v>2025</v>
      </c>
      <c r="C1120">
        <f t="shared" si="137"/>
        <v>10</v>
      </c>
      <c r="D1120" t="str">
        <f t="shared" si="138"/>
        <v>Octubre</v>
      </c>
      <c r="E1120" t="str">
        <f t="shared" si="139"/>
        <v>T4</v>
      </c>
      <c r="F1120" t="s">
        <v>1245</v>
      </c>
      <c r="G1120" t="s">
        <v>144</v>
      </c>
      <c r="H1120" t="s">
        <v>88</v>
      </c>
      <c r="I1120" t="s">
        <v>145</v>
      </c>
      <c r="J1120" t="s">
        <v>57</v>
      </c>
      <c r="K1120" t="s">
        <v>58</v>
      </c>
      <c r="L1120" t="s">
        <v>59</v>
      </c>
      <c r="M1120" s="24">
        <v>22</v>
      </c>
      <c r="N1120" s="25">
        <v>12450.46</v>
      </c>
      <c r="O1120" s="25">
        <f t="shared" si="140"/>
        <v>273910.12</v>
      </c>
      <c r="P1120" s="25">
        <v>7148.85</v>
      </c>
      <c r="Q1120" s="25">
        <f t="shared" si="141"/>
        <v>157274.70000000001</v>
      </c>
      <c r="R1120" s="25">
        <f t="shared" si="142"/>
        <v>116635.41999999998</v>
      </c>
      <c r="S1120" s="26">
        <f t="shared" si="143"/>
        <v>0.4258163955387993</v>
      </c>
    </row>
    <row r="1121" spans="1:19" ht="15" x14ac:dyDescent="0.2">
      <c r="A1121" s="23">
        <v>45949</v>
      </c>
      <c r="B1121">
        <f t="shared" si="136"/>
        <v>2025</v>
      </c>
      <c r="C1121">
        <f t="shared" si="137"/>
        <v>10</v>
      </c>
      <c r="D1121" t="str">
        <f t="shared" si="138"/>
        <v>Octubre</v>
      </c>
      <c r="E1121" t="str">
        <f t="shared" si="139"/>
        <v>T4</v>
      </c>
      <c r="F1121" t="s">
        <v>1246</v>
      </c>
      <c r="G1121" t="s">
        <v>87</v>
      </c>
      <c r="H1121" t="s">
        <v>88</v>
      </c>
      <c r="I1121" t="s">
        <v>89</v>
      </c>
      <c r="J1121" t="s">
        <v>125</v>
      </c>
      <c r="K1121" t="s">
        <v>138</v>
      </c>
      <c r="L1121" t="s">
        <v>142</v>
      </c>
      <c r="M1121" s="24">
        <v>9</v>
      </c>
      <c r="N1121" s="25">
        <v>60599.19</v>
      </c>
      <c r="O1121" s="25">
        <f t="shared" si="140"/>
        <v>545392.71</v>
      </c>
      <c r="P1121" s="25">
        <v>33518.089999999997</v>
      </c>
      <c r="Q1121" s="25">
        <f t="shared" si="141"/>
        <v>301662.80999999994</v>
      </c>
      <c r="R1121" s="25">
        <f t="shared" si="142"/>
        <v>243729.90000000002</v>
      </c>
      <c r="S1121" s="26">
        <f t="shared" si="143"/>
        <v>0.44688881155012145</v>
      </c>
    </row>
    <row r="1122" spans="1:19" ht="15" x14ac:dyDescent="0.2">
      <c r="A1122" s="23">
        <v>45949</v>
      </c>
      <c r="B1122">
        <f t="shared" si="136"/>
        <v>2025</v>
      </c>
      <c r="C1122">
        <f t="shared" si="137"/>
        <v>10</v>
      </c>
      <c r="D1122" t="str">
        <f t="shared" si="138"/>
        <v>Octubre</v>
      </c>
      <c r="E1122" t="str">
        <f t="shared" si="139"/>
        <v>T4</v>
      </c>
      <c r="F1122" t="s">
        <v>1247</v>
      </c>
      <c r="G1122" t="s">
        <v>149</v>
      </c>
      <c r="H1122" t="s">
        <v>93</v>
      </c>
      <c r="I1122" t="s">
        <v>150</v>
      </c>
      <c r="J1122" t="s">
        <v>64</v>
      </c>
      <c r="K1122" t="s">
        <v>65</v>
      </c>
      <c r="L1122" t="s">
        <v>66</v>
      </c>
      <c r="M1122" s="24">
        <v>12</v>
      </c>
      <c r="N1122" s="25">
        <v>41977.25</v>
      </c>
      <c r="O1122" s="25">
        <f t="shared" si="140"/>
        <v>503727</v>
      </c>
      <c r="P1122" s="25">
        <v>25600.77</v>
      </c>
      <c r="Q1122" s="25">
        <f t="shared" si="141"/>
        <v>307209.24</v>
      </c>
      <c r="R1122" s="25">
        <f t="shared" si="142"/>
        <v>196517.76000000001</v>
      </c>
      <c r="S1122" s="26">
        <f t="shared" si="143"/>
        <v>0.39012750954386011</v>
      </c>
    </row>
    <row r="1123" spans="1:19" ht="15" x14ac:dyDescent="0.2">
      <c r="A1123" s="23">
        <v>45949</v>
      </c>
      <c r="B1123">
        <f t="shared" si="136"/>
        <v>2025</v>
      </c>
      <c r="C1123">
        <f t="shared" si="137"/>
        <v>10</v>
      </c>
      <c r="D1123" t="str">
        <f t="shared" si="138"/>
        <v>Octubre</v>
      </c>
      <c r="E1123" t="str">
        <f t="shared" si="139"/>
        <v>T4</v>
      </c>
      <c r="F1123" t="s">
        <v>1248</v>
      </c>
      <c r="G1123" t="s">
        <v>92</v>
      </c>
      <c r="H1123" t="s">
        <v>93</v>
      </c>
      <c r="I1123" t="s">
        <v>94</v>
      </c>
      <c r="J1123" t="s">
        <v>70</v>
      </c>
      <c r="K1123" t="s">
        <v>71</v>
      </c>
      <c r="L1123" t="s">
        <v>72</v>
      </c>
      <c r="M1123" s="24">
        <v>4</v>
      </c>
      <c r="N1123" s="25">
        <v>18241.89</v>
      </c>
      <c r="O1123" s="25">
        <f t="shared" si="140"/>
        <v>72967.56</v>
      </c>
      <c r="P1123" s="25">
        <v>11327.4</v>
      </c>
      <c r="Q1123" s="25">
        <f t="shared" si="141"/>
        <v>45309.599999999999</v>
      </c>
      <c r="R1123" s="25">
        <f t="shared" si="142"/>
        <v>27657.96</v>
      </c>
      <c r="S1123" s="26">
        <f t="shared" si="143"/>
        <v>0.37904460557540914</v>
      </c>
    </row>
    <row r="1124" spans="1:19" ht="15" x14ac:dyDescent="0.2">
      <c r="A1124" s="23">
        <v>45949</v>
      </c>
      <c r="B1124">
        <f t="shared" si="136"/>
        <v>2025</v>
      </c>
      <c r="C1124">
        <f t="shared" si="137"/>
        <v>10</v>
      </c>
      <c r="D1124" t="str">
        <f t="shared" si="138"/>
        <v>Octubre</v>
      </c>
      <c r="E1124" t="str">
        <f t="shared" si="139"/>
        <v>T4</v>
      </c>
      <c r="F1124" t="s">
        <v>1249</v>
      </c>
      <c r="G1124" t="s">
        <v>92</v>
      </c>
      <c r="H1124" t="s">
        <v>93</v>
      </c>
      <c r="I1124" t="s">
        <v>94</v>
      </c>
      <c r="J1124" t="s">
        <v>70</v>
      </c>
      <c r="K1124" t="s">
        <v>71</v>
      </c>
      <c r="L1124" t="s">
        <v>72</v>
      </c>
      <c r="M1124" s="24">
        <v>1</v>
      </c>
      <c r="N1124" s="25">
        <v>9892.9</v>
      </c>
      <c r="O1124" s="25">
        <f t="shared" si="140"/>
        <v>9892.9</v>
      </c>
      <c r="P1124" s="25">
        <v>6313.6</v>
      </c>
      <c r="Q1124" s="25">
        <f t="shared" si="141"/>
        <v>6313.6</v>
      </c>
      <c r="R1124" s="25">
        <f t="shared" si="142"/>
        <v>3579.2999999999993</v>
      </c>
      <c r="S1124" s="26">
        <f t="shared" si="143"/>
        <v>0.36180493080896392</v>
      </c>
    </row>
    <row r="1125" spans="1:19" ht="15" x14ac:dyDescent="0.2">
      <c r="A1125" s="23">
        <v>45950</v>
      </c>
      <c r="B1125">
        <f t="shared" si="136"/>
        <v>2025</v>
      </c>
      <c r="C1125">
        <f t="shared" si="137"/>
        <v>10</v>
      </c>
      <c r="D1125" t="str">
        <f t="shared" si="138"/>
        <v>Octubre</v>
      </c>
      <c r="E1125" t="str">
        <f t="shared" si="139"/>
        <v>T4</v>
      </c>
      <c r="F1125" t="s">
        <v>1250</v>
      </c>
      <c r="G1125" t="s">
        <v>54</v>
      </c>
      <c r="H1125" t="s">
        <v>55</v>
      </c>
      <c r="I1125" t="s">
        <v>56</v>
      </c>
      <c r="J1125" t="s">
        <v>57</v>
      </c>
      <c r="K1125" t="s">
        <v>58</v>
      </c>
      <c r="L1125" t="s">
        <v>162</v>
      </c>
      <c r="M1125" s="24">
        <v>7</v>
      </c>
      <c r="N1125" s="25">
        <v>58211.01</v>
      </c>
      <c r="O1125" s="25">
        <f t="shared" si="140"/>
        <v>407477.07</v>
      </c>
      <c r="P1125" s="25">
        <v>44209.87</v>
      </c>
      <c r="Q1125" s="25">
        <f t="shared" si="141"/>
        <v>309469.09000000003</v>
      </c>
      <c r="R1125" s="25">
        <f t="shared" si="142"/>
        <v>98007.979999999981</v>
      </c>
      <c r="S1125" s="26">
        <f t="shared" si="143"/>
        <v>0.24052391463401851</v>
      </c>
    </row>
    <row r="1126" spans="1:19" ht="15" x14ac:dyDescent="0.2">
      <c r="A1126" s="23">
        <v>45950</v>
      </c>
      <c r="B1126">
        <f t="shared" si="136"/>
        <v>2025</v>
      </c>
      <c r="C1126">
        <f t="shared" si="137"/>
        <v>10</v>
      </c>
      <c r="D1126" t="str">
        <f t="shared" si="138"/>
        <v>Octubre</v>
      </c>
      <c r="E1126" t="str">
        <f t="shared" si="139"/>
        <v>T4</v>
      </c>
      <c r="F1126" t="s">
        <v>1251</v>
      </c>
      <c r="G1126" t="s">
        <v>54</v>
      </c>
      <c r="H1126" t="s">
        <v>55</v>
      </c>
      <c r="I1126" t="s">
        <v>56</v>
      </c>
      <c r="J1126" t="s">
        <v>57</v>
      </c>
      <c r="K1126" t="s">
        <v>58</v>
      </c>
      <c r="L1126" t="s">
        <v>59</v>
      </c>
      <c r="M1126" s="24">
        <v>11</v>
      </c>
      <c r="N1126" s="25">
        <v>54950.07</v>
      </c>
      <c r="O1126" s="25">
        <f t="shared" si="140"/>
        <v>604450.77</v>
      </c>
      <c r="P1126" s="25">
        <v>40969.699999999997</v>
      </c>
      <c r="Q1126" s="25">
        <f t="shared" si="141"/>
        <v>450666.69999999995</v>
      </c>
      <c r="R1126" s="25">
        <f t="shared" si="142"/>
        <v>153784.07000000007</v>
      </c>
      <c r="S1126" s="26">
        <f t="shared" si="143"/>
        <v>0.25441951211345143</v>
      </c>
    </row>
    <row r="1127" spans="1:19" ht="15" x14ac:dyDescent="0.2">
      <c r="A1127" s="23">
        <v>45950</v>
      </c>
      <c r="B1127">
        <f t="shared" si="136"/>
        <v>2025</v>
      </c>
      <c r="C1127">
        <f t="shared" si="137"/>
        <v>10</v>
      </c>
      <c r="D1127" t="str">
        <f t="shared" si="138"/>
        <v>Octubre</v>
      </c>
      <c r="E1127" t="str">
        <f t="shared" si="139"/>
        <v>T4</v>
      </c>
      <c r="F1127" t="s">
        <v>1252</v>
      </c>
      <c r="G1127" t="s">
        <v>114</v>
      </c>
      <c r="H1127" t="s">
        <v>75</v>
      </c>
      <c r="I1127" t="s">
        <v>115</v>
      </c>
      <c r="J1127" t="s">
        <v>57</v>
      </c>
      <c r="K1127" t="s">
        <v>58</v>
      </c>
      <c r="L1127" t="s">
        <v>59</v>
      </c>
      <c r="M1127" s="24">
        <v>2</v>
      </c>
      <c r="N1127" s="25">
        <v>99044.69</v>
      </c>
      <c r="O1127" s="25">
        <f t="shared" si="140"/>
        <v>198089.38</v>
      </c>
      <c r="P1127" s="25">
        <v>67725.899999999994</v>
      </c>
      <c r="Q1127" s="25">
        <f t="shared" si="141"/>
        <v>135451.79999999999</v>
      </c>
      <c r="R1127" s="25">
        <f t="shared" si="142"/>
        <v>62637.580000000016</v>
      </c>
      <c r="S1127" s="26">
        <f t="shared" si="143"/>
        <v>0.31620867307475048</v>
      </c>
    </row>
    <row r="1128" spans="1:19" ht="15" x14ac:dyDescent="0.2">
      <c r="A1128" s="23">
        <v>45951</v>
      </c>
      <c r="B1128">
        <f t="shared" si="136"/>
        <v>2025</v>
      </c>
      <c r="C1128">
        <f t="shared" si="137"/>
        <v>10</v>
      </c>
      <c r="D1128" t="str">
        <f t="shared" si="138"/>
        <v>Octubre</v>
      </c>
      <c r="E1128" t="str">
        <f t="shared" si="139"/>
        <v>T4</v>
      </c>
      <c r="F1128" t="s">
        <v>1253</v>
      </c>
      <c r="G1128" t="s">
        <v>68</v>
      </c>
      <c r="H1128" t="s">
        <v>62</v>
      </c>
      <c r="I1128" t="s">
        <v>69</v>
      </c>
      <c r="J1128" t="s">
        <v>77</v>
      </c>
      <c r="K1128" t="s">
        <v>107</v>
      </c>
      <c r="L1128" t="s">
        <v>108</v>
      </c>
      <c r="M1128" s="24">
        <v>188</v>
      </c>
      <c r="N1128" s="25">
        <v>3330.03</v>
      </c>
      <c r="O1128" s="25">
        <f t="shared" si="140"/>
        <v>626045.64</v>
      </c>
      <c r="P1128" s="25">
        <v>2603.34</v>
      </c>
      <c r="Q1128" s="25">
        <f t="shared" si="141"/>
        <v>489427.92000000004</v>
      </c>
      <c r="R1128" s="25">
        <f t="shared" si="142"/>
        <v>136617.71999999997</v>
      </c>
      <c r="S1128" s="26">
        <f t="shared" si="143"/>
        <v>0.21822325924991662</v>
      </c>
    </row>
    <row r="1129" spans="1:19" ht="15" x14ac:dyDescent="0.2">
      <c r="A1129" s="23">
        <v>45951</v>
      </c>
      <c r="B1129">
        <f t="shared" si="136"/>
        <v>2025</v>
      </c>
      <c r="C1129">
        <f t="shared" si="137"/>
        <v>10</v>
      </c>
      <c r="D1129" t="str">
        <f t="shared" si="138"/>
        <v>Octubre</v>
      </c>
      <c r="E1129" t="str">
        <f t="shared" si="139"/>
        <v>T4</v>
      </c>
      <c r="F1129" t="s">
        <v>1254</v>
      </c>
      <c r="G1129" t="s">
        <v>114</v>
      </c>
      <c r="H1129" t="s">
        <v>75</v>
      </c>
      <c r="I1129" t="s">
        <v>115</v>
      </c>
      <c r="J1129" t="s">
        <v>70</v>
      </c>
      <c r="K1129" t="s">
        <v>84</v>
      </c>
      <c r="L1129" t="s">
        <v>147</v>
      </c>
      <c r="M1129" s="24">
        <v>2</v>
      </c>
      <c r="N1129" s="25">
        <v>96922.86</v>
      </c>
      <c r="O1129" s="25">
        <f t="shared" si="140"/>
        <v>193845.72</v>
      </c>
      <c r="P1129" s="25">
        <v>69568.820000000007</v>
      </c>
      <c r="Q1129" s="25">
        <f t="shared" si="141"/>
        <v>139137.64000000001</v>
      </c>
      <c r="R1129" s="25">
        <f t="shared" si="142"/>
        <v>54708.079999999987</v>
      </c>
      <c r="S1129" s="26">
        <f t="shared" si="143"/>
        <v>0.28222485386832369</v>
      </c>
    </row>
    <row r="1130" spans="1:19" ht="15" x14ac:dyDescent="0.2">
      <c r="A1130" s="23">
        <v>45951</v>
      </c>
      <c r="B1130">
        <f t="shared" si="136"/>
        <v>2025</v>
      </c>
      <c r="C1130">
        <f t="shared" si="137"/>
        <v>10</v>
      </c>
      <c r="D1130" t="str">
        <f t="shared" si="138"/>
        <v>Octubre</v>
      </c>
      <c r="E1130" t="str">
        <f t="shared" si="139"/>
        <v>T4</v>
      </c>
      <c r="F1130" t="s">
        <v>1255</v>
      </c>
      <c r="G1130" t="s">
        <v>188</v>
      </c>
      <c r="H1130" t="s">
        <v>88</v>
      </c>
      <c r="I1130" t="s">
        <v>189</v>
      </c>
      <c r="J1130" t="s">
        <v>70</v>
      </c>
      <c r="K1130" t="s">
        <v>84</v>
      </c>
      <c r="L1130" t="s">
        <v>147</v>
      </c>
      <c r="M1130" s="24">
        <v>2</v>
      </c>
      <c r="N1130" s="25">
        <v>76265.5</v>
      </c>
      <c r="O1130" s="25">
        <f t="shared" si="140"/>
        <v>152531</v>
      </c>
      <c r="P1130" s="25">
        <v>45869.38</v>
      </c>
      <c r="Q1130" s="25">
        <f t="shared" si="141"/>
        <v>91738.76</v>
      </c>
      <c r="R1130" s="25">
        <f t="shared" si="142"/>
        <v>60792.240000000005</v>
      </c>
      <c r="S1130" s="26">
        <f t="shared" si="143"/>
        <v>0.39855662127698638</v>
      </c>
    </row>
    <row r="1131" spans="1:19" ht="15" x14ac:dyDescent="0.2">
      <c r="A1131" s="23">
        <v>45951</v>
      </c>
      <c r="B1131">
        <f t="shared" si="136"/>
        <v>2025</v>
      </c>
      <c r="C1131">
        <f t="shared" si="137"/>
        <v>10</v>
      </c>
      <c r="D1131" t="str">
        <f t="shared" si="138"/>
        <v>Octubre</v>
      </c>
      <c r="E1131" t="str">
        <f t="shared" si="139"/>
        <v>T4</v>
      </c>
      <c r="F1131" t="s">
        <v>1256</v>
      </c>
      <c r="G1131" t="s">
        <v>92</v>
      </c>
      <c r="H1131" t="s">
        <v>93</v>
      </c>
      <c r="I1131" t="s">
        <v>94</v>
      </c>
      <c r="J1131" t="s">
        <v>57</v>
      </c>
      <c r="K1131" t="s">
        <v>58</v>
      </c>
      <c r="L1131" t="s">
        <v>162</v>
      </c>
      <c r="M1131" s="24">
        <v>4</v>
      </c>
      <c r="N1131" s="25">
        <v>22212.560000000001</v>
      </c>
      <c r="O1131" s="25">
        <f t="shared" si="140"/>
        <v>88850.240000000005</v>
      </c>
      <c r="P1131" s="25">
        <v>12989.77</v>
      </c>
      <c r="Q1131" s="25">
        <f t="shared" si="141"/>
        <v>51959.08</v>
      </c>
      <c r="R1131" s="25">
        <f t="shared" si="142"/>
        <v>36891.160000000003</v>
      </c>
      <c r="S1131" s="26">
        <f t="shared" si="143"/>
        <v>0.41520608160428157</v>
      </c>
    </row>
    <row r="1132" spans="1:19" ht="15" x14ac:dyDescent="0.2">
      <c r="A1132" s="23">
        <v>45952</v>
      </c>
      <c r="B1132">
        <f t="shared" si="136"/>
        <v>2025</v>
      </c>
      <c r="C1132">
        <f t="shared" si="137"/>
        <v>10</v>
      </c>
      <c r="D1132" t="str">
        <f t="shared" si="138"/>
        <v>Octubre</v>
      </c>
      <c r="E1132" t="str">
        <f t="shared" si="139"/>
        <v>T4</v>
      </c>
      <c r="F1132" t="s">
        <v>1257</v>
      </c>
      <c r="G1132" t="s">
        <v>54</v>
      </c>
      <c r="H1132" t="s">
        <v>55</v>
      </c>
      <c r="I1132" t="s">
        <v>56</v>
      </c>
      <c r="J1132" t="s">
        <v>57</v>
      </c>
      <c r="K1132" t="s">
        <v>81</v>
      </c>
      <c r="L1132" t="s">
        <v>82</v>
      </c>
      <c r="M1132" s="24">
        <v>11</v>
      </c>
      <c r="N1132" s="25">
        <v>55817.83</v>
      </c>
      <c r="O1132" s="25">
        <f t="shared" si="140"/>
        <v>613996.13</v>
      </c>
      <c r="P1132" s="25">
        <v>41858.25</v>
      </c>
      <c r="Q1132" s="25">
        <f t="shared" si="141"/>
        <v>460440.75</v>
      </c>
      <c r="R1132" s="25">
        <f t="shared" si="142"/>
        <v>153555.38</v>
      </c>
      <c r="S1132" s="26">
        <f t="shared" si="143"/>
        <v>0.2500917717510695</v>
      </c>
    </row>
    <row r="1133" spans="1:19" ht="15" x14ac:dyDescent="0.2">
      <c r="A1133" s="23">
        <v>45953</v>
      </c>
      <c r="B1133">
        <f t="shared" si="136"/>
        <v>2025</v>
      </c>
      <c r="C1133">
        <f t="shared" si="137"/>
        <v>10</v>
      </c>
      <c r="D1133" t="str">
        <f t="shared" si="138"/>
        <v>Octubre</v>
      </c>
      <c r="E1133" t="str">
        <f t="shared" si="139"/>
        <v>T4</v>
      </c>
      <c r="F1133" t="s">
        <v>1258</v>
      </c>
      <c r="G1133" t="s">
        <v>282</v>
      </c>
      <c r="H1133" t="s">
        <v>55</v>
      </c>
      <c r="I1133" t="s">
        <v>56</v>
      </c>
      <c r="J1133" t="s">
        <v>64</v>
      </c>
      <c r="K1133" t="s">
        <v>65</v>
      </c>
      <c r="L1133" t="s">
        <v>123</v>
      </c>
      <c r="M1133" s="24">
        <v>3</v>
      </c>
      <c r="N1133" s="25">
        <v>460936.98</v>
      </c>
      <c r="O1133" s="25">
        <f t="shared" si="140"/>
        <v>1382810.94</v>
      </c>
      <c r="P1133" s="25">
        <v>352158.64</v>
      </c>
      <c r="Q1133" s="25">
        <f t="shared" si="141"/>
        <v>1056475.92</v>
      </c>
      <c r="R1133" s="25">
        <f t="shared" si="142"/>
        <v>326335.02</v>
      </c>
      <c r="S1133" s="26">
        <f t="shared" si="143"/>
        <v>0.23599395301283921</v>
      </c>
    </row>
    <row r="1134" spans="1:19" ht="15" x14ac:dyDescent="0.2">
      <c r="A1134" s="23">
        <v>45953</v>
      </c>
      <c r="B1134">
        <f t="shared" si="136"/>
        <v>2025</v>
      </c>
      <c r="C1134">
        <f t="shared" si="137"/>
        <v>10</v>
      </c>
      <c r="D1134" t="str">
        <f t="shared" si="138"/>
        <v>Octubre</v>
      </c>
      <c r="E1134" t="str">
        <f t="shared" si="139"/>
        <v>T4</v>
      </c>
      <c r="F1134" t="s">
        <v>1259</v>
      </c>
      <c r="G1134" t="s">
        <v>54</v>
      </c>
      <c r="H1134" t="s">
        <v>55</v>
      </c>
      <c r="I1134" t="s">
        <v>56</v>
      </c>
      <c r="J1134" t="s">
        <v>125</v>
      </c>
      <c r="K1134" t="s">
        <v>126</v>
      </c>
      <c r="L1134" t="s">
        <v>127</v>
      </c>
      <c r="M1134" s="24">
        <v>7</v>
      </c>
      <c r="N1134" s="25">
        <v>55914.31</v>
      </c>
      <c r="O1134" s="25">
        <f t="shared" si="140"/>
        <v>391400.17</v>
      </c>
      <c r="P1134" s="25">
        <v>41327.440000000002</v>
      </c>
      <c r="Q1134" s="25">
        <f t="shared" si="141"/>
        <v>289292.08</v>
      </c>
      <c r="R1134" s="25">
        <f t="shared" si="142"/>
        <v>102108.08999999997</v>
      </c>
      <c r="S1134" s="26">
        <f t="shared" si="143"/>
        <v>0.26087901290385229</v>
      </c>
    </row>
    <row r="1135" spans="1:19" ht="15" x14ac:dyDescent="0.2">
      <c r="A1135" s="23">
        <v>45953</v>
      </c>
      <c r="B1135">
        <f t="shared" si="136"/>
        <v>2025</v>
      </c>
      <c r="C1135">
        <f t="shared" si="137"/>
        <v>10</v>
      </c>
      <c r="D1135" t="str">
        <f t="shared" si="138"/>
        <v>Octubre</v>
      </c>
      <c r="E1135" t="str">
        <f t="shared" si="139"/>
        <v>T4</v>
      </c>
      <c r="F1135" t="s">
        <v>1260</v>
      </c>
      <c r="G1135" t="s">
        <v>105</v>
      </c>
      <c r="H1135" t="s">
        <v>62</v>
      </c>
      <c r="I1135" t="s">
        <v>106</v>
      </c>
      <c r="J1135" t="s">
        <v>57</v>
      </c>
      <c r="K1135" t="s">
        <v>81</v>
      </c>
      <c r="L1135" t="s">
        <v>129</v>
      </c>
      <c r="M1135" s="24">
        <v>405</v>
      </c>
      <c r="N1135" s="25">
        <v>1849.62</v>
      </c>
      <c r="O1135" s="25">
        <f t="shared" si="140"/>
        <v>749096.1</v>
      </c>
      <c r="P1135" s="25">
        <v>1499.64</v>
      </c>
      <c r="Q1135" s="25">
        <f t="shared" si="141"/>
        <v>607354.20000000007</v>
      </c>
      <c r="R1135" s="25">
        <f t="shared" si="142"/>
        <v>141741.89999999991</v>
      </c>
      <c r="S1135" s="26">
        <f t="shared" si="143"/>
        <v>0.18921724462321979</v>
      </c>
    </row>
    <row r="1136" spans="1:19" ht="15" x14ac:dyDescent="0.2">
      <c r="A1136" s="23">
        <v>45953</v>
      </c>
      <c r="B1136">
        <f t="shared" si="136"/>
        <v>2025</v>
      </c>
      <c r="C1136">
        <f t="shared" si="137"/>
        <v>10</v>
      </c>
      <c r="D1136" t="str">
        <f t="shared" si="138"/>
        <v>Octubre</v>
      </c>
      <c r="E1136" t="str">
        <f t="shared" si="139"/>
        <v>T4</v>
      </c>
      <c r="F1136" t="s">
        <v>1261</v>
      </c>
      <c r="G1136" t="s">
        <v>110</v>
      </c>
      <c r="H1136" t="s">
        <v>62</v>
      </c>
      <c r="I1136" t="s">
        <v>69</v>
      </c>
      <c r="J1136" t="s">
        <v>70</v>
      </c>
      <c r="K1136" t="s">
        <v>84</v>
      </c>
      <c r="L1136" t="s">
        <v>85</v>
      </c>
      <c r="M1136" s="24">
        <v>62</v>
      </c>
      <c r="N1136" s="25">
        <v>6321.29</v>
      </c>
      <c r="O1136" s="25">
        <f t="shared" si="140"/>
        <v>391919.98</v>
      </c>
      <c r="P1136" s="25">
        <v>5362.76</v>
      </c>
      <c r="Q1136" s="25">
        <f t="shared" si="141"/>
        <v>332491.12</v>
      </c>
      <c r="R1136" s="25">
        <f t="shared" si="142"/>
        <v>59428.859999999986</v>
      </c>
      <c r="S1136" s="26">
        <f t="shared" si="143"/>
        <v>0.15163518838718043</v>
      </c>
    </row>
    <row r="1137" spans="1:19" ht="15" x14ac:dyDescent="0.2">
      <c r="A1137" s="23">
        <v>45953</v>
      </c>
      <c r="B1137">
        <f t="shared" si="136"/>
        <v>2025</v>
      </c>
      <c r="C1137">
        <f t="shared" si="137"/>
        <v>10</v>
      </c>
      <c r="D1137" t="str">
        <f t="shared" si="138"/>
        <v>Octubre</v>
      </c>
      <c r="E1137" t="str">
        <f t="shared" si="139"/>
        <v>T4</v>
      </c>
      <c r="F1137" t="s">
        <v>1262</v>
      </c>
      <c r="G1137" t="s">
        <v>61</v>
      </c>
      <c r="H1137" t="s">
        <v>62</v>
      </c>
      <c r="I1137" t="s">
        <v>63</v>
      </c>
      <c r="J1137" t="s">
        <v>70</v>
      </c>
      <c r="K1137" t="s">
        <v>71</v>
      </c>
      <c r="L1137" t="s">
        <v>72</v>
      </c>
      <c r="M1137" s="24">
        <v>70</v>
      </c>
      <c r="N1137" s="25">
        <v>5547.83</v>
      </c>
      <c r="O1137" s="25">
        <f t="shared" si="140"/>
        <v>388348.1</v>
      </c>
      <c r="P1137" s="25">
        <v>4768.3999999999996</v>
      </c>
      <c r="Q1137" s="25">
        <f t="shared" si="141"/>
        <v>333788</v>
      </c>
      <c r="R1137" s="25">
        <f t="shared" si="142"/>
        <v>54560.099999999977</v>
      </c>
      <c r="S1137" s="26">
        <f t="shared" si="143"/>
        <v>0.14049276924491191</v>
      </c>
    </row>
    <row r="1138" spans="1:19" ht="15" x14ac:dyDescent="0.2">
      <c r="A1138" s="23">
        <v>45953</v>
      </c>
      <c r="B1138">
        <f t="shared" si="136"/>
        <v>2025</v>
      </c>
      <c r="C1138">
        <f t="shared" si="137"/>
        <v>10</v>
      </c>
      <c r="D1138" t="str">
        <f t="shared" si="138"/>
        <v>Octubre</v>
      </c>
      <c r="E1138" t="str">
        <f t="shared" si="139"/>
        <v>T4</v>
      </c>
      <c r="F1138" t="s">
        <v>1263</v>
      </c>
      <c r="G1138" t="s">
        <v>144</v>
      </c>
      <c r="H1138" t="s">
        <v>88</v>
      </c>
      <c r="I1138" t="s">
        <v>145</v>
      </c>
      <c r="J1138" t="s">
        <v>77</v>
      </c>
      <c r="K1138" t="s">
        <v>107</v>
      </c>
      <c r="L1138" t="s">
        <v>112</v>
      </c>
      <c r="M1138" s="24">
        <v>49</v>
      </c>
      <c r="N1138" s="25">
        <v>13418.85</v>
      </c>
      <c r="O1138" s="25">
        <f t="shared" si="140"/>
        <v>657523.65</v>
      </c>
      <c r="P1138" s="25">
        <v>7061.46</v>
      </c>
      <c r="Q1138" s="25">
        <f t="shared" si="141"/>
        <v>346011.54</v>
      </c>
      <c r="R1138" s="25">
        <f t="shared" si="142"/>
        <v>311512.11000000004</v>
      </c>
      <c r="S1138" s="26">
        <f t="shared" si="143"/>
        <v>0.47376563565432211</v>
      </c>
    </row>
    <row r="1139" spans="1:19" ht="15" x14ac:dyDescent="0.2">
      <c r="A1139" s="23">
        <v>45953</v>
      </c>
      <c r="B1139">
        <f t="shared" si="136"/>
        <v>2025</v>
      </c>
      <c r="C1139">
        <f t="shared" si="137"/>
        <v>10</v>
      </c>
      <c r="D1139" t="str">
        <f t="shared" si="138"/>
        <v>Octubre</v>
      </c>
      <c r="E1139" t="str">
        <f t="shared" si="139"/>
        <v>T4</v>
      </c>
      <c r="F1139" t="s">
        <v>1264</v>
      </c>
      <c r="G1139" t="s">
        <v>87</v>
      </c>
      <c r="H1139" t="s">
        <v>88</v>
      </c>
      <c r="I1139" t="s">
        <v>89</v>
      </c>
      <c r="J1139" t="s">
        <v>125</v>
      </c>
      <c r="K1139" t="s">
        <v>126</v>
      </c>
      <c r="L1139" t="s">
        <v>131</v>
      </c>
      <c r="M1139" s="24">
        <v>5</v>
      </c>
      <c r="N1139" s="25">
        <v>56486.43</v>
      </c>
      <c r="O1139" s="25">
        <f t="shared" si="140"/>
        <v>282432.15000000002</v>
      </c>
      <c r="P1139" s="25">
        <v>30395.1</v>
      </c>
      <c r="Q1139" s="25">
        <f t="shared" si="141"/>
        <v>151975.5</v>
      </c>
      <c r="R1139" s="25">
        <f t="shared" si="142"/>
        <v>130456.65000000002</v>
      </c>
      <c r="S1139" s="26">
        <f t="shared" si="143"/>
        <v>0.46190439013405526</v>
      </c>
    </row>
    <row r="1140" spans="1:19" ht="15" x14ac:dyDescent="0.2">
      <c r="A1140" s="23">
        <v>45953</v>
      </c>
      <c r="B1140">
        <f t="shared" si="136"/>
        <v>2025</v>
      </c>
      <c r="C1140">
        <f t="shared" si="137"/>
        <v>10</v>
      </c>
      <c r="D1140" t="str">
        <f t="shared" si="138"/>
        <v>Octubre</v>
      </c>
      <c r="E1140" t="str">
        <f t="shared" si="139"/>
        <v>T4</v>
      </c>
      <c r="F1140" t="s">
        <v>1265</v>
      </c>
      <c r="G1140" t="s">
        <v>100</v>
      </c>
      <c r="H1140" t="s">
        <v>88</v>
      </c>
      <c r="I1140" t="s">
        <v>101</v>
      </c>
      <c r="J1140" t="s">
        <v>70</v>
      </c>
      <c r="K1140" t="s">
        <v>71</v>
      </c>
      <c r="L1140" t="s">
        <v>90</v>
      </c>
      <c r="M1140" s="24">
        <v>5</v>
      </c>
      <c r="N1140" s="25">
        <v>37906.61</v>
      </c>
      <c r="O1140" s="25">
        <f t="shared" si="140"/>
        <v>189533.05</v>
      </c>
      <c r="P1140" s="25">
        <v>22210.81</v>
      </c>
      <c r="Q1140" s="25">
        <f t="shared" si="141"/>
        <v>111054.05</v>
      </c>
      <c r="R1140" s="25">
        <f t="shared" si="142"/>
        <v>78478.999999999985</v>
      </c>
      <c r="S1140" s="26">
        <f t="shared" si="143"/>
        <v>0.41406498761034022</v>
      </c>
    </row>
    <row r="1141" spans="1:19" ht="15" x14ac:dyDescent="0.2">
      <c r="A1141" s="23">
        <v>45953</v>
      </c>
      <c r="B1141">
        <f t="shared" si="136"/>
        <v>2025</v>
      </c>
      <c r="C1141">
        <f t="shared" si="137"/>
        <v>10</v>
      </c>
      <c r="D1141" t="str">
        <f t="shared" si="138"/>
        <v>Octubre</v>
      </c>
      <c r="E1141" t="str">
        <f t="shared" si="139"/>
        <v>T4</v>
      </c>
      <c r="F1141" t="s">
        <v>1266</v>
      </c>
      <c r="G1141" t="s">
        <v>206</v>
      </c>
      <c r="H1141" t="s">
        <v>93</v>
      </c>
      <c r="I1141" t="s">
        <v>207</v>
      </c>
      <c r="J1141" t="s">
        <v>57</v>
      </c>
      <c r="K1141" t="s">
        <v>58</v>
      </c>
      <c r="L1141" t="s">
        <v>162</v>
      </c>
      <c r="M1141" s="24">
        <v>2</v>
      </c>
      <c r="N1141" s="25">
        <v>127504.41</v>
      </c>
      <c r="O1141" s="25">
        <f t="shared" si="140"/>
        <v>255008.82</v>
      </c>
      <c r="P1141" s="25">
        <v>74063.73</v>
      </c>
      <c r="Q1141" s="25">
        <f t="shared" si="141"/>
        <v>148127.46</v>
      </c>
      <c r="R1141" s="25">
        <f t="shared" si="142"/>
        <v>106881.36000000002</v>
      </c>
      <c r="S1141" s="26">
        <f t="shared" si="143"/>
        <v>0.41912809133425272</v>
      </c>
    </row>
    <row r="1142" spans="1:19" ht="15" x14ac:dyDescent="0.2">
      <c r="A1142" s="23">
        <v>45954</v>
      </c>
      <c r="B1142">
        <f t="shared" si="136"/>
        <v>2025</v>
      </c>
      <c r="C1142">
        <f t="shared" si="137"/>
        <v>10</v>
      </c>
      <c r="D1142" t="str">
        <f t="shared" si="138"/>
        <v>Octubre</v>
      </c>
      <c r="E1142" t="str">
        <f t="shared" si="139"/>
        <v>T4</v>
      </c>
      <c r="F1142" t="s">
        <v>1267</v>
      </c>
      <c r="G1142" t="s">
        <v>54</v>
      </c>
      <c r="H1142" t="s">
        <v>55</v>
      </c>
      <c r="I1142" t="s">
        <v>56</v>
      </c>
      <c r="J1142" t="s">
        <v>64</v>
      </c>
      <c r="K1142" t="s">
        <v>65</v>
      </c>
      <c r="L1142" t="s">
        <v>66</v>
      </c>
      <c r="M1142" s="24">
        <v>17</v>
      </c>
      <c r="N1142" s="25">
        <v>55362.59</v>
      </c>
      <c r="O1142" s="25">
        <f t="shared" si="140"/>
        <v>941164.02999999991</v>
      </c>
      <c r="P1142" s="25">
        <v>42538.29</v>
      </c>
      <c r="Q1142" s="25">
        <f t="shared" si="141"/>
        <v>723150.93</v>
      </c>
      <c r="R1142" s="25">
        <f t="shared" si="142"/>
        <v>218013.09999999986</v>
      </c>
      <c r="S1142" s="26">
        <f t="shared" si="143"/>
        <v>0.23164198062265498</v>
      </c>
    </row>
    <row r="1143" spans="1:19" ht="15" x14ac:dyDescent="0.2">
      <c r="A1143" s="23">
        <v>45954</v>
      </c>
      <c r="B1143">
        <f t="shared" si="136"/>
        <v>2025</v>
      </c>
      <c r="C1143">
        <f t="shared" si="137"/>
        <v>10</v>
      </c>
      <c r="D1143" t="str">
        <f t="shared" si="138"/>
        <v>Octubre</v>
      </c>
      <c r="E1143" t="str">
        <f t="shared" si="139"/>
        <v>T4</v>
      </c>
      <c r="F1143" t="s">
        <v>1268</v>
      </c>
      <c r="G1143" t="s">
        <v>68</v>
      </c>
      <c r="H1143" t="s">
        <v>62</v>
      </c>
      <c r="I1143" t="s">
        <v>69</v>
      </c>
      <c r="J1143" t="s">
        <v>125</v>
      </c>
      <c r="K1143" t="s">
        <v>138</v>
      </c>
      <c r="L1143" t="s">
        <v>142</v>
      </c>
      <c r="M1143" s="24">
        <v>75</v>
      </c>
      <c r="N1143" s="25">
        <v>3259.74</v>
      </c>
      <c r="O1143" s="25">
        <f t="shared" si="140"/>
        <v>244480.49999999997</v>
      </c>
      <c r="P1143" s="25">
        <v>2616.06</v>
      </c>
      <c r="Q1143" s="25">
        <f t="shared" si="141"/>
        <v>196204.5</v>
      </c>
      <c r="R1143" s="25">
        <f t="shared" si="142"/>
        <v>48275.999999999971</v>
      </c>
      <c r="S1143" s="26">
        <f t="shared" si="143"/>
        <v>0.19746360139152191</v>
      </c>
    </row>
    <row r="1144" spans="1:19" ht="15" x14ac:dyDescent="0.2">
      <c r="A1144" s="23">
        <v>45954</v>
      </c>
      <c r="B1144">
        <f t="shared" si="136"/>
        <v>2025</v>
      </c>
      <c r="C1144">
        <f t="shared" si="137"/>
        <v>10</v>
      </c>
      <c r="D1144" t="str">
        <f t="shared" si="138"/>
        <v>Octubre</v>
      </c>
      <c r="E1144" t="str">
        <f t="shared" si="139"/>
        <v>T4</v>
      </c>
      <c r="F1144" t="s">
        <v>1269</v>
      </c>
      <c r="G1144" t="s">
        <v>149</v>
      </c>
      <c r="H1144" t="s">
        <v>93</v>
      </c>
      <c r="I1144" t="s">
        <v>150</v>
      </c>
      <c r="J1144" t="s">
        <v>64</v>
      </c>
      <c r="K1144" t="s">
        <v>96</v>
      </c>
      <c r="L1144" t="s">
        <v>97</v>
      </c>
      <c r="M1144" s="24">
        <v>6</v>
      </c>
      <c r="N1144" s="25">
        <v>45574.11</v>
      </c>
      <c r="O1144" s="25">
        <f t="shared" si="140"/>
        <v>273444.66000000003</v>
      </c>
      <c r="P1144" s="25">
        <v>27583.25</v>
      </c>
      <c r="Q1144" s="25">
        <f t="shared" si="141"/>
        <v>165499.5</v>
      </c>
      <c r="R1144" s="25">
        <f t="shared" si="142"/>
        <v>107945.16000000003</v>
      </c>
      <c r="S1144" s="26">
        <f t="shared" si="143"/>
        <v>0.3947605339961659</v>
      </c>
    </row>
    <row r="1145" spans="1:19" ht="15" x14ac:dyDescent="0.2">
      <c r="A1145" s="23">
        <v>45954</v>
      </c>
      <c r="B1145">
        <f t="shared" si="136"/>
        <v>2025</v>
      </c>
      <c r="C1145">
        <f t="shared" si="137"/>
        <v>10</v>
      </c>
      <c r="D1145" t="str">
        <f t="shared" si="138"/>
        <v>Octubre</v>
      </c>
      <c r="E1145" t="str">
        <f t="shared" si="139"/>
        <v>T4</v>
      </c>
      <c r="F1145" t="s">
        <v>1270</v>
      </c>
      <c r="G1145" t="s">
        <v>206</v>
      </c>
      <c r="H1145" t="s">
        <v>93</v>
      </c>
      <c r="I1145" t="s">
        <v>207</v>
      </c>
      <c r="J1145" t="s">
        <v>125</v>
      </c>
      <c r="K1145" t="s">
        <v>138</v>
      </c>
      <c r="L1145" t="s">
        <v>142</v>
      </c>
      <c r="M1145" s="24">
        <v>3</v>
      </c>
      <c r="N1145" s="25">
        <v>100470.83</v>
      </c>
      <c r="O1145" s="25">
        <f t="shared" si="140"/>
        <v>301412.49</v>
      </c>
      <c r="P1145" s="25">
        <v>58547.94</v>
      </c>
      <c r="Q1145" s="25">
        <f t="shared" si="141"/>
        <v>175643.82</v>
      </c>
      <c r="R1145" s="25">
        <f t="shared" si="142"/>
        <v>125768.66999999998</v>
      </c>
      <c r="S1145" s="26">
        <f t="shared" si="143"/>
        <v>0.41726429452210156</v>
      </c>
    </row>
    <row r="1146" spans="1:19" ht="15" x14ac:dyDescent="0.2">
      <c r="A1146" s="23">
        <v>45955</v>
      </c>
      <c r="B1146">
        <f t="shared" si="136"/>
        <v>2025</v>
      </c>
      <c r="C1146">
        <f t="shared" si="137"/>
        <v>10</v>
      </c>
      <c r="D1146" t="str">
        <f t="shared" si="138"/>
        <v>Octubre</v>
      </c>
      <c r="E1146" t="str">
        <f t="shared" si="139"/>
        <v>T4</v>
      </c>
      <c r="F1146" t="s">
        <v>1271</v>
      </c>
      <c r="G1146" t="s">
        <v>61</v>
      </c>
      <c r="H1146" t="s">
        <v>62</v>
      </c>
      <c r="I1146" t="s">
        <v>63</v>
      </c>
      <c r="J1146" t="s">
        <v>57</v>
      </c>
      <c r="K1146" t="s">
        <v>58</v>
      </c>
      <c r="L1146" t="s">
        <v>59</v>
      </c>
      <c r="M1146" s="24">
        <v>84</v>
      </c>
      <c r="N1146" s="25">
        <v>5875.51</v>
      </c>
      <c r="O1146" s="25">
        <f t="shared" si="140"/>
        <v>493542.84</v>
      </c>
      <c r="P1146" s="25">
        <v>4816.63</v>
      </c>
      <c r="Q1146" s="25">
        <f t="shared" si="141"/>
        <v>404596.92</v>
      </c>
      <c r="R1146" s="25">
        <f t="shared" si="142"/>
        <v>88945.920000000042</v>
      </c>
      <c r="S1146" s="26">
        <f t="shared" si="143"/>
        <v>0.18021924905242276</v>
      </c>
    </row>
    <row r="1147" spans="1:19" ht="15" x14ac:dyDescent="0.2">
      <c r="A1147" s="23">
        <v>45955</v>
      </c>
      <c r="B1147">
        <f t="shared" si="136"/>
        <v>2025</v>
      </c>
      <c r="C1147">
        <f t="shared" si="137"/>
        <v>10</v>
      </c>
      <c r="D1147" t="str">
        <f t="shared" si="138"/>
        <v>Octubre</v>
      </c>
      <c r="E1147" t="str">
        <f t="shared" si="139"/>
        <v>T4</v>
      </c>
      <c r="F1147" t="s">
        <v>1272</v>
      </c>
      <c r="G1147" t="s">
        <v>74</v>
      </c>
      <c r="H1147" t="s">
        <v>75</v>
      </c>
      <c r="I1147" t="s">
        <v>76</v>
      </c>
      <c r="J1147" t="s">
        <v>125</v>
      </c>
      <c r="K1147" t="s">
        <v>126</v>
      </c>
      <c r="L1147" t="s">
        <v>131</v>
      </c>
      <c r="M1147" s="24">
        <v>6</v>
      </c>
      <c r="N1147" s="25">
        <v>40979</v>
      </c>
      <c r="O1147" s="25">
        <f t="shared" si="140"/>
        <v>245874</v>
      </c>
      <c r="P1147" s="25">
        <v>28031.87</v>
      </c>
      <c r="Q1147" s="25">
        <f t="shared" si="141"/>
        <v>168191.22</v>
      </c>
      <c r="R1147" s="25">
        <f t="shared" si="142"/>
        <v>77682.78</v>
      </c>
      <c r="S1147" s="26">
        <f t="shared" si="143"/>
        <v>0.31594548427243224</v>
      </c>
    </row>
    <row r="1148" spans="1:19" ht="15" x14ac:dyDescent="0.2">
      <c r="A1148" s="23">
        <v>45956</v>
      </c>
      <c r="B1148">
        <f t="shared" si="136"/>
        <v>2025</v>
      </c>
      <c r="C1148">
        <f t="shared" si="137"/>
        <v>10</v>
      </c>
      <c r="D1148" t="str">
        <f t="shared" si="138"/>
        <v>Octubre</v>
      </c>
      <c r="E1148" t="str">
        <f t="shared" si="139"/>
        <v>T4</v>
      </c>
      <c r="F1148" t="s">
        <v>1273</v>
      </c>
      <c r="G1148" t="s">
        <v>54</v>
      </c>
      <c r="H1148" t="s">
        <v>55</v>
      </c>
      <c r="I1148" t="s">
        <v>56</v>
      </c>
      <c r="J1148" t="s">
        <v>77</v>
      </c>
      <c r="K1148" t="s">
        <v>107</v>
      </c>
      <c r="L1148" t="s">
        <v>108</v>
      </c>
      <c r="M1148" s="24">
        <v>10</v>
      </c>
      <c r="N1148" s="25">
        <v>61392.08</v>
      </c>
      <c r="O1148" s="25">
        <f t="shared" si="140"/>
        <v>613920.80000000005</v>
      </c>
      <c r="P1148" s="25">
        <v>43938.44</v>
      </c>
      <c r="Q1148" s="25">
        <f t="shared" si="141"/>
        <v>439384.4</v>
      </c>
      <c r="R1148" s="25">
        <f t="shared" si="142"/>
        <v>174536.40000000002</v>
      </c>
      <c r="S1148" s="26">
        <f t="shared" si="143"/>
        <v>0.28429790943717825</v>
      </c>
    </row>
    <row r="1149" spans="1:19" ht="15" x14ac:dyDescent="0.2">
      <c r="A1149" s="23">
        <v>45956</v>
      </c>
      <c r="B1149">
        <f t="shared" si="136"/>
        <v>2025</v>
      </c>
      <c r="C1149">
        <f t="shared" si="137"/>
        <v>10</v>
      </c>
      <c r="D1149" t="str">
        <f t="shared" si="138"/>
        <v>Octubre</v>
      </c>
      <c r="E1149" t="str">
        <f t="shared" si="139"/>
        <v>T4</v>
      </c>
      <c r="F1149" t="s">
        <v>1274</v>
      </c>
      <c r="G1149" t="s">
        <v>54</v>
      </c>
      <c r="H1149" t="s">
        <v>55</v>
      </c>
      <c r="I1149" t="s">
        <v>56</v>
      </c>
      <c r="J1149" t="s">
        <v>125</v>
      </c>
      <c r="K1149" t="s">
        <v>126</v>
      </c>
      <c r="L1149" t="s">
        <v>127</v>
      </c>
      <c r="M1149" s="24">
        <v>6</v>
      </c>
      <c r="N1149" s="25">
        <v>53395.91</v>
      </c>
      <c r="O1149" s="25">
        <f t="shared" si="140"/>
        <v>320375.46000000002</v>
      </c>
      <c r="P1149" s="25">
        <v>39403.64</v>
      </c>
      <c r="Q1149" s="25">
        <f t="shared" si="141"/>
        <v>236421.84</v>
      </c>
      <c r="R1149" s="25">
        <f t="shared" si="142"/>
        <v>83953.620000000024</v>
      </c>
      <c r="S1149" s="26">
        <f t="shared" si="143"/>
        <v>0.26204759877676032</v>
      </c>
    </row>
    <row r="1150" spans="1:19" ht="15" x14ac:dyDescent="0.2">
      <c r="A1150" s="23">
        <v>45956</v>
      </c>
      <c r="B1150">
        <f t="shared" si="136"/>
        <v>2025</v>
      </c>
      <c r="C1150">
        <f t="shared" si="137"/>
        <v>10</v>
      </c>
      <c r="D1150" t="str">
        <f t="shared" si="138"/>
        <v>Octubre</v>
      </c>
      <c r="E1150" t="str">
        <f t="shared" si="139"/>
        <v>T4</v>
      </c>
      <c r="F1150" t="s">
        <v>1275</v>
      </c>
      <c r="G1150" t="s">
        <v>110</v>
      </c>
      <c r="H1150" t="s">
        <v>62</v>
      </c>
      <c r="I1150" t="s">
        <v>69</v>
      </c>
      <c r="J1150" t="s">
        <v>70</v>
      </c>
      <c r="K1150" t="s">
        <v>71</v>
      </c>
      <c r="L1150" t="s">
        <v>72</v>
      </c>
      <c r="M1150" s="24">
        <v>23</v>
      </c>
      <c r="N1150" s="25">
        <v>6225.97</v>
      </c>
      <c r="O1150" s="25">
        <f t="shared" si="140"/>
        <v>143197.31</v>
      </c>
      <c r="P1150" s="25">
        <v>5388.66</v>
      </c>
      <c r="Q1150" s="25">
        <f t="shared" si="141"/>
        <v>123939.18</v>
      </c>
      <c r="R1150" s="25">
        <f t="shared" si="142"/>
        <v>19258.130000000005</v>
      </c>
      <c r="S1150" s="26">
        <f t="shared" si="143"/>
        <v>0.13448667436560088</v>
      </c>
    </row>
    <row r="1151" spans="1:19" ht="15" x14ac:dyDescent="0.2">
      <c r="A1151" s="23">
        <v>45956</v>
      </c>
      <c r="B1151">
        <f t="shared" si="136"/>
        <v>2025</v>
      </c>
      <c r="C1151">
        <f t="shared" si="137"/>
        <v>10</v>
      </c>
      <c r="D1151" t="str">
        <f t="shared" si="138"/>
        <v>Octubre</v>
      </c>
      <c r="E1151" t="str">
        <f t="shared" si="139"/>
        <v>T4</v>
      </c>
      <c r="F1151" t="s">
        <v>1276</v>
      </c>
      <c r="G1151" t="s">
        <v>114</v>
      </c>
      <c r="H1151" t="s">
        <v>75</v>
      </c>
      <c r="I1151" t="s">
        <v>115</v>
      </c>
      <c r="J1151" t="s">
        <v>77</v>
      </c>
      <c r="K1151" t="s">
        <v>78</v>
      </c>
      <c r="L1151" t="s">
        <v>117</v>
      </c>
      <c r="M1151" s="24">
        <v>5</v>
      </c>
      <c r="N1151" s="25">
        <v>97676.46</v>
      </c>
      <c r="O1151" s="25">
        <f t="shared" si="140"/>
        <v>488382.30000000005</v>
      </c>
      <c r="P1151" s="25">
        <v>65819.91</v>
      </c>
      <c r="Q1151" s="25">
        <f t="shared" si="141"/>
        <v>329099.55000000005</v>
      </c>
      <c r="R1151" s="25">
        <f t="shared" si="142"/>
        <v>159282.75</v>
      </c>
      <c r="S1151" s="26">
        <f t="shared" si="143"/>
        <v>0.32614357645639491</v>
      </c>
    </row>
    <row r="1152" spans="1:19" ht="15" x14ac:dyDescent="0.2">
      <c r="A1152" s="23">
        <v>45956</v>
      </c>
      <c r="B1152">
        <f t="shared" si="136"/>
        <v>2025</v>
      </c>
      <c r="C1152">
        <f t="shared" si="137"/>
        <v>10</v>
      </c>
      <c r="D1152" t="str">
        <f t="shared" si="138"/>
        <v>Octubre</v>
      </c>
      <c r="E1152" t="str">
        <f t="shared" si="139"/>
        <v>T4</v>
      </c>
      <c r="F1152" t="s">
        <v>1277</v>
      </c>
      <c r="G1152" t="s">
        <v>149</v>
      </c>
      <c r="H1152" t="s">
        <v>93</v>
      </c>
      <c r="I1152" t="s">
        <v>150</v>
      </c>
      <c r="J1152" t="s">
        <v>57</v>
      </c>
      <c r="K1152" t="s">
        <v>81</v>
      </c>
      <c r="L1152" t="s">
        <v>129</v>
      </c>
      <c r="M1152" s="24">
        <v>8</v>
      </c>
      <c r="N1152" s="25">
        <v>46358.22</v>
      </c>
      <c r="O1152" s="25">
        <f t="shared" si="140"/>
        <v>370865.76</v>
      </c>
      <c r="P1152" s="25">
        <v>26572.95</v>
      </c>
      <c r="Q1152" s="25">
        <f t="shared" si="141"/>
        <v>212583.6</v>
      </c>
      <c r="R1152" s="25">
        <f t="shared" si="142"/>
        <v>158282.16</v>
      </c>
      <c r="S1152" s="26">
        <f t="shared" si="143"/>
        <v>0.42679097687529849</v>
      </c>
    </row>
    <row r="1153" spans="1:19" ht="15" x14ac:dyDescent="0.2">
      <c r="A1153" s="23">
        <v>45956</v>
      </c>
      <c r="B1153">
        <f t="shared" si="136"/>
        <v>2025</v>
      </c>
      <c r="C1153">
        <f t="shared" si="137"/>
        <v>10</v>
      </c>
      <c r="D1153" t="str">
        <f t="shared" si="138"/>
        <v>Octubre</v>
      </c>
      <c r="E1153" t="str">
        <f t="shared" si="139"/>
        <v>T4</v>
      </c>
      <c r="F1153" t="s">
        <v>1278</v>
      </c>
      <c r="G1153" t="s">
        <v>92</v>
      </c>
      <c r="H1153" t="s">
        <v>93</v>
      </c>
      <c r="I1153" t="s">
        <v>94</v>
      </c>
      <c r="J1153" t="s">
        <v>70</v>
      </c>
      <c r="K1153" t="s">
        <v>84</v>
      </c>
      <c r="L1153" t="s">
        <v>85</v>
      </c>
      <c r="M1153" s="24">
        <v>4</v>
      </c>
      <c r="N1153" s="25">
        <v>20269.39</v>
      </c>
      <c r="O1153" s="25">
        <f t="shared" si="140"/>
        <v>81077.56</v>
      </c>
      <c r="P1153" s="25">
        <v>12316.95</v>
      </c>
      <c r="Q1153" s="25">
        <f t="shared" si="141"/>
        <v>49267.8</v>
      </c>
      <c r="R1153" s="25">
        <f t="shared" si="142"/>
        <v>31809.759999999995</v>
      </c>
      <c r="S1153" s="26">
        <f t="shared" si="143"/>
        <v>0.39233741123931204</v>
      </c>
    </row>
    <row r="1154" spans="1:19" ht="15" x14ac:dyDescent="0.2">
      <c r="A1154" s="23">
        <v>45957</v>
      </c>
      <c r="B1154">
        <f t="shared" ref="B1154:B1217" si="144">YEAR($A1154)</f>
        <v>2025</v>
      </c>
      <c r="C1154">
        <f t="shared" ref="C1154:C1217" si="145">MONTH($A1154)</f>
        <v>10</v>
      </c>
      <c r="D1154" t="str">
        <f t="shared" ref="D1154:D1217" si="146">INDEX(lst_Meses,MONTH($A1154))</f>
        <v>Octubre</v>
      </c>
      <c r="E1154" t="str">
        <f t="shared" ref="E1154:E1217" si="147">"T"&amp;ROUNDUP(MONTH($A1154)/3,0)</f>
        <v>T4</v>
      </c>
      <c r="F1154" t="s">
        <v>1279</v>
      </c>
      <c r="G1154" t="s">
        <v>144</v>
      </c>
      <c r="H1154" t="s">
        <v>88</v>
      </c>
      <c r="I1154" t="s">
        <v>145</v>
      </c>
      <c r="J1154" t="s">
        <v>77</v>
      </c>
      <c r="K1154" t="s">
        <v>78</v>
      </c>
      <c r="L1154" t="s">
        <v>79</v>
      </c>
      <c r="M1154" s="24">
        <v>12</v>
      </c>
      <c r="N1154" s="25">
        <v>13724.96</v>
      </c>
      <c r="O1154" s="25">
        <f t="shared" ref="O1154:O1217" si="148">$M1154*$N1154</f>
        <v>164699.51999999999</v>
      </c>
      <c r="P1154" s="25">
        <v>7280.65</v>
      </c>
      <c r="Q1154" s="25">
        <f t="shared" ref="Q1154:Q1217" si="149">$M1154*$P1154</f>
        <v>87367.799999999988</v>
      </c>
      <c r="R1154" s="25">
        <f t="shared" ref="R1154:R1217" si="150">$O1154-$Q1154</f>
        <v>77331.72</v>
      </c>
      <c r="S1154" s="26">
        <f t="shared" ref="S1154:S1217" si="151">IFERROR($R1154/$O1154,0)</f>
        <v>0.46953215164197204</v>
      </c>
    </row>
    <row r="1155" spans="1:19" ht="15" x14ac:dyDescent="0.2">
      <c r="A1155" s="23">
        <v>45958</v>
      </c>
      <c r="B1155">
        <f t="shared" si="144"/>
        <v>2025</v>
      </c>
      <c r="C1155">
        <f t="shared" si="145"/>
        <v>10</v>
      </c>
      <c r="D1155" t="str">
        <f t="shared" si="146"/>
        <v>Octubre</v>
      </c>
      <c r="E1155" t="str">
        <f t="shared" si="147"/>
        <v>T4</v>
      </c>
      <c r="F1155" t="s">
        <v>1280</v>
      </c>
      <c r="G1155" t="s">
        <v>74</v>
      </c>
      <c r="H1155" t="s">
        <v>75</v>
      </c>
      <c r="I1155" t="s">
        <v>76</v>
      </c>
      <c r="J1155" t="s">
        <v>64</v>
      </c>
      <c r="K1155" t="s">
        <v>96</v>
      </c>
      <c r="L1155" t="s">
        <v>97</v>
      </c>
      <c r="M1155" s="24">
        <v>2</v>
      </c>
      <c r="N1155" s="25">
        <v>43580.14</v>
      </c>
      <c r="O1155" s="25">
        <f t="shared" si="148"/>
        <v>87160.28</v>
      </c>
      <c r="P1155" s="25">
        <v>30565.75</v>
      </c>
      <c r="Q1155" s="25">
        <f t="shared" si="149"/>
        <v>61131.5</v>
      </c>
      <c r="R1155" s="25">
        <f t="shared" si="150"/>
        <v>26028.78</v>
      </c>
      <c r="S1155" s="26">
        <f t="shared" si="151"/>
        <v>0.29863121137288684</v>
      </c>
    </row>
    <row r="1156" spans="1:19" ht="15" x14ac:dyDescent="0.2">
      <c r="A1156" s="23">
        <v>45958</v>
      </c>
      <c r="B1156">
        <f t="shared" si="144"/>
        <v>2025</v>
      </c>
      <c r="C1156">
        <f t="shared" si="145"/>
        <v>10</v>
      </c>
      <c r="D1156" t="str">
        <f t="shared" si="146"/>
        <v>Octubre</v>
      </c>
      <c r="E1156" t="str">
        <f t="shared" si="147"/>
        <v>T4</v>
      </c>
      <c r="F1156" t="s">
        <v>1281</v>
      </c>
      <c r="G1156" t="s">
        <v>74</v>
      </c>
      <c r="H1156" t="s">
        <v>75</v>
      </c>
      <c r="I1156" t="s">
        <v>76</v>
      </c>
      <c r="J1156" t="s">
        <v>77</v>
      </c>
      <c r="K1156" t="s">
        <v>107</v>
      </c>
      <c r="L1156" t="s">
        <v>108</v>
      </c>
      <c r="M1156" s="24">
        <v>11</v>
      </c>
      <c r="N1156" s="25">
        <v>42342.76</v>
      </c>
      <c r="O1156" s="25">
        <f t="shared" si="148"/>
        <v>465770.36000000004</v>
      </c>
      <c r="P1156" s="25">
        <v>27794.5</v>
      </c>
      <c r="Q1156" s="25">
        <f t="shared" si="149"/>
        <v>305739.5</v>
      </c>
      <c r="R1156" s="25">
        <f t="shared" si="150"/>
        <v>160030.86000000004</v>
      </c>
      <c r="S1156" s="26">
        <f t="shared" si="151"/>
        <v>0.34358317691147205</v>
      </c>
    </row>
    <row r="1157" spans="1:19" ht="15" x14ac:dyDescent="0.2">
      <c r="A1157" s="23">
        <v>45958</v>
      </c>
      <c r="B1157">
        <f t="shared" si="144"/>
        <v>2025</v>
      </c>
      <c r="C1157">
        <f t="shared" si="145"/>
        <v>10</v>
      </c>
      <c r="D1157" t="str">
        <f t="shared" si="146"/>
        <v>Octubre</v>
      </c>
      <c r="E1157" t="str">
        <f t="shared" si="147"/>
        <v>T4</v>
      </c>
      <c r="F1157" t="s">
        <v>1282</v>
      </c>
      <c r="G1157" t="s">
        <v>74</v>
      </c>
      <c r="H1157" t="s">
        <v>75</v>
      </c>
      <c r="I1157" t="s">
        <v>76</v>
      </c>
      <c r="J1157" t="s">
        <v>77</v>
      </c>
      <c r="K1157" t="s">
        <v>78</v>
      </c>
      <c r="L1157" t="s">
        <v>117</v>
      </c>
      <c r="M1157" s="24">
        <v>8</v>
      </c>
      <c r="N1157" s="25">
        <v>41993.46</v>
      </c>
      <c r="O1157" s="25">
        <f t="shared" si="148"/>
        <v>335947.68</v>
      </c>
      <c r="P1157" s="25">
        <v>27896.57</v>
      </c>
      <c r="Q1157" s="25">
        <f t="shared" si="149"/>
        <v>223172.56</v>
      </c>
      <c r="R1157" s="25">
        <f t="shared" si="150"/>
        <v>112775.12</v>
      </c>
      <c r="S1157" s="26">
        <f t="shared" si="151"/>
        <v>0.33569251021468582</v>
      </c>
    </row>
    <row r="1158" spans="1:19" ht="15" x14ac:dyDescent="0.2">
      <c r="A1158" s="23">
        <v>45958</v>
      </c>
      <c r="B1158">
        <f t="shared" si="144"/>
        <v>2025</v>
      </c>
      <c r="C1158">
        <f t="shared" si="145"/>
        <v>10</v>
      </c>
      <c r="D1158" t="str">
        <f t="shared" si="146"/>
        <v>Octubre</v>
      </c>
      <c r="E1158" t="str">
        <f t="shared" si="147"/>
        <v>T4</v>
      </c>
      <c r="F1158" t="s">
        <v>1283</v>
      </c>
      <c r="G1158" t="s">
        <v>188</v>
      </c>
      <c r="H1158" t="s">
        <v>88</v>
      </c>
      <c r="I1158" t="s">
        <v>189</v>
      </c>
      <c r="J1158" t="s">
        <v>57</v>
      </c>
      <c r="K1158" t="s">
        <v>81</v>
      </c>
      <c r="L1158" t="s">
        <v>129</v>
      </c>
      <c r="M1158" s="24">
        <v>8</v>
      </c>
      <c r="N1158" s="25">
        <v>75371.11</v>
      </c>
      <c r="O1158" s="25">
        <f t="shared" si="148"/>
        <v>602968.88</v>
      </c>
      <c r="P1158" s="25">
        <v>40851.730000000003</v>
      </c>
      <c r="Q1158" s="25">
        <f t="shared" si="149"/>
        <v>326813.84000000003</v>
      </c>
      <c r="R1158" s="25">
        <f t="shared" si="150"/>
        <v>276155.03999999998</v>
      </c>
      <c r="S1158" s="26">
        <f t="shared" si="151"/>
        <v>0.45799219356063614</v>
      </c>
    </row>
    <row r="1159" spans="1:19" ht="15" x14ac:dyDescent="0.2">
      <c r="A1159" s="23">
        <v>45958</v>
      </c>
      <c r="B1159">
        <f t="shared" si="144"/>
        <v>2025</v>
      </c>
      <c r="C1159">
        <f t="shared" si="145"/>
        <v>10</v>
      </c>
      <c r="D1159" t="str">
        <f t="shared" si="146"/>
        <v>Octubre</v>
      </c>
      <c r="E1159" t="str">
        <f t="shared" si="147"/>
        <v>T4</v>
      </c>
      <c r="F1159" t="s">
        <v>1284</v>
      </c>
      <c r="G1159" t="s">
        <v>188</v>
      </c>
      <c r="H1159" t="s">
        <v>88</v>
      </c>
      <c r="I1159" t="s">
        <v>189</v>
      </c>
      <c r="J1159" t="s">
        <v>57</v>
      </c>
      <c r="K1159" t="s">
        <v>58</v>
      </c>
      <c r="L1159" t="s">
        <v>162</v>
      </c>
      <c r="M1159" s="24">
        <v>3</v>
      </c>
      <c r="N1159" s="25">
        <v>83135.44</v>
      </c>
      <c r="O1159" s="25">
        <f t="shared" si="148"/>
        <v>249406.32</v>
      </c>
      <c r="P1159" s="25">
        <v>46992.15</v>
      </c>
      <c r="Q1159" s="25">
        <f t="shared" si="149"/>
        <v>140976.45000000001</v>
      </c>
      <c r="R1159" s="25">
        <f t="shared" si="150"/>
        <v>108429.87</v>
      </c>
      <c r="S1159" s="26">
        <f t="shared" si="151"/>
        <v>0.43475189401776182</v>
      </c>
    </row>
    <row r="1160" spans="1:19" ht="15" x14ac:dyDescent="0.2">
      <c r="A1160" s="23">
        <v>45958</v>
      </c>
      <c r="B1160">
        <f t="shared" si="144"/>
        <v>2025</v>
      </c>
      <c r="C1160">
        <f t="shared" si="145"/>
        <v>10</v>
      </c>
      <c r="D1160" t="str">
        <f t="shared" si="146"/>
        <v>Octubre</v>
      </c>
      <c r="E1160" t="str">
        <f t="shared" si="147"/>
        <v>T4</v>
      </c>
      <c r="F1160" t="s">
        <v>1285</v>
      </c>
      <c r="G1160" t="s">
        <v>92</v>
      </c>
      <c r="H1160" t="s">
        <v>93</v>
      </c>
      <c r="I1160" t="s">
        <v>94</v>
      </c>
      <c r="J1160" t="s">
        <v>64</v>
      </c>
      <c r="K1160" t="s">
        <v>96</v>
      </c>
      <c r="L1160" t="s">
        <v>97</v>
      </c>
      <c r="M1160" s="24">
        <v>14</v>
      </c>
      <c r="N1160" s="25">
        <v>19748.12</v>
      </c>
      <c r="O1160" s="25">
        <f t="shared" si="148"/>
        <v>276473.68</v>
      </c>
      <c r="P1160" s="25">
        <v>11845.96</v>
      </c>
      <c r="Q1160" s="25">
        <f t="shared" si="149"/>
        <v>165843.44</v>
      </c>
      <c r="R1160" s="25">
        <f t="shared" si="150"/>
        <v>110630.23999999999</v>
      </c>
      <c r="S1160" s="26">
        <f t="shared" si="151"/>
        <v>0.40014745707439492</v>
      </c>
    </row>
    <row r="1161" spans="1:19" ht="15" x14ac:dyDescent="0.2">
      <c r="A1161" s="23">
        <v>45958</v>
      </c>
      <c r="B1161">
        <f t="shared" si="144"/>
        <v>2025</v>
      </c>
      <c r="C1161">
        <f t="shared" si="145"/>
        <v>10</v>
      </c>
      <c r="D1161" t="str">
        <f t="shared" si="146"/>
        <v>Octubre</v>
      </c>
      <c r="E1161" t="str">
        <f t="shared" si="147"/>
        <v>T4</v>
      </c>
      <c r="F1161" t="s">
        <v>1286</v>
      </c>
      <c r="G1161" t="s">
        <v>92</v>
      </c>
      <c r="H1161" t="s">
        <v>93</v>
      </c>
      <c r="I1161" t="s">
        <v>94</v>
      </c>
      <c r="J1161" t="s">
        <v>70</v>
      </c>
      <c r="K1161" t="s">
        <v>71</v>
      </c>
      <c r="L1161" t="s">
        <v>72</v>
      </c>
      <c r="M1161" s="24">
        <v>8</v>
      </c>
      <c r="N1161" s="25">
        <v>19635.16</v>
      </c>
      <c r="O1161" s="25">
        <f t="shared" si="148"/>
        <v>157081.28</v>
      </c>
      <c r="P1161" s="25">
        <v>12228.3</v>
      </c>
      <c r="Q1161" s="25">
        <f t="shared" si="149"/>
        <v>97826.4</v>
      </c>
      <c r="R1161" s="25">
        <f t="shared" si="150"/>
        <v>59254.880000000005</v>
      </c>
      <c r="S1161" s="26">
        <f t="shared" si="151"/>
        <v>0.37722432615777007</v>
      </c>
    </row>
    <row r="1162" spans="1:19" ht="15" x14ac:dyDescent="0.2">
      <c r="A1162" s="23">
        <v>45962</v>
      </c>
      <c r="B1162">
        <f t="shared" si="144"/>
        <v>2025</v>
      </c>
      <c r="C1162">
        <f t="shared" si="145"/>
        <v>11</v>
      </c>
      <c r="D1162" t="str">
        <f t="shared" si="146"/>
        <v>Noviembre</v>
      </c>
      <c r="E1162" t="str">
        <f t="shared" si="147"/>
        <v>T4</v>
      </c>
      <c r="F1162" t="s">
        <v>1287</v>
      </c>
      <c r="G1162" t="s">
        <v>54</v>
      </c>
      <c r="H1162" t="s">
        <v>55</v>
      </c>
      <c r="I1162" t="s">
        <v>56</v>
      </c>
      <c r="J1162" t="s">
        <v>77</v>
      </c>
      <c r="K1162" t="s">
        <v>78</v>
      </c>
      <c r="L1162" t="s">
        <v>79</v>
      </c>
      <c r="M1162" s="24">
        <v>19</v>
      </c>
      <c r="N1162" s="25">
        <v>56614.99</v>
      </c>
      <c r="O1162" s="25">
        <f t="shared" si="148"/>
        <v>1075684.81</v>
      </c>
      <c r="P1162" s="25">
        <v>41777.08</v>
      </c>
      <c r="Q1162" s="25">
        <f t="shared" si="149"/>
        <v>793764.52</v>
      </c>
      <c r="R1162" s="25">
        <f t="shared" si="150"/>
        <v>281920.29000000004</v>
      </c>
      <c r="S1162" s="26">
        <f t="shared" si="151"/>
        <v>0.26208447621380843</v>
      </c>
    </row>
    <row r="1163" spans="1:19" ht="15" x14ac:dyDescent="0.2">
      <c r="A1163" s="23">
        <v>45962</v>
      </c>
      <c r="B1163">
        <f t="shared" si="144"/>
        <v>2025</v>
      </c>
      <c r="C1163">
        <f t="shared" si="145"/>
        <v>11</v>
      </c>
      <c r="D1163" t="str">
        <f t="shared" si="146"/>
        <v>Noviembre</v>
      </c>
      <c r="E1163" t="str">
        <f t="shared" si="147"/>
        <v>T4</v>
      </c>
      <c r="F1163" t="s">
        <v>1288</v>
      </c>
      <c r="G1163" t="s">
        <v>54</v>
      </c>
      <c r="H1163" t="s">
        <v>55</v>
      </c>
      <c r="I1163" t="s">
        <v>56</v>
      </c>
      <c r="J1163" t="s">
        <v>125</v>
      </c>
      <c r="K1163" t="s">
        <v>126</v>
      </c>
      <c r="L1163" t="s">
        <v>131</v>
      </c>
      <c r="M1163" s="24">
        <v>5</v>
      </c>
      <c r="N1163" s="25">
        <v>55905.24</v>
      </c>
      <c r="O1163" s="25">
        <f t="shared" si="148"/>
        <v>279526.2</v>
      </c>
      <c r="P1163" s="25">
        <v>42505.4</v>
      </c>
      <c r="Q1163" s="25">
        <f t="shared" si="149"/>
        <v>212527</v>
      </c>
      <c r="R1163" s="25">
        <f t="shared" si="150"/>
        <v>66999.200000000012</v>
      </c>
      <c r="S1163" s="26">
        <f t="shared" si="151"/>
        <v>0.23968844423170355</v>
      </c>
    </row>
    <row r="1164" spans="1:19" ht="15" x14ac:dyDescent="0.2">
      <c r="A1164" s="23">
        <v>45962</v>
      </c>
      <c r="B1164">
        <f t="shared" si="144"/>
        <v>2025</v>
      </c>
      <c r="C1164">
        <f t="shared" si="145"/>
        <v>11</v>
      </c>
      <c r="D1164" t="str">
        <f t="shared" si="146"/>
        <v>Noviembre</v>
      </c>
      <c r="E1164" t="str">
        <f t="shared" si="147"/>
        <v>T4</v>
      </c>
      <c r="F1164" t="s">
        <v>1289</v>
      </c>
      <c r="G1164" t="s">
        <v>87</v>
      </c>
      <c r="H1164" t="s">
        <v>88</v>
      </c>
      <c r="I1164" t="s">
        <v>89</v>
      </c>
      <c r="J1164" t="s">
        <v>70</v>
      </c>
      <c r="K1164" t="s">
        <v>71</v>
      </c>
      <c r="L1164" t="s">
        <v>90</v>
      </c>
      <c r="M1164" s="24">
        <v>4</v>
      </c>
      <c r="N1164" s="25">
        <v>51189.77</v>
      </c>
      <c r="O1164" s="25">
        <f t="shared" si="148"/>
        <v>204759.08</v>
      </c>
      <c r="P1164" s="25">
        <v>29741.24</v>
      </c>
      <c r="Q1164" s="25">
        <f t="shared" si="149"/>
        <v>118964.96</v>
      </c>
      <c r="R1164" s="25">
        <f t="shared" si="150"/>
        <v>85794.119999999981</v>
      </c>
      <c r="S1164" s="26">
        <f t="shared" si="151"/>
        <v>0.41900031979045804</v>
      </c>
    </row>
    <row r="1165" spans="1:19" ht="15" x14ac:dyDescent="0.2">
      <c r="A1165" s="23">
        <v>45963</v>
      </c>
      <c r="B1165">
        <f t="shared" si="144"/>
        <v>2025</v>
      </c>
      <c r="C1165">
        <f t="shared" si="145"/>
        <v>11</v>
      </c>
      <c r="D1165" t="str">
        <f t="shared" si="146"/>
        <v>Noviembre</v>
      </c>
      <c r="E1165" t="str">
        <f t="shared" si="147"/>
        <v>T4</v>
      </c>
      <c r="F1165" t="s">
        <v>1290</v>
      </c>
      <c r="G1165" t="s">
        <v>54</v>
      </c>
      <c r="H1165" t="s">
        <v>55</v>
      </c>
      <c r="I1165" t="s">
        <v>56</v>
      </c>
      <c r="J1165" t="s">
        <v>70</v>
      </c>
      <c r="K1165" t="s">
        <v>71</v>
      </c>
      <c r="L1165" t="s">
        <v>72</v>
      </c>
      <c r="M1165" s="24">
        <v>1</v>
      </c>
      <c r="N1165" s="25">
        <v>22976.94</v>
      </c>
      <c r="O1165" s="25">
        <f t="shared" si="148"/>
        <v>22976.94</v>
      </c>
      <c r="P1165" s="25">
        <v>18377.48</v>
      </c>
      <c r="Q1165" s="25">
        <f t="shared" si="149"/>
        <v>18377.48</v>
      </c>
      <c r="R1165" s="25">
        <f t="shared" si="150"/>
        <v>4599.4599999999991</v>
      </c>
      <c r="S1165" s="26">
        <f t="shared" si="151"/>
        <v>0.20017722116173867</v>
      </c>
    </row>
    <row r="1166" spans="1:19" ht="15" x14ac:dyDescent="0.2">
      <c r="A1166" s="23">
        <v>45963</v>
      </c>
      <c r="B1166">
        <f t="shared" si="144"/>
        <v>2025</v>
      </c>
      <c r="C1166">
        <f t="shared" si="145"/>
        <v>11</v>
      </c>
      <c r="D1166" t="str">
        <f t="shared" si="146"/>
        <v>Noviembre</v>
      </c>
      <c r="E1166" t="str">
        <f t="shared" si="147"/>
        <v>T4</v>
      </c>
      <c r="F1166" t="s">
        <v>1291</v>
      </c>
      <c r="G1166" t="s">
        <v>100</v>
      </c>
      <c r="H1166" t="s">
        <v>88</v>
      </c>
      <c r="I1166" t="s">
        <v>101</v>
      </c>
      <c r="J1166" t="s">
        <v>77</v>
      </c>
      <c r="K1166" t="s">
        <v>78</v>
      </c>
      <c r="L1166" t="s">
        <v>79</v>
      </c>
      <c r="M1166" s="24">
        <v>11</v>
      </c>
      <c r="N1166" s="25">
        <v>38048.080000000002</v>
      </c>
      <c r="O1166" s="25">
        <f t="shared" si="148"/>
        <v>418528.88</v>
      </c>
      <c r="P1166" s="25">
        <v>20808.28</v>
      </c>
      <c r="Q1166" s="25">
        <f t="shared" si="149"/>
        <v>228891.08</v>
      </c>
      <c r="R1166" s="25">
        <f t="shared" si="150"/>
        <v>189637.80000000002</v>
      </c>
      <c r="S1166" s="26">
        <f t="shared" si="151"/>
        <v>0.45310564948349563</v>
      </c>
    </row>
    <row r="1167" spans="1:19" ht="15" x14ac:dyDescent="0.2">
      <c r="A1167" s="23">
        <v>45964</v>
      </c>
      <c r="B1167">
        <f t="shared" si="144"/>
        <v>2025</v>
      </c>
      <c r="C1167">
        <f t="shared" si="145"/>
        <v>11</v>
      </c>
      <c r="D1167" t="str">
        <f t="shared" si="146"/>
        <v>Noviembre</v>
      </c>
      <c r="E1167" t="str">
        <f t="shared" si="147"/>
        <v>T4</v>
      </c>
      <c r="F1167" t="s">
        <v>1292</v>
      </c>
      <c r="G1167" t="s">
        <v>74</v>
      </c>
      <c r="H1167" t="s">
        <v>75</v>
      </c>
      <c r="I1167" t="s">
        <v>76</v>
      </c>
      <c r="J1167" t="s">
        <v>70</v>
      </c>
      <c r="K1167" t="s">
        <v>71</v>
      </c>
      <c r="L1167" t="s">
        <v>72</v>
      </c>
      <c r="M1167" s="24">
        <v>5</v>
      </c>
      <c r="N1167" s="25">
        <v>38995.43</v>
      </c>
      <c r="O1167" s="25">
        <f t="shared" si="148"/>
        <v>194977.15</v>
      </c>
      <c r="P1167" s="25">
        <v>28523.3</v>
      </c>
      <c r="Q1167" s="25">
        <f t="shared" si="149"/>
        <v>142616.5</v>
      </c>
      <c r="R1167" s="25">
        <f t="shared" si="150"/>
        <v>52360.649999999994</v>
      </c>
      <c r="S1167" s="26">
        <f t="shared" si="151"/>
        <v>0.26854762211879696</v>
      </c>
    </row>
    <row r="1168" spans="1:19" ht="15" x14ac:dyDescent="0.2">
      <c r="A1168" s="23">
        <v>45964</v>
      </c>
      <c r="B1168">
        <f t="shared" si="144"/>
        <v>2025</v>
      </c>
      <c r="C1168">
        <f t="shared" si="145"/>
        <v>11</v>
      </c>
      <c r="D1168" t="str">
        <f t="shared" si="146"/>
        <v>Noviembre</v>
      </c>
      <c r="E1168" t="str">
        <f t="shared" si="147"/>
        <v>T4</v>
      </c>
      <c r="F1168" t="s">
        <v>1293</v>
      </c>
      <c r="G1168" t="s">
        <v>144</v>
      </c>
      <c r="H1168" t="s">
        <v>88</v>
      </c>
      <c r="I1168" t="s">
        <v>145</v>
      </c>
      <c r="J1168" t="s">
        <v>125</v>
      </c>
      <c r="K1168" t="s">
        <v>126</v>
      </c>
      <c r="L1168" t="s">
        <v>127</v>
      </c>
      <c r="M1168" s="24">
        <v>11</v>
      </c>
      <c r="N1168" s="25">
        <v>13290.54</v>
      </c>
      <c r="O1168" s="25">
        <f t="shared" si="148"/>
        <v>146195.94</v>
      </c>
      <c r="P1168" s="25">
        <v>7284.27</v>
      </c>
      <c r="Q1168" s="25">
        <f t="shared" si="149"/>
        <v>80126.97</v>
      </c>
      <c r="R1168" s="25">
        <f t="shared" si="150"/>
        <v>66068.97</v>
      </c>
      <c r="S1168" s="26">
        <f t="shared" si="151"/>
        <v>0.45192068945279879</v>
      </c>
    </row>
    <row r="1169" spans="1:19" ht="15" x14ac:dyDescent="0.2">
      <c r="A1169" s="23">
        <v>45964</v>
      </c>
      <c r="B1169">
        <f t="shared" si="144"/>
        <v>2025</v>
      </c>
      <c r="C1169">
        <f t="shared" si="145"/>
        <v>11</v>
      </c>
      <c r="D1169" t="str">
        <f t="shared" si="146"/>
        <v>Noviembre</v>
      </c>
      <c r="E1169" t="str">
        <f t="shared" si="147"/>
        <v>T4</v>
      </c>
      <c r="F1169" t="s">
        <v>1294</v>
      </c>
      <c r="G1169" t="s">
        <v>92</v>
      </c>
      <c r="H1169" t="s">
        <v>93</v>
      </c>
      <c r="I1169" t="s">
        <v>94</v>
      </c>
      <c r="J1169" t="s">
        <v>77</v>
      </c>
      <c r="K1169" t="s">
        <v>78</v>
      </c>
      <c r="L1169" t="s">
        <v>79</v>
      </c>
      <c r="M1169" s="24">
        <v>2</v>
      </c>
      <c r="N1169" s="25">
        <v>20954.29</v>
      </c>
      <c r="O1169" s="25">
        <f t="shared" si="148"/>
        <v>41908.58</v>
      </c>
      <c r="P1169" s="25">
        <v>11881.76</v>
      </c>
      <c r="Q1169" s="25">
        <f t="shared" si="149"/>
        <v>23763.52</v>
      </c>
      <c r="R1169" s="25">
        <f t="shared" si="150"/>
        <v>18145.060000000001</v>
      </c>
      <c r="S1169" s="26">
        <f t="shared" si="151"/>
        <v>0.4329676643780343</v>
      </c>
    </row>
    <row r="1170" spans="1:19" ht="15" x14ac:dyDescent="0.2">
      <c r="A1170" s="23">
        <v>45964</v>
      </c>
      <c r="B1170">
        <f t="shared" si="144"/>
        <v>2025</v>
      </c>
      <c r="C1170">
        <f t="shared" si="145"/>
        <v>11</v>
      </c>
      <c r="D1170" t="str">
        <f t="shared" si="146"/>
        <v>Noviembre</v>
      </c>
      <c r="E1170" t="str">
        <f t="shared" si="147"/>
        <v>T4</v>
      </c>
      <c r="F1170" t="s">
        <v>1295</v>
      </c>
      <c r="G1170" t="s">
        <v>92</v>
      </c>
      <c r="H1170" t="s">
        <v>93</v>
      </c>
      <c r="I1170" t="s">
        <v>94</v>
      </c>
      <c r="J1170" t="s">
        <v>70</v>
      </c>
      <c r="K1170" t="s">
        <v>84</v>
      </c>
      <c r="L1170" t="s">
        <v>85</v>
      </c>
      <c r="M1170" s="24">
        <v>9</v>
      </c>
      <c r="N1170" s="25">
        <v>18539.490000000002</v>
      </c>
      <c r="O1170" s="25">
        <f t="shared" si="148"/>
        <v>166855.41</v>
      </c>
      <c r="P1170" s="25">
        <v>11577.33</v>
      </c>
      <c r="Q1170" s="25">
        <f t="shared" si="149"/>
        <v>104195.97</v>
      </c>
      <c r="R1170" s="25">
        <f t="shared" si="150"/>
        <v>62659.44</v>
      </c>
      <c r="S1170" s="26">
        <f t="shared" si="151"/>
        <v>0.37553136574954327</v>
      </c>
    </row>
    <row r="1171" spans="1:19" ht="15" x14ac:dyDescent="0.2">
      <c r="A1171" s="23">
        <v>45965</v>
      </c>
      <c r="B1171">
        <f t="shared" si="144"/>
        <v>2025</v>
      </c>
      <c r="C1171">
        <f t="shared" si="145"/>
        <v>11</v>
      </c>
      <c r="D1171" t="str">
        <f t="shared" si="146"/>
        <v>Noviembre</v>
      </c>
      <c r="E1171" t="str">
        <f t="shared" si="147"/>
        <v>T4</v>
      </c>
      <c r="F1171" t="s">
        <v>1296</v>
      </c>
      <c r="G1171" t="s">
        <v>282</v>
      </c>
      <c r="H1171" t="s">
        <v>55</v>
      </c>
      <c r="I1171" t="s">
        <v>56</v>
      </c>
      <c r="J1171" t="s">
        <v>77</v>
      </c>
      <c r="K1171" t="s">
        <v>107</v>
      </c>
      <c r="L1171" t="s">
        <v>112</v>
      </c>
      <c r="M1171" s="24">
        <v>4</v>
      </c>
      <c r="N1171" s="25">
        <v>490780.9</v>
      </c>
      <c r="O1171" s="25">
        <f t="shared" si="148"/>
        <v>1963123.6</v>
      </c>
      <c r="P1171" s="25">
        <v>355824.59</v>
      </c>
      <c r="Q1171" s="25">
        <f t="shared" si="149"/>
        <v>1423298.36</v>
      </c>
      <c r="R1171" s="25">
        <f t="shared" si="150"/>
        <v>539825.24</v>
      </c>
      <c r="S1171" s="26">
        <f t="shared" si="151"/>
        <v>0.27498280801066216</v>
      </c>
    </row>
    <row r="1172" spans="1:19" ht="15" x14ac:dyDescent="0.2">
      <c r="A1172" s="23">
        <v>45965</v>
      </c>
      <c r="B1172">
        <f t="shared" si="144"/>
        <v>2025</v>
      </c>
      <c r="C1172">
        <f t="shared" si="145"/>
        <v>11</v>
      </c>
      <c r="D1172" t="str">
        <f t="shared" si="146"/>
        <v>Noviembre</v>
      </c>
      <c r="E1172" t="str">
        <f t="shared" si="147"/>
        <v>T4</v>
      </c>
      <c r="F1172" t="s">
        <v>1297</v>
      </c>
      <c r="G1172" t="s">
        <v>105</v>
      </c>
      <c r="H1172" t="s">
        <v>62</v>
      </c>
      <c r="I1172" t="s">
        <v>106</v>
      </c>
      <c r="J1172" t="s">
        <v>70</v>
      </c>
      <c r="K1172" t="s">
        <v>84</v>
      </c>
      <c r="L1172" t="s">
        <v>85</v>
      </c>
      <c r="M1172" s="24">
        <v>288</v>
      </c>
      <c r="N1172" s="25">
        <v>1747.84</v>
      </c>
      <c r="O1172" s="25">
        <f t="shared" si="148"/>
        <v>503377.91999999998</v>
      </c>
      <c r="P1172" s="25">
        <v>1497.72</v>
      </c>
      <c r="Q1172" s="25">
        <f t="shared" si="149"/>
        <v>431343.35999999999</v>
      </c>
      <c r="R1172" s="25">
        <f t="shared" si="150"/>
        <v>72034.559999999998</v>
      </c>
      <c r="S1172" s="26">
        <f t="shared" si="151"/>
        <v>0.14310234346393264</v>
      </c>
    </row>
    <row r="1173" spans="1:19" ht="15" x14ac:dyDescent="0.2">
      <c r="A1173" s="23">
        <v>45965</v>
      </c>
      <c r="B1173">
        <f t="shared" si="144"/>
        <v>2025</v>
      </c>
      <c r="C1173">
        <f t="shared" si="145"/>
        <v>11</v>
      </c>
      <c r="D1173" t="str">
        <f t="shared" si="146"/>
        <v>Noviembre</v>
      </c>
      <c r="E1173" t="str">
        <f t="shared" si="147"/>
        <v>T4</v>
      </c>
      <c r="F1173" t="s">
        <v>1298</v>
      </c>
      <c r="G1173" t="s">
        <v>110</v>
      </c>
      <c r="H1173" t="s">
        <v>62</v>
      </c>
      <c r="I1173" t="s">
        <v>69</v>
      </c>
      <c r="J1173" t="s">
        <v>70</v>
      </c>
      <c r="K1173" t="s">
        <v>71</v>
      </c>
      <c r="L1173" t="s">
        <v>90</v>
      </c>
      <c r="M1173" s="24">
        <v>60</v>
      </c>
      <c r="N1173" s="25">
        <v>6217.79</v>
      </c>
      <c r="O1173" s="25">
        <f t="shared" si="148"/>
        <v>373067.4</v>
      </c>
      <c r="P1173" s="25">
        <v>5364.01</v>
      </c>
      <c r="Q1173" s="25">
        <f t="shared" si="149"/>
        <v>321840.60000000003</v>
      </c>
      <c r="R1173" s="25">
        <f t="shared" si="150"/>
        <v>51226.799999999988</v>
      </c>
      <c r="S1173" s="26">
        <f t="shared" si="151"/>
        <v>0.1373124534601522</v>
      </c>
    </row>
    <row r="1174" spans="1:19" ht="15" x14ac:dyDescent="0.2">
      <c r="A1174" s="23">
        <v>45965</v>
      </c>
      <c r="B1174">
        <f t="shared" si="144"/>
        <v>2025</v>
      </c>
      <c r="C1174">
        <f t="shared" si="145"/>
        <v>11</v>
      </c>
      <c r="D1174" t="str">
        <f t="shared" si="146"/>
        <v>Noviembre</v>
      </c>
      <c r="E1174" t="str">
        <f t="shared" si="147"/>
        <v>T4</v>
      </c>
      <c r="F1174" t="s">
        <v>1299</v>
      </c>
      <c r="G1174" t="s">
        <v>74</v>
      </c>
      <c r="H1174" t="s">
        <v>75</v>
      </c>
      <c r="I1174" t="s">
        <v>76</v>
      </c>
      <c r="J1174" t="s">
        <v>70</v>
      </c>
      <c r="K1174" t="s">
        <v>84</v>
      </c>
      <c r="L1174" t="s">
        <v>85</v>
      </c>
      <c r="M1174" s="24">
        <v>5</v>
      </c>
      <c r="N1174" s="25">
        <v>35556.58</v>
      </c>
      <c r="O1174" s="25">
        <f t="shared" si="148"/>
        <v>177782.90000000002</v>
      </c>
      <c r="P1174" s="25">
        <v>25349.41</v>
      </c>
      <c r="Q1174" s="25">
        <f t="shared" si="149"/>
        <v>126747.05</v>
      </c>
      <c r="R1174" s="25">
        <f t="shared" si="150"/>
        <v>51035.85000000002</v>
      </c>
      <c r="S1174" s="26">
        <f t="shared" si="151"/>
        <v>0.2870683850921546</v>
      </c>
    </row>
    <row r="1175" spans="1:19" ht="15" x14ac:dyDescent="0.2">
      <c r="A1175" s="23">
        <v>45966</v>
      </c>
      <c r="B1175">
        <f t="shared" si="144"/>
        <v>2025</v>
      </c>
      <c r="C1175">
        <f t="shared" si="145"/>
        <v>11</v>
      </c>
      <c r="D1175" t="str">
        <f t="shared" si="146"/>
        <v>Noviembre</v>
      </c>
      <c r="E1175" t="str">
        <f t="shared" si="147"/>
        <v>T4</v>
      </c>
      <c r="F1175" t="s">
        <v>1300</v>
      </c>
      <c r="G1175" t="s">
        <v>54</v>
      </c>
      <c r="H1175" t="s">
        <v>55</v>
      </c>
      <c r="I1175" t="s">
        <v>56</v>
      </c>
      <c r="J1175" t="s">
        <v>77</v>
      </c>
      <c r="K1175" t="s">
        <v>107</v>
      </c>
      <c r="L1175" t="s">
        <v>108</v>
      </c>
      <c r="M1175" s="24">
        <v>13</v>
      </c>
      <c r="N1175" s="25">
        <v>58392.56</v>
      </c>
      <c r="O1175" s="25">
        <f t="shared" si="148"/>
        <v>759103.28</v>
      </c>
      <c r="P1175" s="25">
        <v>41907.589999999997</v>
      </c>
      <c r="Q1175" s="25">
        <f t="shared" si="149"/>
        <v>544798.66999999993</v>
      </c>
      <c r="R1175" s="25">
        <f t="shared" si="150"/>
        <v>214304.6100000001</v>
      </c>
      <c r="S1175" s="26">
        <f t="shared" si="151"/>
        <v>0.28231284944520341</v>
      </c>
    </row>
    <row r="1176" spans="1:19" ht="15" x14ac:dyDescent="0.2">
      <c r="A1176" s="23">
        <v>45966</v>
      </c>
      <c r="B1176">
        <f t="shared" si="144"/>
        <v>2025</v>
      </c>
      <c r="C1176">
        <f t="shared" si="145"/>
        <v>11</v>
      </c>
      <c r="D1176" t="str">
        <f t="shared" si="146"/>
        <v>Noviembre</v>
      </c>
      <c r="E1176" t="str">
        <f t="shared" si="147"/>
        <v>T4</v>
      </c>
      <c r="F1176" t="s">
        <v>1301</v>
      </c>
      <c r="G1176" t="s">
        <v>74</v>
      </c>
      <c r="H1176" t="s">
        <v>75</v>
      </c>
      <c r="I1176" t="s">
        <v>76</v>
      </c>
      <c r="J1176" t="s">
        <v>125</v>
      </c>
      <c r="K1176" t="s">
        <v>126</v>
      </c>
      <c r="L1176" t="s">
        <v>127</v>
      </c>
      <c r="M1176" s="24">
        <v>3</v>
      </c>
      <c r="N1176" s="25">
        <v>47514.16</v>
      </c>
      <c r="O1176" s="25">
        <f t="shared" si="148"/>
        <v>142542.48000000001</v>
      </c>
      <c r="P1176" s="25">
        <v>32269.42</v>
      </c>
      <c r="Q1176" s="25">
        <f t="shared" si="149"/>
        <v>96808.26</v>
      </c>
      <c r="R1176" s="25">
        <f t="shared" si="150"/>
        <v>45734.220000000016</v>
      </c>
      <c r="S1176" s="26">
        <f t="shared" si="151"/>
        <v>0.32084624878141599</v>
      </c>
    </row>
    <row r="1177" spans="1:19" ht="15" x14ac:dyDescent="0.2">
      <c r="A1177" s="23">
        <v>45966</v>
      </c>
      <c r="B1177">
        <f t="shared" si="144"/>
        <v>2025</v>
      </c>
      <c r="C1177">
        <f t="shared" si="145"/>
        <v>11</v>
      </c>
      <c r="D1177" t="str">
        <f t="shared" si="146"/>
        <v>Noviembre</v>
      </c>
      <c r="E1177" t="str">
        <f t="shared" si="147"/>
        <v>T4</v>
      </c>
      <c r="F1177" t="s">
        <v>1302</v>
      </c>
      <c r="G1177" t="s">
        <v>87</v>
      </c>
      <c r="H1177" t="s">
        <v>88</v>
      </c>
      <c r="I1177" t="s">
        <v>89</v>
      </c>
      <c r="J1177" t="s">
        <v>64</v>
      </c>
      <c r="K1177" t="s">
        <v>65</v>
      </c>
      <c r="L1177" t="s">
        <v>123</v>
      </c>
      <c r="M1177" s="24">
        <v>18</v>
      </c>
      <c r="N1177" s="25">
        <v>56183.839999999997</v>
      </c>
      <c r="O1177" s="25">
        <f t="shared" si="148"/>
        <v>1011309.1199999999</v>
      </c>
      <c r="P1177" s="25">
        <v>32270.03</v>
      </c>
      <c r="Q1177" s="25">
        <f t="shared" si="149"/>
        <v>580860.54</v>
      </c>
      <c r="R1177" s="25">
        <f t="shared" si="150"/>
        <v>430448.57999999984</v>
      </c>
      <c r="S1177" s="26">
        <f t="shared" si="151"/>
        <v>0.42563502245485524</v>
      </c>
    </row>
    <row r="1178" spans="1:19" ht="15" x14ac:dyDescent="0.2">
      <c r="A1178" s="23">
        <v>45966</v>
      </c>
      <c r="B1178">
        <f t="shared" si="144"/>
        <v>2025</v>
      </c>
      <c r="C1178">
        <f t="shared" si="145"/>
        <v>11</v>
      </c>
      <c r="D1178" t="str">
        <f t="shared" si="146"/>
        <v>Noviembre</v>
      </c>
      <c r="E1178" t="str">
        <f t="shared" si="147"/>
        <v>T4</v>
      </c>
      <c r="F1178" t="s">
        <v>1303</v>
      </c>
      <c r="G1178" t="s">
        <v>87</v>
      </c>
      <c r="H1178" t="s">
        <v>88</v>
      </c>
      <c r="I1178" t="s">
        <v>89</v>
      </c>
      <c r="J1178" t="s">
        <v>57</v>
      </c>
      <c r="K1178" t="s">
        <v>81</v>
      </c>
      <c r="L1178" t="s">
        <v>129</v>
      </c>
      <c r="M1178" s="24">
        <v>10</v>
      </c>
      <c r="N1178" s="25">
        <v>55637.14</v>
      </c>
      <c r="O1178" s="25">
        <f t="shared" si="148"/>
        <v>556371.4</v>
      </c>
      <c r="P1178" s="25">
        <v>31350.52</v>
      </c>
      <c r="Q1178" s="25">
        <f t="shared" si="149"/>
        <v>313505.2</v>
      </c>
      <c r="R1178" s="25">
        <f t="shared" si="150"/>
        <v>242866.2</v>
      </c>
      <c r="S1178" s="26">
        <f t="shared" si="151"/>
        <v>0.43651812440395032</v>
      </c>
    </row>
    <row r="1179" spans="1:19" ht="15" x14ac:dyDescent="0.2">
      <c r="A1179" s="23">
        <v>45966</v>
      </c>
      <c r="B1179">
        <f t="shared" si="144"/>
        <v>2025</v>
      </c>
      <c r="C1179">
        <f t="shared" si="145"/>
        <v>11</v>
      </c>
      <c r="D1179" t="str">
        <f t="shared" si="146"/>
        <v>Noviembre</v>
      </c>
      <c r="E1179" t="str">
        <f t="shared" si="147"/>
        <v>T4</v>
      </c>
      <c r="F1179" t="s">
        <v>1304</v>
      </c>
      <c r="G1179" t="s">
        <v>100</v>
      </c>
      <c r="H1179" t="s">
        <v>88</v>
      </c>
      <c r="I1179" t="s">
        <v>101</v>
      </c>
      <c r="J1179" t="s">
        <v>57</v>
      </c>
      <c r="K1179" t="s">
        <v>58</v>
      </c>
      <c r="L1179" t="s">
        <v>162</v>
      </c>
      <c r="M1179" s="24">
        <v>2</v>
      </c>
      <c r="N1179" s="25">
        <v>44549.84</v>
      </c>
      <c r="O1179" s="25">
        <f t="shared" si="148"/>
        <v>89099.68</v>
      </c>
      <c r="P1179" s="25">
        <v>24564.92</v>
      </c>
      <c r="Q1179" s="25">
        <f t="shared" si="149"/>
        <v>49129.84</v>
      </c>
      <c r="R1179" s="25">
        <f t="shared" si="150"/>
        <v>39969.839999999997</v>
      </c>
      <c r="S1179" s="26">
        <f t="shared" si="151"/>
        <v>0.4485968973177008</v>
      </c>
    </row>
    <row r="1180" spans="1:19" ht="15" x14ac:dyDescent="0.2">
      <c r="A1180" s="23">
        <v>45966</v>
      </c>
      <c r="B1180">
        <f t="shared" si="144"/>
        <v>2025</v>
      </c>
      <c r="C1180">
        <f t="shared" si="145"/>
        <v>11</v>
      </c>
      <c r="D1180" t="str">
        <f t="shared" si="146"/>
        <v>Noviembre</v>
      </c>
      <c r="E1180" t="str">
        <f t="shared" si="147"/>
        <v>T4</v>
      </c>
      <c r="F1180" t="s">
        <v>1305</v>
      </c>
      <c r="G1180" t="s">
        <v>144</v>
      </c>
      <c r="H1180" t="s">
        <v>88</v>
      </c>
      <c r="I1180" t="s">
        <v>145</v>
      </c>
      <c r="J1180" t="s">
        <v>125</v>
      </c>
      <c r="K1180" t="s">
        <v>126</v>
      </c>
      <c r="L1180" t="s">
        <v>131</v>
      </c>
      <c r="M1180" s="24">
        <v>17</v>
      </c>
      <c r="N1180" s="25">
        <v>12391.98</v>
      </c>
      <c r="O1180" s="25">
        <f t="shared" si="148"/>
        <v>210663.66</v>
      </c>
      <c r="P1180" s="25">
        <v>6934.54</v>
      </c>
      <c r="Q1180" s="25">
        <f t="shared" si="149"/>
        <v>117887.18</v>
      </c>
      <c r="R1180" s="25">
        <f t="shared" si="150"/>
        <v>92776.48000000001</v>
      </c>
      <c r="S1180" s="26">
        <f t="shared" si="151"/>
        <v>0.44040096901382997</v>
      </c>
    </row>
    <row r="1181" spans="1:19" ht="15" x14ac:dyDescent="0.2">
      <c r="A1181" s="23">
        <v>45966</v>
      </c>
      <c r="B1181">
        <f t="shared" si="144"/>
        <v>2025</v>
      </c>
      <c r="C1181">
        <f t="shared" si="145"/>
        <v>11</v>
      </c>
      <c r="D1181" t="str">
        <f t="shared" si="146"/>
        <v>Noviembre</v>
      </c>
      <c r="E1181" t="str">
        <f t="shared" si="147"/>
        <v>T4</v>
      </c>
      <c r="F1181" t="s">
        <v>1306</v>
      </c>
      <c r="G1181" t="s">
        <v>92</v>
      </c>
      <c r="H1181" t="s">
        <v>93</v>
      </c>
      <c r="I1181" t="s">
        <v>94</v>
      </c>
      <c r="J1181" t="s">
        <v>70</v>
      </c>
      <c r="K1181" t="s">
        <v>71</v>
      </c>
      <c r="L1181" t="s">
        <v>72</v>
      </c>
      <c r="M1181" s="24">
        <v>3</v>
      </c>
      <c r="N1181" s="25">
        <v>17677.79</v>
      </c>
      <c r="O1181" s="25">
        <f t="shared" si="148"/>
        <v>53033.37</v>
      </c>
      <c r="P1181" s="25">
        <v>10972.38</v>
      </c>
      <c r="Q1181" s="25">
        <f t="shared" si="149"/>
        <v>32917.14</v>
      </c>
      <c r="R1181" s="25">
        <f t="shared" si="150"/>
        <v>20116.230000000003</v>
      </c>
      <c r="S1181" s="26">
        <f t="shared" si="151"/>
        <v>0.37931268557891007</v>
      </c>
    </row>
    <row r="1182" spans="1:19" ht="15" x14ac:dyDescent="0.2">
      <c r="A1182" s="23">
        <v>45967</v>
      </c>
      <c r="B1182">
        <f t="shared" si="144"/>
        <v>2025</v>
      </c>
      <c r="C1182">
        <f t="shared" si="145"/>
        <v>11</v>
      </c>
      <c r="D1182" t="str">
        <f t="shared" si="146"/>
        <v>Noviembre</v>
      </c>
      <c r="E1182" t="str">
        <f t="shared" si="147"/>
        <v>T4</v>
      </c>
      <c r="F1182" t="s">
        <v>1307</v>
      </c>
      <c r="G1182" t="s">
        <v>61</v>
      </c>
      <c r="H1182" t="s">
        <v>62</v>
      </c>
      <c r="I1182" t="s">
        <v>63</v>
      </c>
      <c r="J1182" t="s">
        <v>64</v>
      </c>
      <c r="K1182" t="s">
        <v>96</v>
      </c>
      <c r="L1182" t="s">
        <v>97</v>
      </c>
      <c r="M1182" s="24">
        <v>202</v>
      </c>
      <c r="N1182" s="25">
        <v>5711.7</v>
      </c>
      <c r="O1182" s="25">
        <f t="shared" si="148"/>
        <v>1153763.3999999999</v>
      </c>
      <c r="P1182" s="25">
        <v>4789.6499999999996</v>
      </c>
      <c r="Q1182" s="25">
        <f t="shared" si="149"/>
        <v>967509.29999999993</v>
      </c>
      <c r="R1182" s="25">
        <f t="shared" si="150"/>
        <v>186254.09999999998</v>
      </c>
      <c r="S1182" s="26">
        <f t="shared" si="151"/>
        <v>0.16143179788854456</v>
      </c>
    </row>
    <row r="1183" spans="1:19" ht="15" x14ac:dyDescent="0.2">
      <c r="A1183" s="23">
        <v>45967</v>
      </c>
      <c r="B1183">
        <f t="shared" si="144"/>
        <v>2025</v>
      </c>
      <c r="C1183">
        <f t="shared" si="145"/>
        <v>11</v>
      </c>
      <c r="D1183" t="str">
        <f t="shared" si="146"/>
        <v>Noviembre</v>
      </c>
      <c r="E1183" t="str">
        <f t="shared" si="147"/>
        <v>T4</v>
      </c>
      <c r="F1183" t="s">
        <v>1308</v>
      </c>
      <c r="G1183" t="s">
        <v>105</v>
      </c>
      <c r="H1183" t="s">
        <v>62</v>
      </c>
      <c r="I1183" t="s">
        <v>106</v>
      </c>
      <c r="J1183" t="s">
        <v>57</v>
      </c>
      <c r="K1183" t="s">
        <v>81</v>
      </c>
      <c r="L1183" t="s">
        <v>129</v>
      </c>
      <c r="M1183" s="24">
        <v>240</v>
      </c>
      <c r="N1183" s="25">
        <v>1843.63</v>
      </c>
      <c r="O1183" s="25">
        <f t="shared" si="148"/>
        <v>442471.2</v>
      </c>
      <c r="P1183" s="25">
        <v>1501.96</v>
      </c>
      <c r="Q1183" s="25">
        <f t="shared" si="149"/>
        <v>360470.4</v>
      </c>
      <c r="R1183" s="25">
        <f t="shared" si="150"/>
        <v>82000.799999999988</v>
      </c>
      <c r="S1183" s="26">
        <f t="shared" si="151"/>
        <v>0.18532460417762781</v>
      </c>
    </row>
    <row r="1184" spans="1:19" ht="15" x14ac:dyDescent="0.2">
      <c r="A1184" s="23">
        <v>45967</v>
      </c>
      <c r="B1184">
        <f t="shared" si="144"/>
        <v>2025</v>
      </c>
      <c r="C1184">
        <f t="shared" si="145"/>
        <v>11</v>
      </c>
      <c r="D1184" t="str">
        <f t="shared" si="146"/>
        <v>Noviembre</v>
      </c>
      <c r="E1184" t="str">
        <f t="shared" si="147"/>
        <v>T4</v>
      </c>
      <c r="F1184" t="s">
        <v>1309</v>
      </c>
      <c r="G1184" t="s">
        <v>68</v>
      </c>
      <c r="H1184" t="s">
        <v>62</v>
      </c>
      <c r="I1184" t="s">
        <v>69</v>
      </c>
      <c r="J1184" t="s">
        <v>57</v>
      </c>
      <c r="K1184" t="s">
        <v>81</v>
      </c>
      <c r="L1184" t="s">
        <v>129</v>
      </c>
      <c r="M1184" s="24">
        <v>147</v>
      </c>
      <c r="N1184" s="25">
        <v>3166.4</v>
      </c>
      <c r="O1184" s="25">
        <f t="shared" si="148"/>
        <v>465460.8</v>
      </c>
      <c r="P1184" s="25">
        <v>2606.4899999999998</v>
      </c>
      <c r="Q1184" s="25">
        <f t="shared" si="149"/>
        <v>383154.02999999997</v>
      </c>
      <c r="R1184" s="25">
        <f t="shared" si="150"/>
        <v>82306.770000000019</v>
      </c>
      <c r="S1184" s="26">
        <f t="shared" si="151"/>
        <v>0.17682857503789798</v>
      </c>
    </row>
    <row r="1185" spans="1:19" ht="15" x14ac:dyDescent="0.2">
      <c r="A1185" s="23">
        <v>45967</v>
      </c>
      <c r="B1185">
        <f t="shared" si="144"/>
        <v>2025</v>
      </c>
      <c r="C1185">
        <f t="shared" si="145"/>
        <v>11</v>
      </c>
      <c r="D1185" t="str">
        <f t="shared" si="146"/>
        <v>Noviembre</v>
      </c>
      <c r="E1185" t="str">
        <f t="shared" si="147"/>
        <v>T4</v>
      </c>
      <c r="F1185" t="s">
        <v>1310</v>
      </c>
      <c r="G1185" t="s">
        <v>61</v>
      </c>
      <c r="H1185" t="s">
        <v>62</v>
      </c>
      <c r="I1185" t="s">
        <v>63</v>
      </c>
      <c r="J1185" t="s">
        <v>70</v>
      </c>
      <c r="K1185" t="s">
        <v>84</v>
      </c>
      <c r="L1185" t="s">
        <v>85</v>
      </c>
      <c r="M1185" s="24">
        <v>40</v>
      </c>
      <c r="N1185" s="25">
        <v>5628.96</v>
      </c>
      <c r="O1185" s="25">
        <f t="shared" si="148"/>
        <v>225158.39999999999</v>
      </c>
      <c r="P1185" s="25">
        <v>4785.63</v>
      </c>
      <c r="Q1185" s="25">
        <f t="shared" si="149"/>
        <v>191425.2</v>
      </c>
      <c r="R1185" s="25">
        <f t="shared" si="150"/>
        <v>33733.199999999983</v>
      </c>
      <c r="S1185" s="26">
        <f t="shared" si="151"/>
        <v>0.14981986015178639</v>
      </c>
    </row>
    <row r="1186" spans="1:19" ht="15" x14ac:dyDescent="0.2">
      <c r="A1186" s="23">
        <v>45967</v>
      </c>
      <c r="B1186">
        <f t="shared" si="144"/>
        <v>2025</v>
      </c>
      <c r="C1186">
        <f t="shared" si="145"/>
        <v>11</v>
      </c>
      <c r="D1186" t="str">
        <f t="shared" si="146"/>
        <v>Noviembre</v>
      </c>
      <c r="E1186" t="str">
        <f t="shared" si="147"/>
        <v>T4</v>
      </c>
      <c r="F1186" t="s">
        <v>1311</v>
      </c>
      <c r="G1186" t="s">
        <v>100</v>
      </c>
      <c r="H1186" t="s">
        <v>88</v>
      </c>
      <c r="I1186" t="s">
        <v>101</v>
      </c>
      <c r="J1186" t="s">
        <v>64</v>
      </c>
      <c r="K1186" t="s">
        <v>65</v>
      </c>
      <c r="L1186" t="s">
        <v>66</v>
      </c>
      <c r="M1186" s="24">
        <v>18</v>
      </c>
      <c r="N1186" s="25">
        <v>36635.51</v>
      </c>
      <c r="O1186" s="25">
        <f t="shared" si="148"/>
        <v>659439.18000000005</v>
      </c>
      <c r="P1186" s="25">
        <v>20526.46</v>
      </c>
      <c r="Q1186" s="25">
        <f t="shared" si="149"/>
        <v>369476.27999999997</v>
      </c>
      <c r="R1186" s="25">
        <f t="shared" si="150"/>
        <v>289962.90000000008</v>
      </c>
      <c r="S1186" s="26">
        <f t="shared" si="151"/>
        <v>0.43971136200915462</v>
      </c>
    </row>
    <row r="1187" spans="1:19" ht="15" x14ac:dyDescent="0.2">
      <c r="A1187" s="23">
        <v>45967</v>
      </c>
      <c r="B1187">
        <f t="shared" si="144"/>
        <v>2025</v>
      </c>
      <c r="C1187">
        <f t="shared" si="145"/>
        <v>11</v>
      </c>
      <c r="D1187" t="str">
        <f t="shared" si="146"/>
        <v>Noviembre</v>
      </c>
      <c r="E1187" t="str">
        <f t="shared" si="147"/>
        <v>T4</v>
      </c>
      <c r="F1187" t="s">
        <v>1312</v>
      </c>
      <c r="G1187" t="s">
        <v>87</v>
      </c>
      <c r="H1187" t="s">
        <v>88</v>
      </c>
      <c r="I1187" t="s">
        <v>89</v>
      </c>
      <c r="J1187" t="s">
        <v>64</v>
      </c>
      <c r="K1187" t="s">
        <v>96</v>
      </c>
      <c r="L1187" t="s">
        <v>97</v>
      </c>
      <c r="M1187" s="24">
        <v>7</v>
      </c>
      <c r="N1187" s="25">
        <v>58155.98</v>
      </c>
      <c r="O1187" s="25">
        <f t="shared" si="148"/>
        <v>407091.86000000004</v>
      </c>
      <c r="P1187" s="25">
        <v>32306.11</v>
      </c>
      <c r="Q1187" s="25">
        <f t="shared" si="149"/>
        <v>226142.77000000002</v>
      </c>
      <c r="R1187" s="25">
        <f t="shared" si="150"/>
        <v>180949.09000000003</v>
      </c>
      <c r="S1187" s="26">
        <f t="shared" si="151"/>
        <v>0.44449203676045013</v>
      </c>
    </row>
    <row r="1188" spans="1:19" ht="15" x14ac:dyDescent="0.2">
      <c r="A1188" s="23">
        <v>45967</v>
      </c>
      <c r="B1188">
        <f t="shared" si="144"/>
        <v>2025</v>
      </c>
      <c r="C1188">
        <f t="shared" si="145"/>
        <v>11</v>
      </c>
      <c r="D1188" t="str">
        <f t="shared" si="146"/>
        <v>Noviembre</v>
      </c>
      <c r="E1188" t="str">
        <f t="shared" si="147"/>
        <v>T4</v>
      </c>
      <c r="F1188" t="s">
        <v>1313</v>
      </c>
      <c r="G1188" t="s">
        <v>87</v>
      </c>
      <c r="H1188" t="s">
        <v>88</v>
      </c>
      <c r="I1188" t="s">
        <v>89</v>
      </c>
      <c r="J1188" t="s">
        <v>57</v>
      </c>
      <c r="K1188" t="s">
        <v>58</v>
      </c>
      <c r="L1188" t="s">
        <v>59</v>
      </c>
      <c r="M1188" s="24">
        <v>3</v>
      </c>
      <c r="N1188" s="25">
        <v>62871.95</v>
      </c>
      <c r="O1188" s="25">
        <f t="shared" si="148"/>
        <v>188615.84999999998</v>
      </c>
      <c r="P1188" s="25">
        <v>34176.58</v>
      </c>
      <c r="Q1188" s="25">
        <f t="shared" si="149"/>
        <v>102529.74</v>
      </c>
      <c r="R1188" s="25">
        <f t="shared" si="150"/>
        <v>86086.109999999971</v>
      </c>
      <c r="S1188" s="26">
        <f t="shared" si="151"/>
        <v>0.45640973438870586</v>
      </c>
    </row>
    <row r="1189" spans="1:19" ht="15" x14ac:dyDescent="0.2">
      <c r="A1189" s="23">
        <v>45968</v>
      </c>
      <c r="B1189">
        <f t="shared" si="144"/>
        <v>2025</v>
      </c>
      <c r="C1189">
        <f t="shared" si="145"/>
        <v>11</v>
      </c>
      <c r="D1189" t="str">
        <f t="shared" si="146"/>
        <v>Noviembre</v>
      </c>
      <c r="E1189" t="str">
        <f t="shared" si="147"/>
        <v>T4</v>
      </c>
      <c r="F1189" t="s">
        <v>1314</v>
      </c>
      <c r="G1189" t="s">
        <v>183</v>
      </c>
      <c r="H1189" t="s">
        <v>55</v>
      </c>
      <c r="I1189" t="s">
        <v>184</v>
      </c>
      <c r="J1189" t="s">
        <v>64</v>
      </c>
      <c r="K1189" t="s">
        <v>96</v>
      </c>
      <c r="L1189" t="s">
        <v>103</v>
      </c>
      <c r="M1189" s="24">
        <v>4</v>
      </c>
      <c r="N1189" s="25">
        <v>415962.69</v>
      </c>
      <c r="O1189" s="25">
        <f t="shared" si="148"/>
        <v>1663850.76</v>
      </c>
      <c r="P1189" s="25">
        <v>319210.74</v>
      </c>
      <c r="Q1189" s="25">
        <f t="shared" si="149"/>
        <v>1276842.96</v>
      </c>
      <c r="R1189" s="25">
        <f t="shared" si="150"/>
        <v>387007.80000000005</v>
      </c>
      <c r="S1189" s="26">
        <f t="shared" si="151"/>
        <v>0.23259766398760429</v>
      </c>
    </row>
    <row r="1190" spans="1:19" ht="15" x14ac:dyDescent="0.2">
      <c r="A1190" s="23">
        <v>45968</v>
      </c>
      <c r="B1190">
        <f t="shared" si="144"/>
        <v>2025</v>
      </c>
      <c r="C1190">
        <f t="shared" si="145"/>
        <v>11</v>
      </c>
      <c r="D1190" t="str">
        <f t="shared" si="146"/>
        <v>Noviembre</v>
      </c>
      <c r="E1190" t="str">
        <f t="shared" si="147"/>
        <v>T4</v>
      </c>
      <c r="F1190" t="s">
        <v>1315</v>
      </c>
      <c r="G1190" t="s">
        <v>54</v>
      </c>
      <c r="H1190" t="s">
        <v>55</v>
      </c>
      <c r="I1190" t="s">
        <v>56</v>
      </c>
      <c r="J1190" t="s">
        <v>57</v>
      </c>
      <c r="K1190" t="s">
        <v>58</v>
      </c>
      <c r="L1190" t="s">
        <v>162</v>
      </c>
      <c r="M1190" s="24">
        <v>13</v>
      </c>
      <c r="N1190" s="25">
        <v>56157.41</v>
      </c>
      <c r="O1190" s="25">
        <f t="shared" si="148"/>
        <v>730046.33000000007</v>
      </c>
      <c r="P1190" s="25">
        <v>42987.67</v>
      </c>
      <c r="Q1190" s="25">
        <f t="shared" si="149"/>
        <v>558839.71</v>
      </c>
      <c r="R1190" s="25">
        <f t="shared" si="150"/>
        <v>171206.62000000011</v>
      </c>
      <c r="S1190" s="26">
        <f t="shared" si="151"/>
        <v>0.23451473278415097</v>
      </c>
    </row>
    <row r="1191" spans="1:19" ht="15" x14ac:dyDescent="0.2">
      <c r="A1191" s="23">
        <v>45968</v>
      </c>
      <c r="B1191">
        <f t="shared" si="144"/>
        <v>2025</v>
      </c>
      <c r="C1191">
        <f t="shared" si="145"/>
        <v>11</v>
      </c>
      <c r="D1191" t="str">
        <f t="shared" si="146"/>
        <v>Noviembre</v>
      </c>
      <c r="E1191" t="str">
        <f t="shared" si="147"/>
        <v>T4</v>
      </c>
      <c r="F1191" t="s">
        <v>1316</v>
      </c>
      <c r="G1191" t="s">
        <v>183</v>
      </c>
      <c r="H1191" t="s">
        <v>55</v>
      </c>
      <c r="I1191" t="s">
        <v>184</v>
      </c>
      <c r="J1191" t="s">
        <v>125</v>
      </c>
      <c r="K1191" t="s">
        <v>138</v>
      </c>
      <c r="L1191" t="s">
        <v>139</v>
      </c>
      <c r="M1191" s="24">
        <v>2</v>
      </c>
      <c r="N1191" s="25">
        <v>483432.32</v>
      </c>
      <c r="O1191" s="25">
        <f t="shared" si="148"/>
        <v>966864.64</v>
      </c>
      <c r="P1191" s="25">
        <v>355854.24</v>
      </c>
      <c r="Q1191" s="25">
        <f t="shared" si="149"/>
        <v>711708.48</v>
      </c>
      <c r="R1191" s="25">
        <f t="shared" si="150"/>
        <v>255156.16000000003</v>
      </c>
      <c r="S1191" s="26">
        <f t="shared" si="151"/>
        <v>0.26390060143268868</v>
      </c>
    </row>
    <row r="1192" spans="1:19" ht="15" x14ac:dyDescent="0.2">
      <c r="A1192" s="23">
        <v>45968</v>
      </c>
      <c r="B1192">
        <f t="shared" si="144"/>
        <v>2025</v>
      </c>
      <c r="C1192">
        <f t="shared" si="145"/>
        <v>11</v>
      </c>
      <c r="D1192" t="str">
        <f t="shared" si="146"/>
        <v>Noviembre</v>
      </c>
      <c r="E1192" t="str">
        <f t="shared" si="147"/>
        <v>T4</v>
      </c>
      <c r="F1192" t="s">
        <v>1317</v>
      </c>
      <c r="G1192" t="s">
        <v>54</v>
      </c>
      <c r="H1192" t="s">
        <v>55</v>
      </c>
      <c r="I1192" t="s">
        <v>56</v>
      </c>
      <c r="J1192" t="s">
        <v>70</v>
      </c>
      <c r="K1192" t="s">
        <v>71</v>
      </c>
      <c r="L1192" t="s">
        <v>90</v>
      </c>
      <c r="M1192" s="24">
        <v>7</v>
      </c>
      <c r="N1192" s="25">
        <v>55000.12</v>
      </c>
      <c r="O1192" s="25">
        <f t="shared" si="148"/>
        <v>385000.84</v>
      </c>
      <c r="P1192" s="25">
        <v>44059.86</v>
      </c>
      <c r="Q1192" s="25">
        <f t="shared" si="149"/>
        <v>308419.02</v>
      </c>
      <c r="R1192" s="25">
        <f t="shared" si="150"/>
        <v>76581.820000000007</v>
      </c>
      <c r="S1192" s="26">
        <f t="shared" si="151"/>
        <v>0.19891338418897997</v>
      </c>
    </row>
    <row r="1193" spans="1:19" ht="15" x14ac:dyDescent="0.2">
      <c r="A1193" s="23">
        <v>45968</v>
      </c>
      <c r="B1193">
        <f t="shared" si="144"/>
        <v>2025</v>
      </c>
      <c r="C1193">
        <f t="shared" si="145"/>
        <v>11</v>
      </c>
      <c r="D1193" t="str">
        <f t="shared" si="146"/>
        <v>Noviembre</v>
      </c>
      <c r="E1193" t="str">
        <f t="shared" si="147"/>
        <v>T4</v>
      </c>
      <c r="F1193" t="s">
        <v>1318</v>
      </c>
      <c r="G1193" t="s">
        <v>68</v>
      </c>
      <c r="H1193" t="s">
        <v>62</v>
      </c>
      <c r="I1193" t="s">
        <v>69</v>
      </c>
      <c r="J1193" t="s">
        <v>64</v>
      </c>
      <c r="K1193" t="s">
        <v>96</v>
      </c>
      <c r="L1193" t="s">
        <v>97</v>
      </c>
      <c r="M1193" s="24">
        <v>258</v>
      </c>
      <c r="N1193" s="25">
        <v>3136.01</v>
      </c>
      <c r="O1193" s="25">
        <f t="shared" si="148"/>
        <v>809090.58000000007</v>
      </c>
      <c r="P1193" s="25">
        <v>2604.54</v>
      </c>
      <c r="Q1193" s="25">
        <f t="shared" si="149"/>
        <v>671971.32</v>
      </c>
      <c r="R1193" s="25">
        <f t="shared" si="150"/>
        <v>137119.26000000013</v>
      </c>
      <c r="S1193" s="26">
        <f t="shared" si="151"/>
        <v>0.16947331162847071</v>
      </c>
    </row>
    <row r="1194" spans="1:19" ht="15" x14ac:dyDescent="0.2">
      <c r="A1194" s="23">
        <v>45969</v>
      </c>
      <c r="B1194">
        <f t="shared" si="144"/>
        <v>2025</v>
      </c>
      <c r="C1194">
        <f t="shared" si="145"/>
        <v>11</v>
      </c>
      <c r="D1194" t="str">
        <f t="shared" si="146"/>
        <v>Noviembre</v>
      </c>
      <c r="E1194" t="str">
        <f t="shared" si="147"/>
        <v>T4</v>
      </c>
      <c r="F1194" t="s">
        <v>1319</v>
      </c>
      <c r="G1194" t="s">
        <v>74</v>
      </c>
      <c r="H1194" t="s">
        <v>75</v>
      </c>
      <c r="I1194" t="s">
        <v>76</v>
      </c>
      <c r="J1194" t="s">
        <v>64</v>
      </c>
      <c r="K1194" t="s">
        <v>96</v>
      </c>
      <c r="L1194" t="s">
        <v>103</v>
      </c>
      <c r="M1194" s="24">
        <v>30</v>
      </c>
      <c r="N1194" s="25">
        <v>40153.35</v>
      </c>
      <c r="O1194" s="25">
        <f t="shared" si="148"/>
        <v>1204600.5</v>
      </c>
      <c r="P1194" s="25">
        <v>28366.71</v>
      </c>
      <c r="Q1194" s="25">
        <f t="shared" si="149"/>
        <v>851001.29999999993</v>
      </c>
      <c r="R1194" s="25">
        <f t="shared" si="150"/>
        <v>353599.20000000007</v>
      </c>
      <c r="S1194" s="26">
        <f t="shared" si="151"/>
        <v>0.29354063857685603</v>
      </c>
    </row>
    <row r="1195" spans="1:19" ht="15" x14ac:dyDescent="0.2">
      <c r="A1195" s="23">
        <v>45969</v>
      </c>
      <c r="B1195">
        <f t="shared" si="144"/>
        <v>2025</v>
      </c>
      <c r="C1195">
        <f t="shared" si="145"/>
        <v>11</v>
      </c>
      <c r="D1195" t="str">
        <f t="shared" si="146"/>
        <v>Noviembre</v>
      </c>
      <c r="E1195" t="str">
        <f t="shared" si="147"/>
        <v>T4</v>
      </c>
      <c r="F1195" t="s">
        <v>1320</v>
      </c>
      <c r="G1195" t="s">
        <v>206</v>
      </c>
      <c r="H1195" t="s">
        <v>93</v>
      </c>
      <c r="I1195" t="s">
        <v>207</v>
      </c>
      <c r="J1195" t="s">
        <v>57</v>
      </c>
      <c r="K1195" t="s">
        <v>81</v>
      </c>
      <c r="L1195" t="s">
        <v>82</v>
      </c>
      <c r="M1195" s="24">
        <v>3</v>
      </c>
      <c r="N1195" s="25">
        <v>129341.2</v>
      </c>
      <c r="O1195" s="25">
        <f t="shared" si="148"/>
        <v>388023.6</v>
      </c>
      <c r="P1195" s="25">
        <v>75284.69</v>
      </c>
      <c r="Q1195" s="25">
        <f t="shared" si="149"/>
        <v>225854.07</v>
      </c>
      <c r="R1195" s="25">
        <f t="shared" si="150"/>
        <v>162169.52999999997</v>
      </c>
      <c r="S1195" s="26">
        <f t="shared" si="151"/>
        <v>0.41793728525790697</v>
      </c>
    </row>
    <row r="1196" spans="1:19" ht="15" x14ac:dyDescent="0.2">
      <c r="A1196" s="23">
        <v>45969</v>
      </c>
      <c r="B1196">
        <f t="shared" si="144"/>
        <v>2025</v>
      </c>
      <c r="C1196">
        <f t="shared" si="145"/>
        <v>11</v>
      </c>
      <c r="D1196" t="str">
        <f t="shared" si="146"/>
        <v>Noviembre</v>
      </c>
      <c r="E1196" t="str">
        <f t="shared" si="147"/>
        <v>T4</v>
      </c>
      <c r="F1196" t="s">
        <v>1321</v>
      </c>
      <c r="G1196" t="s">
        <v>149</v>
      </c>
      <c r="H1196" t="s">
        <v>93</v>
      </c>
      <c r="I1196" t="s">
        <v>150</v>
      </c>
      <c r="J1196" t="s">
        <v>125</v>
      </c>
      <c r="K1196" t="s">
        <v>126</v>
      </c>
      <c r="L1196" t="s">
        <v>131</v>
      </c>
      <c r="M1196" s="24">
        <v>4</v>
      </c>
      <c r="N1196" s="25">
        <v>40460.11</v>
      </c>
      <c r="O1196" s="25">
        <f t="shared" si="148"/>
        <v>161840.44</v>
      </c>
      <c r="P1196" s="25">
        <v>24174.03</v>
      </c>
      <c r="Q1196" s="25">
        <f t="shared" si="149"/>
        <v>96696.12</v>
      </c>
      <c r="R1196" s="25">
        <f t="shared" si="150"/>
        <v>65144.320000000007</v>
      </c>
      <c r="S1196" s="26">
        <f t="shared" si="151"/>
        <v>0.40252189131468008</v>
      </c>
    </row>
    <row r="1197" spans="1:19" ht="15" x14ac:dyDescent="0.2">
      <c r="A1197" s="23">
        <v>45970</v>
      </c>
      <c r="B1197">
        <f t="shared" si="144"/>
        <v>2025</v>
      </c>
      <c r="C1197">
        <f t="shared" si="145"/>
        <v>11</v>
      </c>
      <c r="D1197" t="str">
        <f t="shared" si="146"/>
        <v>Noviembre</v>
      </c>
      <c r="E1197" t="str">
        <f t="shared" si="147"/>
        <v>T4</v>
      </c>
      <c r="F1197" t="s">
        <v>1322</v>
      </c>
      <c r="G1197" t="s">
        <v>54</v>
      </c>
      <c r="H1197" t="s">
        <v>55</v>
      </c>
      <c r="I1197" t="s">
        <v>56</v>
      </c>
      <c r="J1197" t="s">
        <v>64</v>
      </c>
      <c r="K1197" t="s">
        <v>65</v>
      </c>
      <c r="L1197" t="s">
        <v>123</v>
      </c>
      <c r="M1197" s="24">
        <v>28</v>
      </c>
      <c r="N1197" s="25">
        <v>54889.41</v>
      </c>
      <c r="O1197" s="25">
        <f t="shared" si="148"/>
        <v>1536903.48</v>
      </c>
      <c r="P1197" s="25">
        <v>41848.080000000002</v>
      </c>
      <c r="Q1197" s="25">
        <f t="shared" si="149"/>
        <v>1171746.24</v>
      </c>
      <c r="R1197" s="25">
        <f t="shared" si="150"/>
        <v>365157.24</v>
      </c>
      <c r="S1197" s="26">
        <f t="shared" si="151"/>
        <v>0.23759282528269113</v>
      </c>
    </row>
    <row r="1198" spans="1:19" ht="15" x14ac:dyDescent="0.2">
      <c r="A1198" s="23">
        <v>45970</v>
      </c>
      <c r="B1198">
        <f t="shared" si="144"/>
        <v>2025</v>
      </c>
      <c r="C1198">
        <f t="shared" si="145"/>
        <v>11</v>
      </c>
      <c r="D1198" t="str">
        <f t="shared" si="146"/>
        <v>Noviembre</v>
      </c>
      <c r="E1198" t="str">
        <f t="shared" si="147"/>
        <v>T4</v>
      </c>
      <c r="F1198" t="s">
        <v>1323</v>
      </c>
      <c r="G1198" t="s">
        <v>61</v>
      </c>
      <c r="H1198" t="s">
        <v>62</v>
      </c>
      <c r="I1198" t="s">
        <v>63</v>
      </c>
      <c r="J1198" t="s">
        <v>70</v>
      </c>
      <c r="K1198" t="s">
        <v>71</v>
      </c>
      <c r="L1198" t="s">
        <v>90</v>
      </c>
      <c r="M1198" s="24">
        <v>29</v>
      </c>
      <c r="N1198" s="25">
        <v>5472.69</v>
      </c>
      <c r="O1198" s="25">
        <f t="shared" si="148"/>
        <v>158708.00999999998</v>
      </c>
      <c r="P1198" s="25">
        <v>4723.54</v>
      </c>
      <c r="Q1198" s="25">
        <f t="shared" si="149"/>
        <v>136982.66</v>
      </c>
      <c r="R1198" s="25">
        <f t="shared" si="150"/>
        <v>21725.349999999977</v>
      </c>
      <c r="S1198" s="26">
        <f t="shared" si="151"/>
        <v>0.13688880605333015</v>
      </c>
    </row>
    <row r="1199" spans="1:19" ht="15" x14ac:dyDescent="0.2">
      <c r="A1199" s="23">
        <v>45970</v>
      </c>
      <c r="B1199">
        <f t="shared" si="144"/>
        <v>2025</v>
      </c>
      <c r="C1199">
        <f t="shared" si="145"/>
        <v>11</v>
      </c>
      <c r="D1199" t="str">
        <f t="shared" si="146"/>
        <v>Noviembre</v>
      </c>
      <c r="E1199" t="str">
        <f t="shared" si="147"/>
        <v>T4</v>
      </c>
      <c r="F1199" t="s">
        <v>1324</v>
      </c>
      <c r="G1199" t="s">
        <v>74</v>
      </c>
      <c r="H1199" t="s">
        <v>75</v>
      </c>
      <c r="I1199" t="s">
        <v>76</v>
      </c>
      <c r="J1199" t="s">
        <v>77</v>
      </c>
      <c r="K1199" t="s">
        <v>107</v>
      </c>
      <c r="L1199" t="s">
        <v>112</v>
      </c>
      <c r="M1199" s="24">
        <v>13</v>
      </c>
      <c r="N1199" s="25">
        <v>44582.67</v>
      </c>
      <c r="O1199" s="25">
        <f t="shared" si="148"/>
        <v>579574.71</v>
      </c>
      <c r="P1199" s="25">
        <v>28060.959999999999</v>
      </c>
      <c r="Q1199" s="25">
        <f t="shared" si="149"/>
        <v>364792.48</v>
      </c>
      <c r="R1199" s="25">
        <f t="shared" si="150"/>
        <v>214782.22999999998</v>
      </c>
      <c r="S1199" s="26">
        <f t="shared" si="151"/>
        <v>0.37058592497936976</v>
      </c>
    </row>
    <row r="1200" spans="1:19" ht="15" x14ac:dyDescent="0.2">
      <c r="A1200" s="23">
        <v>45970</v>
      </c>
      <c r="B1200">
        <f t="shared" si="144"/>
        <v>2025</v>
      </c>
      <c r="C1200">
        <f t="shared" si="145"/>
        <v>11</v>
      </c>
      <c r="D1200" t="str">
        <f t="shared" si="146"/>
        <v>Noviembre</v>
      </c>
      <c r="E1200" t="str">
        <f t="shared" si="147"/>
        <v>T4</v>
      </c>
      <c r="F1200" t="s">
        <v>1325</v>
      </c>
      <c r="G1200" t="s">
        <v>74</v>
      </c>
      <c r="H1200" t="s">
        <v>75</v>
      </c>
      <c r="I1200" t="s">
        <v>76</v>
      </c>
      <c r="J1200" t="s">
        <v>70</v>
      </c>
      <c r="K1200" t="s">
        <v>71</v>
      </c>
      <c r="L1200" t="s">
        <v>90</v>
      </c>
      <c r="M1200" s="24">
        <v>2</v>
      </c>
      <c r="N1200" s="25">
        <v>30316.62</v>
      </c>
      <c r="O1200" s="25">
        <f t="shared" si="148"/>
        <v>60633.24</v>
      </c>
      <c r="P1200" s="25">
        <v>22241.59</v>
      </c>
      <c r="Q1200" s="25">
        <f t="shared" si="149"/>
        <v>44483.18</v>
      </c>
      <c r="R1200" s="25">
        <f t="shared" si="150"/>
        <v>16150.059999999998</v>
      </c>
      <c r="S1200" s="26">
        <f t="shared" si="151"/>
        <v>0.26635653974618539</v>
      </c>
    </row>
    <row r="1201" spans="1:19" ht="15" x14ac:dyDescent="0.2">
      <c r="A1201" s="23">
        <v>45970</v>
      </c>
      <c r="B1201">
        <f t="shared" si="144"/>
        <v>2025</v>
      </c>
      <c r="C1201">
        <f t="shared" si="145"/>
        <v>11</v>
      </c>
      <c r="D1201" t="str">
        <f t="shared" si="146"/>
        <v>Noviembre</v>
      </c>
      <c r="E1201" t="str">
        <f t="shared" si="147"/>
        <v>T4</v>
      </c>
      <c r="F1201" t="s">
        <v>1326</v>
      </c>
      <c r="G1201" t="s">
        <v>144</v>
      </c>
      <c r="H1201" t="s">
        <v>88</v>
      </c>
      <c r="I1201" t="s">
        <v>145</v>
      </c>
      <c r="J1201" t="s">
        <v>64</v>
      </c>
      <c r="K1201" t="s">
        <v>96</v>
      </c>
      <c r="L1201" t="s">
        <v>103</v>
      </c>
      <c r="M1201" s="24">
        <v>8</v>
      </c>
      <c r="N1201" s="25">
        <v>12836.13</v>
      </c>
      <c r="O1201" s="25">
        <f t="shared" si="148"/>
        <v>102689.04</v>
      </c>
      <c r="P1201" s="25">
        <v>7370.1</v>
      </c>
      <c r="Q1201" s="25">
        <f t="shared" si="149"/>
        <v>58960.800000000003</v>
      </c>
      <c r="R1201" s="25">
        <f t="shared" si="150"/>
        <v>43728.239999999991</v>
      </c>
      <c r="S1201" s="26">
        <f t="shared" si="151"/>
        <v>0.4258316174734908</v>
      </c>
    </row>
    <row r="1202" spans="1:19" ht="15" x14ac:dyDescent="0.2">
      <c r="A1202" s="23">
        <v>45971</v>
      </c>
      <c r="B1202">
        <f t="shared" si="144"/>
        <v>2025</v>
      </c>
      <c r="C1202">
        <f t="shared" si="145"/>
        <v>11</v>
      </c>
      <c r="D1202" t="str">
        <f t="shared" si="146"/>
        <v>Noviembre</v>
      </c>
      <c r="E1202" t="str">
        <f t="shared" si="147"/>
        <v>T4</v>
      </c>
      <c r="F1202" t="s">
        <v>1327</v>
      </c>
      <c r="G1202" t="s">
        <v>54</v>
      </c>
      <c r="H1202" t="s">
        <v>55</v>
      </c>
      <c r="I1202" t="s">
        <v>56</v>
      </c>
      <c r="J1202" t="s">
        <v>57</v>
      </c>
      <c r="K1202" t="s">
        <v>81</v>
      </c>
      <c r="L1202" t="s">
        <v>129</v>
      </c>
      <c r="M1202" s="24">
        <v>10</v>
      </c>
      <c r="N1202" s="25">
        <v>56068.47</v>
      </c>
      <c r="O1202" s="25">
        <f t="shared" si="148"/>
        <v>560684.69999999995</v>
      </c>
      <c r="P1202" s="25">
        <v>42247.32</v>
      </c>
      <c r="Q1202" s="25">
        <f t="shared" si="149"/>
        <v>422473.2</v>
      </c>
      <c r="R1202" s="25">
        <f t="shared" si="150"/>
        <v>138211.49999999994</v>
      </c>
      <c r="S1202" s="26">
        <f t="shared" si="151"/>
        <v>0.24650485379750858</v>
      </c>
    </row>
    <row r="1203" spans="1:19" ht="15" x14ac:dyDescent="0.2">
      <c r="A1203" s="23">
        <v>45971</v>
      </c>
      <c r="B1203">
        <f t="shared" si="144"/>
        <v>2025</v>
      </c>
      <c r="C1203">
        <f t="shared" si="145"/>
        <v>11</v>
      </c>
      <c r="D1203" t="str">
        <f t="shared" si="146"/>
        <v>Noviembre</v>
      </c>
      <c r="E1203" t="str">
        <f t="shared" si="147"/>
        <v>T4</v>
      </c>
      <c r="F1203" t="s">
        <v>1328</v>
      </c>
      <c r="G1203" t="s">
        <v>110</v>
      </c>
      <c r="H1203" t="s">
        <v>62</v>
      </c>
      <c r="I1203" t="s">
        <v>69</v>
      </c>
      <c r="J1203" t="s">
        <v>64</v>
      </c>
      <c r="K1203" t="s">
        <v>65</v>
      </c>
      <c r="L1203" t="s">
        <v>123</v>
      </c>
      <c r="M1203" s="24">
        <v>169</v>
      </c>
      <c r="N1203" s="25">
        <v>6495.1</v>
      </c>
      <c r="O1203" s="25">
        <f t="shared" si="148"/>
        <v>1097671.9000000001</v>
      </c>
      <c r="P1203" s="25">
        <v>5401.42</v>
      </c>
      <c r="Q1203" s="25">
        <f t="shared" si="149"/>
        <v>912839.98</v>
      </c>
      <c r="R1203" s="25">
        <f t="shared" si="150"/>
        <v>184831.92000000016</v>
      </c>
      <c r="S1203" s="26">
        <f t="shared" si="151"/>
        <v>0.16838539822327614</v>
      </c>
    </row>
    <row r="1204" spans="1:19" ht="15" x14ac:dyDescent="0.2">
      <c r="A1204" s="23">
        <v>45971</v>
      </c>
      <c r="B1204">
        <f t="shared" si="144"/>
        <v>2025</v>
      </c>
      <c r="C1204">
        <f t="shared" si="145"/>
        <v>11</v>
      </c>
      <c r="D1204" t="str">
        <f t="shared" si="146"/>
        <v>Noviembre</v>
      </c>
      <c r="E1204" t="str">
        <f t="shared" si="147"/>
        <v>T4</v>
      </c>
      <c r="F1204" t="s">
        <v>1329</v>
      </c>
      <c r="G1204" t="s">
        <v>74</v>
      </c>
      <c r="H1204" t="s">
        <v>75</v>
      </c>
      <c r="I1204" t="s">
        <v>76</v>
      </c>
      <c r="J1204" t="s">
        <v>125</v>
      </c>
      <c r="K1204" t="s">
        <v>138</v>
      </c>
      <c r="L1204" t="s">
        <v>142</v>
      </c>
      <c r="M1204" s="24">
        <v>10</v>
      </c>
      <c r="N1204" s="25">
        <v>43861.26</v>
      </c>
      <c r="O1204" s="25">
        <f t="shared" si="148"/>
        <v>438612.60000000003</v>
      </c>
      <c r="P1204" s="25">
        <v>29028.95</v>
      </c>
      <c r="Q1204" s="25">
        <f t="shared" si="149"/>
        <v>290289.5</v>
      </c>
      <c r="R1204" s="25">
        <f t="shared" si="150"/>
        <v>148323.10000000003</v>
      </c>
      <c r="S1204" s="26">
        <f t="shared" si="151"/>
        <v>0.33816424790350308</v>
      </c>
    </row>
    <row r="1205" spans="1:19" ht="15" x14ac:dyDescent="0.2">
      <c r="A1205" s="23">
        <v>45971</v>
      </c>
      <c r="B1205">
        <f t="shared" si="144"/>
        <v>2025</v>
      </c>
      <c r="C1205">
        <f t="shared" si="145"/>
        <v>11</v>
      </c>
      <c r="D1205" t="str">
        <f t="shared" si="146"/>
        <v>Noviembre</v>
      </c>
      <c r="E1205" t="str">
        <f t="shared" si="147"/>
        <v>T4</v>
      </c>
      <c r="F1205" t="s">
        <v>1330</v>
      </c>
      <c r="G1205" t="s">
        <v>144</v>
      </c>
      <c r="H1205" t="s">
        <v>88</v>
      </c>
      <c r="I1205" t="s">
        <v>145</v>
      </c>
      <c r="J1205" t="s">
        <v>57</v>
      </c>
      <c r="K1205" t="s">
        <v>58</v>
      </c>
      <c r="L1205" t="s">
        <v>59</v>
      </c>
      <c r="M1205" s="24">
        <v>25</v>
      </c>
      <c r="N1205" s="25">
        <v>12125.89</v>
      </c>
      <c r="O1205" s="25">
        <f t="shared" si="148"/>
        <v>303147.25</v>
      </c>
      <c r="P1205" s="25">
        <v>6976.94</v>
      </c>
      <c r="Q1205" s="25">
        <f t="shared" si="149"/>
        <v>174423.5</v>
      </c>
      <c r="R1205" s="25">
        <f t="shared" si="150"/>
        <v>128723.75</v>
      </c>
      <c r="S1205" s="26">
        <f t="shared" si="151"/>
        <v>0.42462450178914701</v>
      </c>
    </row>
    <row r="1206" spans="1:19" ht="15" x14ac:dyDescent="0.2">
      <c r="A1206" s="23">
        <v>45971</v>
      </c>
      <c r="B1206">
        <f t="shared" si="144"/>
        <v>2025</v>
      </c>
      <c r="C1206">
        <f t="shared" si="145"/>
        <v>11</v>
      </c>
      <c r="D1206" t="str">
        <f t="shared" si="146"/>
        <v>Noviembre</v>
      </c>
      <c r="E1206" t="str">
        <f t="shared" si="147"/>
        <v>T4</v>
      </c>
      <c r="F1206" t="s">
        <v>1331</v>
      </c>
      <c r="G1206" t="s">
        <v>144</v>
      </c>
      <c r="H1206" t="s">
        <v>88</v>
      </c>
      <c r="I1206" t="s">
        <v>145</v>
      </c>
      <c r="J1206" t="s">
        <v>70</v>
      </c>
      <c r="K1206" t="s">
        <v>84</v>
      </c>
      <c r="L1206" t="s">
        <v>85</v>
      </c>
      <c r="M1206" s="24">
        <v>23</v>
      </c>
      <c r="N1206" s="25">
        <v>12223.34</v>
      </c>
      <c r="O1206" s="25">
        <f t="shared" si="148"/>
        <v>281136.82</v>
      </c>
      <c r="P1206" s="25">
        <v>7061.73</v>
      </c>
      <c r="Q1206" s="25">
        <f t="shared" si="149"/>
        <v>162419.78999999998</v>
      </c>
      <c r="R1206" s="25">
        <f t="shared" si="150"/>
        <v>118717.03000000003</v>
      </c>
      <c r="S1206" s="26">
        <f t="shared" si="151"/>
        <v>0.42227492649308629</v>
      </c>
    </row>
    <row r="1207" spans="1:19" ht="15" x14ac:dyDescent="0.2">
      <c r="A1207" s="23">
        <v>45972</v>
      </c>
      <c r="B1207">
        <f t="shared" si="144"/>
        <v>2025</v>
      </c>
      <c r="C1207">
        <f t="shared" si="145"/>
        <v>11</v>
      </c>
      <c r="D1207" t="str">
        <f t="shared" si="146"/>
        <v>Noviembre</v>
      </c>
      <c r="E1207" t="str">
        <f t="shared" si="147"/>
        <v>T4</v>
      </c>
      <c r="F1207" t="s">
        <v>1332</v>
      </c>
      <c r="G1207" t="s">
        <v>144</v>
      </c>
      <c r="H1207" t="s">
        <v>88</v>
      </c>
      <c r="I1207" t="s">
        <v>145</v>
      </c>
      <c r="J1207" t="s">
        <v>57</v>
      </c>
      <c r="K1207" t="s">
        <v>81</v>
      </c>
      <c r="L1207" t="s">
        <v>129</v>
      </c>
      <c r="M1207" s="24">
        <v>35</v>
      </c>
      <c r="N1207" s="25">
        <v>12290.66</v>
      </c>
      <c r="O1207" s="25">
        <f t="shared" si="148"/>
        <v>430173.1</v>
      </c>
      <c r="P1207" s="25">
        <v>6957.56</v>
      </c>
      <c r="Q1207" s="25">
        <f t="shared" si="149"/>
        <v>243514.6</v>
      </c>
      <c r="R1207" s="25">
        <f t="shared" si="150"/>
        <v>186658.49999999997</v>
      </c>
      <c r="S1207" s="26">
        <f t="shared" si="151"/>
        <v>0.43391485892539533</v>
      </c>
    </row>
    <row r="1208" spans="1:19" ht="15" x14ac:dyDescent="0.2">
      <c r="A1208" s="23">
        <v>45972</v>
      </c>
      <c r="B1208">
        <f t="shared" si="144"/>
        <v>2025</v>
      </c>
      <c r="C1208">
        <f t="shared" si="145"/>
        <v>11</v>
      </c>
      <c r="D1208" t="str">
        <f t="shared" si="146"/>
        <v>Noviembre</v>
      </c>
      <c r="E1208" t="str">
        <f t="shared" si="147"/>
        <v>T4</v>
      </c>
      <c r="F1208" t="s">
        <v>1333</v>
      </c>
      <c r="G1208" t="s">
        <v>206</v>
      </c>
      <c r="H1208" t="s">
        <v>93</v>
      </c>
      <c r="I1208" t="s">
        <v>207</v>
      </c>
      <c r="J1208" t="s">
        <v>64</v>
      </c>
      <c r="K1208" t="s">
        <v>65</v>
      </c>
      <c r="L1208" t="s">
        <v>123</v>
      </c>
      <c r="M1208" s="24">
        <v>5</v>
      </c>
      <c r="N1208" s="25">
        <v>107658.46</v>
      </c>
      <c r="O1208" s="25">
        <f t="shared" si="148"/>
        <v>538292.30000000005</v>
      </c>
      <c r="P1208" s="25">
        <v>63143.97</v>
      </c>
      <c r="Q1208" s="25">
        <f t="shared" si="149"/>
        <v>315719.84999999998</v>
      </c>
      <c r="R1208" s="25">
        <f t="shared" si="150"/>
        <v>222572.45000000007</v>
      </c>
      <c r="S1208" s="26">
        <f t="shared" si="151"/>
        <v>0.41347879209864241</v>
      </c>
    </row>
    <row r="1209" spans="1:19" ht="15" x14ac:dyDescent="0.2">
      <c r="A1209" s="23">
        <v>45973</v>
      </c>
      <c r="B1209">
        <f t="shared" si="144"/>
        <v>2025</v>
      </c>
      <c r="C1209">
        <f t="shared" si="145"/>
        <v>11</v>
      </c>
      <c r="D1209" t="str">
        <f t="shared" si="146"/>
        <v>Noviembre</v>
      </c>
      <c r="E1209" t="str">
        <f t="shared" si="147"/>
        <v>T4</v>
      </c>
      <c r="F1209" t="s">
        <v>1334</v>
      </c>
      <c r="G1209" t="s">
        <v>54</v>
      </c>
      <c r="H1209" t="s">
        <v>55</v>
      </c>
      <c r="I1209" t="s">
        <v>56</v>
      </c>
      <c r="J1209" t="s">
        <v>125</v>
      </c>
      <c r="K1209" t="s">
        <v>126</v>
      </c>
      <c r="L1209" t="s">
        <v>127</v>
      </c>
      <c r="M1209" s="24">
        <v>12</v>
      </c>
      <c r="N1209" s="25">
        <v>53035.519999999997</v>
      </c>
      <c r="O1209" s="25">
        <f t="shared" si="148"/>
        <v>636426.23999999999</v>
      </c>
      <c r="P1209" s="25">
        <v>40374.92</v>
      </c>
      <c r="Q1209" s="25">
        <f t="shared" si="149"/>
        <v>484499.04</v>
      </c>
      <c r="R1209" s="25">
        <f t="shared" si="150"/>
        <v>151927.20000000001</v>
      </c>
      <c r="S1209" s="26">
        <f t="shared" si="151"/>
        <v>0.23871925833856256</v>
      </c>
    </row>
    <row r="1210" spans="1:19" ht="15" x14ac:dyDescent="0.2">
      <c r="A1210" s="23">
        <v>45973</v>
      </c>
      <c r="B1210">
        <f t="shared" si="144"/>
        <v>2025</v>
      </c>
      <c r="C1210">
        <f t="shared" si="145"/>
        <v>11</v>
      </c>
      <c r="D1210" t="str">
        <f t="shared" si="146"/>
        <v>Noviembre</v>
      </c>
      <c r="E1210" t="str">
        <f t="shared" si="147"/>
        <v>T4</v>
      </c>
      <c r="F1210" t="s">
        <v>1335</v>
      </c>
      <c r="G1210" t="s">
        <v>110</v>
      </c>
      <c r="H1210" t="s">
        <v>62</v>
      </c>
      <c r="I1210" t="s">
        <v>69</v>
      </c>
      <c r="J1210" t="s">
        <v>57</v>
      </c>
      <c r="K1210" t="s">
        <v>58</v>
      </c>
      <c r="L1210" t="s">
        <v>162</v>
      </c>
      <c r="M1210" s="24">
        <v>44</v>
      </c>
      <c r="N1210" s="25">
        <v>6605.83</v>
      </c>
      <c r="O1210" s="25">
        <f t="shared" si="148"/>
        <v>290656.52</v>
      </c>
      <c r="P1210" s="25">
        <v>5422.51</v>
      </c>
      <c r="Q1210" s="25">
        <f t="shared" si="149"/>
        <v>238590.44</v>
      </c>
      <c r="R1210" s="25">
        <f t="shared" si="150"/>
        <v>52066.080000000016</v>
      </c>
      <c r="S1210" s="26">
        <f t="shared" si="151"/>
        <v>0.17913267522779125</v>
      </c>
    </row>
    <row r="1211" spans="1:19" ht="15" x14ac:dyDescent="0.2">
      <c r="A1211" s="23">
        <v>45973</v>
      </c>
      <c r="B1211">
        <f t="shared" si="144"/>
        <v>2025</v>
      </c>
      <c r="C1211">
        <f t="shared" si="145"/>
        <v>11</v>
      </c>
      <c r="D1211" t="str">
        <f t="shared" si="146"/>
        <v>Noviembre</v>
      </c>
      <c r="E1211" t="str">
        <f t="shared" si="147"/>
        <v>T4</v>
      </c>
      <c r="F1211" t="s">
        <v>1336</v>
      </c>
      <c r="G1211" t="s">
        <v>74</v>
      </c>
      <c r="H1211" t="s">
        <v>75</v>
      </c>
      <c r="I1211" t="s">
        <v>76</v>
      </c>
      <c r="J1211" t="s">
        <v>77</v>
      </c>
      <c r="K1211" t="s">
        <v>107</v>
      </c>
      <c r="L1211" t="s">
        <v>112</v>
      </c>
      <c r="M1211" s="24">
        <v>4</v>
      </c>
      <c r="N1211" s="25">
        <v>38831.94</v>
      </c>
      <c r="O1211" s="25">
        <f t="shared" si="148"/>
        <v>155327.76</v>
      </c>
      <c r="P1211" s="25">
        <v>25145.01</v>
      </c>
      <c r="Q1211" s="25">
        <f t="shared" si="149"/>
        <v>100580.04</v>
      </c>
      <c r="R1211" s="25">
        <f t="shared" si="150"/>
        <v>54747.720000000016</v>
      </c>
      <c r="S1211" s="26">
        <f t="shared" si="151"/>
        <v>0.3524657794588682</v>
      </c>
    </row>
    <row r="1212" spans="1:19" ht="15" x14ac:dyDescent="0.2">
      <c r="A1212" s="23">
        <v>45974</v>
      </c>
      <c r="B1212">
        <f t="shared" si="144"/>
        <v>2025</v>
      </c>
      <c r="C1212">
        <f t="shared" si="145"/>
        <v>11</v>
      </c>
      <c r="D1212" t="str">
        <f t="shared" si="146"/>
        <v>Noviembre</v>
      </c>
      <c r="E1212" t="str">
        <f t="shared" si="147"/>
        <v>T4</v>
      </c>
      <c r="F1212" t="s">
        <v>1337</v>
      </c>
      <c r="G1212" t="s">
        <v>282</v>
      </c>
      <c r="H1212" t="s">
        <v>55</v>
      </c>
      <c r="I1212" t="s">
        <v>56</v>
      </c>
      <c r="J1212" t="s">
        <v>64</v>
      </c>
      <c r="K1212" t="s">
        <v>96</v>
      </c>
      <c r="L1212" t="s">
        <v>97</v>
      </c>
      <c r="M1212" s="24">
        <v>2</v>
      </c>
      <c r="N1212" s="25">
        <v>580973.12</v>
      </c>
      <c r="O1212" s="25">
        <f t="shared" si="148"/>
        <v>1161946.24</v>
      </c>
      <c r="P1212" s="25">
        <v>444429.13</v>
      </c>
      <c r="Q1212" s="25">
        <f t="shared" si="149"/>
        <v>888858.26</v>
      </c>
      <c r="R1212" s="25">
        <f t="shared" si="150"/>
        <v>273087.98</v>
      </c>
      <c r="S1212" s="26">
        <f t="shared" si="151"/>
        <v>0.23502634682995316</v>
      </c>
    </row>
    <row r="1213" spans="1:19" ht="15" x14ac:dyDescent="0.2">
      <c r="A1213" s="23">
        <v>45974</v>
      </c>
      <c r="B1213">
        <f t="shared" si="144"/>
        <v>2025</v>
      </c>
      <c r="C1213">
        <f t="shared" si="145"/>
        <v>11</v>
      </c>
      <c r="D1213" t="str">
        <f t="shared" si="146"/>
        <v>Noviembre</v>
      </c>
      <c r="E1213" t="str">
        <f t="shared" si="147"/>
        <v>T4</v>
      </c>
      <c r="F1213" t="s">
        <v>1338</v>
      </c>
      <c r="G1213" t="s">
        <v>110</v>
      </c>
      <c r="H1213" t="s">
        <v>62</v>
      </c>
      <c r="I1213" t="s">
        <v>69</v>
      </c>
      <c r="J1213" t="s">
        <v>64</v>
      </c>
      <c r="K1213" t="s">
        <v>65</v>
      </c>
      <c r="L1213" t="s">
        <v>123</v>
      </c>
      <c r="M1213" s="24">
        <v>23</v>
      </c>
      <c r="N1213" s="25">
        <v>6519.66</v>
      </c>
      <c r="O1213" s="25">
        <f t="shared" si="148"/>
        <v>149952.18</v>
      </c>
      <c r="P1213" s="25">
        <v>5413.62</v>
      </c>
      <c r="Q1213" s="25">
        <f t="shared" si="149"/>
        <v>124513.26</v>
      </c>
      <c r="R1213" s="25">
        <f t="shared" si="150"/>
        <v>25438.92</v>
      </c>
      <c r="S1213" s="26">
        <f t="shared" si="151"/>
        <v>0.16964688342643636</v>
      </c>
    </row>
    <row r="1214" spans="1:19" ht="15" x14ac:dyDescent="0.2">
      <c r="A1214" s="23">
        <v>45974</v>
      </c>
      <c r="B1214">
        <f t="shared" si="144"/>
        <v>2025</v>
      </c>
      <c r="C1214">
        <f t="shared" si="145"/>
        <v>11</v>
      </c>
      <c r="D1214" t="str">
        <f t="shared" si="146"/>
        <v>Noviembre</v>
      </c>
      <c r="E1214" t="str">
        <f t="shared" si="147"/>
        <v>T4</v>
      </c>
      <c r="F1214" t="s">
        <v>1339</v>
      </c>
      <c r="G1214" t="s">
        <v>74</v>
      </c>
      <c r="H1214" t="s">
        <v>75</v>
      </c>
      <c r="I1214" t="s">
        <v>76</v>
      </c>
      <c r="J1214" t="s">
        <v>64</v>
      </c>
      <c r="K1214" t="s">
        <v>96</v>
      </c>
      <c r="L1214" t="s">
        <v>97</v>
      </c>
      <c r="M1214" s="24">
        <v>13</v>
      </c>
      <c r="N1214" s="25">
        <v>40698.17</v>
      </c>
      <c r="O1214" s="25">
        <f t="shared" si="148"/>
        <v>529076.21</v>
      </c>
      <c r="P1214" s="25">
        <v>28903.16</v>
      </c>
      <c r="Q1214" s="25">
        <f t="shared" si="149"/>
        <v>375741.08</v>
      </c>
      <c r="R1214" s="25">
        <f t="shared" si="150"/>
        <v>153335.12999999995</v>
      </c>
      <c r="S1214" s="26">
        <f t="shared" si="151"/>
        <v>0.28981671657472552</v>
      </c>
    </row>
    <row r="1215" spans="1:19" ht="15" x14ac:dyDescent="0.2">
      <c r="A1215" s="23">
        <v>45974</v>
      </c>
      <c r="B1215">
        <f t="shared" si="144"/>
        <v>2025</v>
      </c>
      <c r="C1215">
        <f t="shared" si="145"/>
        <v>11</v>
      </c>
      <c r="D1215" t="str">
        <f t="shared" si="146"/>
        <v>Noviembre</v>
      </c>
      <c r="E1215" t="str">
        <f t="shared" si="147"/>
        <v>T4</v>
      </c>
      <c r="F1215" t="s">
        <v>1340</v>
      </c>
      <c r="G1215" t="s">
        <v>100</v>
      </c>
      <c r="H1215" t="s">
        <v>88</v>
      </c>
      <c r="I1215" t="s">
        <v>101</v>
      </c>
      <c r="J1215" t="s">
        <v>77</v>
      </c>
      <c r="K1215" t="s">
        <v>107</v>
      </c>
      <c r="L1215" t="s">
        <v>112</v>
      </c>
      <c r="M1215" s="24">
        <v>8</v>
      </c>
      <c r="N1215" s="25">
        <v>39517.980000000003</v>
      </c>
      <c r="O1215" s="25">
        <f t="shared" si="148"/>
        <v>316143.84000000003</v>
      </c>
      <c r="P1215" s="25">
        <v>20343.88</v>
      </c>
      <c r="Q1215" s="25">
        <f t="shared" si="149"/>
        <v>162751.04000000001</v>
      </c>
      <c r="R1215" s="25">
        <f t="shared" si="150"/>
        <v>153392.80000000002</v>
      </c>
      <c r="S1215" s="26">
        <f t="shared" si="151"/>
        <v>0.48519939531322198</v>
      </c>
    </row>
    <row r="1216" spans="1:19" ht="15" x14ac:dyDescent="0.2">
      <c r="A1216" s="23">
        <v>45974</v>
      </c>
      <c r="B1216">
        <f t="shared" si="144"/>
        <v>2025</v>
      </c>
      <c r="C1216">
        <f t="shared" si="145"/>
        <v>11</v>
      </c>
      <c r="D1216" t="str">
        <f t="shared" si="146"/>
        <v>Noviembre</v>
      </c>
      <c r="E1216" t="str">
        <f t="shared" si="147"/>
        <v>T4</v>
      </c>
      <c r="F1216" t="s">
        <v>1341</v>
      </c>
      <c r="G1216" t="s">
        <v>149</v>
      </c>
      <c r="H1216" t="s">
        <v>93</v>
      </c>
      <c r="I1216" t="s">
        <v>150</v>
      </c>
      <c r="J1216" t="s">
        <v>64</v>
      </c>
      <c r="K1216" t="s">
        <v>96</v>
      </c>
      <c r="L1216" t="s">
        <v>97</v>
      </c>
      <c r="M1216" s="24">
        <v>8</v>
      </c>
      <c r="N1216" s="25">
        <v>44442.85</v>
      </c>
      <c r="O1216" s="25">
        <f t="shared" si="148"/>
        <v>355542.8</v>
      </c>
      <c r="P1216" s="25">
        <v>27451.75</v>
      </c>
      <c r="Q1216" s="25">
        <f t="shared" si="149"/>
        <v>219614</v>
      </c>
      <c r="R1216" s="25">
        <f t="shared" si="150"/>
        <v>135928.79999999999</v>
      </c>
      <c r="S1216" s="26">
        <f t="shared" si="151"/>
        <v>0.38231346549557466</v>
      </c>
    </row>
    <row r="1217" spans="1:19" ht="15" x14ac:dyDescent="0.2">
      <c r="A1217" s="23">
        <v>45974</v>
      </c>
      <c r="B1217">
        <f t="shared" si="144"/>
        <v>2025</v>
      </c>
      <c r="C1217">
        <f t="shared" si="145"/>
        <v>11</v>
      </c>
      <c r="D1217" t="str">
        <f t="shared" si="146"/>
        <v>Noviembre</v>
      </c>
      <c r="E1217" t="str">
        <f t="shared" si="147"/>
        <v>T4</v>
      </c>
      <c r="F1217" t="s">
        <v>1342</v>
      </c>
      <c r="G1217" t="s">
        <v>92</v>
      </c>
      <c r="H1217" t="s">
        <v>93</v>
      </c>
      <c r="I1217" t="s">
        <v>94</v>
      </c>
      <c r="J1217" t="s">
        <v>70</v>
      </c>
      <c r="K1217" t="s">
        <v>84</v>
      </c>
      <c r="L1217" t="s">
        <v>85</v>
      </c>
      <c r="M1217" s="24">
        <v>3</v>
      </c>
      <c r="N1217" s="25">
        <v>20210.310000000001</v>
      </c>
      <c r="O1217" s="25">
        <f t="shared" si="148"/>
        <v>60630.930000000008</v>
      </c>
      <c r="P1217" s="25">
        <v>12335.46</v>
      </c>
      <c r="Q1217" s="25">
        <f t="shared" si="149"/>
        <v>37006.379999999997</v>
      </c>
      <c r="R1217" s="25">
        <f t="shared" si="150"/>
        <v>23624.55000000001</v>
      </c>
      <c r="S1217" s="26">
        <f t="shared" si="151"/>
        <v>0.38964518604613202</v>
      </c>
    </row>
    <row r="1218" spans="1:19" ht="15" x14ac:dyDescent="0.2">
      <c r="A1218" s="23">
        <v>45975</v>
      </c>
      <c r="B1218">
        <f t="shared" ref="B1218:B1281" si="152">YEAR($A1218)</f>
        <v>2025</v>
      </c>
      <c r="C1218">
        <f t="shared" ref="C1218:C1281" si="153">MONTH($A1218)</f>
        <v>11</v>
      </c>
      <c r="D1218" t="str">
        <f t="shared" ref="D1218:D1281" si="154">INDEX(lst_Meses,MONTH($A1218))</f>
        <v>Noviembre</v>
      </c>
      <c r="E1218" t="str">
        <f t="shared" ref="E1218:E1281" si="155">"T"&amp;ROUNDUP(MONTH($A1218)/3,0)</f>
        <v>T4</v>
      </c>
      <c r="F1218" t="s">
        <v>1343</v>
      </c>
      <c r="G1218" t="s">
        <v>54</v>
      </c>
      <c r="H1218" t="s">
        <v>55</v>
      </c>
      <c r="I1218" t="s">
        <v>56</v>
      </c>
      <c r="J1218" t="s">
        <v>70</v>
      </c>
      <c r="K1218" t="s">
        <v>84</v>
      </c>
      <c r="L1218" t="s">
        <v>147</v>
      </c>
      <c r="M1218" s="24">
        <v>8</v>
      </c>
      <c r="N1218" s="25">
        <v>53301.08</v>
      </c>
      <c r="O1218" s="25">
        <f t="shared" ref="O1218:O1281" si="156">$M1218*$N1218</f>
        <v>426408.64</v>
      </c>
      <c r="P1218" s="25">
        <v>42377.4</v>
      </c>
      <c r="Q1218" s="25">
        <f t="shared" ref="Q1218:Q1281" si="157">$M1218*$P1218</f>
        <v>339019.2</v>
      </c>
      <c r="R1218" s="25">
        <f t="shared" ref="R1218:R1281" si="158">$O1218-$Q1218</f>
        <v>87389.440000000002</v>
      </c>
      <c r="S1218" s="26">
        <f t="shared" ref="S1218:S1281" si="159">IFERROR($R1218/$O1218,0)</f>
        <v>0.20494293924250689</v>
      </c>
    </row>
    <row r="1219" spans="1:19" ht="15" x14ac:dyDescent="0.2">
      <c r="A1219" s="23">
        <v>45975</v>
      </c>
      <c r="B1219">
        <f t="shared" si="152"/>
        <v>2025</v>
      </c>
      <c r="C1219">
        <f t="shared" si="153"/>
        <v>11</v>
      </c>
      <c r="D1219" t="str">
        <f t="shared" si="154"/>
        <v>Noviembre</v>
      </c>
      <c r="E1219" t="str">
        <f t="shared" si="155"/>
        <v>T4</v>
      </c>
      <c r="F1219" t="s">
        <v>1344</v>
      </c>
      <c r="G1219" t="s">
        <v>100</v>
      </c>
      <c r="H1219" t="s">
        <v>88</v>
      </c>
      <c r="I1219" t="s">
        <v>101</v>
      </c>
      <c r="J1219" t="s">
        <v>77</v>
      </c>
      <c r="K1219" t="s">
        <v>107</v>
      </c>
      <c r="L1219" t="s">
        <v>108</v>
      </c>
      <c r="M1219" s="24">
        <v>21</v>
      </c>
      <c r="N1219" s="25">
        <v>40231.550000000003</v>
      </c>
      <c r="O1219" s="25">
        <f t="shared" si="156"/>
        <v>844862.55</v>
      </c>
      <c r="P1219" s="25">
        <v>20557.46</v>
      </c>
      <c r="Q1219" s="25">
        <f t="shared" si="157"/>
        <v>431706.66</v>
      </c>
      <c r="R1219" s="25">
        <f t="shared" si="158"/>
        <v>413155.89000000007</v>
      </c>
      <c r="S1219" s="26">
        <f t="shared" si="159"/>
        <v>0.48902142721321956</v>
      </c>
    </row>
    <row r="1220" spans="1:19" ht="15" x14ac:dyDescent="0.2">
      <c r="A1220" s="23">
        <v>45975</v>
      </c>
      <c r="B1220">
        <f t="shared" si="152"/>
        <v>2025</v>
      </c>
      <c r="C1220">
        <f t="shared" si="153"/>
        <v>11</v>
      </c>
      <c r="D1220" t="str">
        <f t="shared" si="154"/>
        <v>Noviembre</v>
      </c>
      <c r="E1220" t="str">
        <f t="shared" si="155"/>
        <v>T4</v>
      </c>
      <c r="F1220" t="s">
        <v>1345</v>
      </c>
      <c r="G1220" t="s">
        <v>206</v>
      </c>
      <c r="H1220" t="s">
        <v>93</v>
      </c>
      <c r="I1220" t="s">
        <v>207</v>
      </c>
      <c r="J1220" t="s">
        <v>64</v>
      </c>
      <c r="K1220" t="s">
        <v>65</v>
      </c>
      <c r="L1220" t="s">
        <v>123</v>
      </c>
      <c r="M1220" s="24">
        <v>4</v>
      </c>
      <c r="N1220" s="25">
        <v>101095.4</v>
      </c>
      <c r="O1220" s="25">
        <f t="shared" si="156"/>
        <v>404381.6</v>
      </c>
      <c r="P1220" s="25">
        <v>60051.18</v>
      </c>
      <c r="Q1220" s="25">
        <f t="shared" si="157"/>
        <v>240204.72</v>
      </c>
      <c r="R1220" s="25">
        <f t="shared" si="158"/>
        <v>164176.87999999998</v>
      </c>
      <c r="S1220" s="26">
        <f t="shared" si="159"/>
        <v>0.4059949315201285</v>
      </c>
    </row>
    <row r="1221" spans="1:19" ht="15" x14ac:dyDescent="0.2">
      <c r="A1221" s="23">
        <v>45975</v>
      </c>
      <c r="B1221">
        <f t="shared" si="152"/>
        <v>2025</v>
      </c>
      <c r="C1221">
        <f t="shared" si="153"/>
        <v>11</v>
      </c>
      <c r="D1221" t="str">
        <f t="shared" si="154"/>
        <v>Noviembre</v>
      </c>
      <c r="E1221" t="str">
        <f t="shared" si="155"/>
        <v>T4</v>
      </c>
      <c r="F1221" t="s">
        <v>1346</v>
      </c>
      <c r="G1221" t="s">
        <v>149</v>
      </c>
      <c r="H1221" t="s">
        <v>93</v>
      </c>
      <c r="I1221" t="s">
        <v>150</v>
      </c>
      <c r="J1221" t="s">
        <v>77</v>
      </c>
      <c r="K1221" t="s">
        <v>78</v>
      </c>
      <c r="L1221" t="s">
        <v>117</v>
      </c>
      <c r="M1221" s="24">
        <v>2</v>
      </c>
      <c r="N1221" s="25">
        <v>55483.57</v>
      </c>
      <c r="O1221" s="25">
        <f t="shared" si="156"/>
        <v>110967.14</v>
      </c>
      <c r="P1221" s="25">
        <v>30666.58</v>
      </c>
      <c r="Q1221" s="25">
        <f t="shared" si="157"/>
        <v>61333.16</v>
      </c>
      <c r="R1221" s="25">
        <f t="shared" si="158"/>
        <v>49633.979999999996</v>
      </c>
      <c r="S1221" s="26">
        <f t="shared" si="159"/>
        <v>0.44728538556549258</v>
      </c>
    </row>
    <row r="1222" spans="1:19" ht="15" x14ac:dyDescent="0.2">
      <c r="A1222" s="23">
        <v>45976</v>
      </c>
      <c r="B1222">
        <f t="shared" si="152"/>
        <v>2025</v>
      </c>
      <c r="C1222">
        <f t="shared" si="153"/>
        <v>11</v>
      </c>
      <c r="D1222" t="str">
        <f t="shared" si="154"/>
        <v>Noviembre</v>
      </c>
      <c r="E1222" t="str">
        <f t="shared" si="155"/>
        <v>T4</v>
      </c>
      <c r="F1222" t="s">
        <v>1347</v>
      </c>
      <c r="G1222" t="s">
        <v>54</v>
      </c>
      <c r="H1222" t="s">
        <v>55</v>
      </c>
      <c r="I1222" t="s">
        <v>56</v>
      </c>
      <c r="J1222" t="s">
        <v>70</v>
      </c>
      <c r="K1222" t="s">
        <v>84</v>
      </c>
      <c r="L1222" t="s">
        <v>85</v>
      </c>
      <c r="M1222" s="24">
        <v>13</v>
      </c>
      <c r="N1222" s="25">
        <v>53381.54</v>
      </c>
      <c r="O1222" s="25">
        <f t="shared" si="156"/>
        <v>693960.02</v>
      </c>
      <c r="P1222" s="25">
        <v>41913.230000000003</v>
      </c>
      <c r="Q1222" s="25">
        <f t="shared" si="157"/>
        <v>544871.99</v>
      </c>
      <c r="R1222" s="25">
        <f t="shared" si="158"/>
        <v>149088.03000000003</v>
      </c>
      <c r="S1222" s="26">
        <f t="shared" si="159"/>
        <v>0.21483662704373088</v>
      </c>
    </row>
    <row r="1223" spans="1:19" ht="15" x14ac:dyDescent="0.2">
      <c r="A1223" s="23">
        <v>45976</v>
      </c>
      <c r="B1223">
        <f t="shared" si="152"/>
        <v>2025</v>
      </c>
      <c r="C1223">
        <f t="shared" si="153"/>
        <v>11</v>
      </c>
      <c r="D1223" t="str">
        <f t="shared" si="154"/>
        <v>Noviembre</v>
      </c>
      <c r="E1223" t="str">
        <f t="shared" si="155"/>
        <v>T4</v>
      </c>
      <c r="F1223" t="s">
        <v>1348</v>
      </c>
      <c r="G1223" t="s">
        <v>74</v>
      </c>
      <c r="H1223" t="s">
        <v>75</v>
      </c>
      <c r="I1223" t="s">
        <v>76</v>
      </c>
      <c r="J1223" t="s">
        <v>125</v>
      </c>
      <c r="K1223" t="s">
        <v>126</v>
      </c>
      <c r="L1223" t="s">
        <v>131</v>
      </c>
      <c r="M1223" s="24">
        <v>6</v>
      </c>
      <c r="N1223" s="25">
        <v>44659.53</v>
      </c>
      <c r="O1223" s="25">
        <f t="shared" si="156"/>
        <v>267957.18</v>
      </c>
      <c r="P1223" s="25">
        <v>29852.41</v>
      </c>
      <c r="Q1223" s="25">
        <f t="shared" si="157"/>
        <v>179114.46</v>
      </c>
      <c r="R1223" s="25">
        <f t="shared" si="158"/>
        <v>88842.72</v>
      </c>
      <c r="S1223" s="26">
        <f t="shared" si="159"/>
        <v>0.33155566124408387</v>
      </c>
    </row>
    <row r="1224" spans="1:19" ht="15" x14ac:dyDescent="0.2">
      <c r="A1224" s="23">
        <v>45976</v>
      </c>
      <c r="B1224">
        <f t="shared" si="152"/>
        <v>2025</v>
      </c>
      <c r="C1224">
        <f t="shared" si="153"/>
        <v>11</v>
      </c>
      <c r="D1224" t="str">
        <f t="shared" si="154"/>
        <v>Noviembre</v>
      </c>
      <c r="E1224" t="str">
        <f t="shared" si="155"/>
        <v>T4</v>
      </c>
      <c r="F1224" t="s">
        <v>1349</v>
      </c>
      <c r="G1224" t="s">
        <v>100</v>
      </c>
      <c r="H1224" t="s">
        <v>88</v>
      </c>
      <c r="I1224" t="s">
        <v>101</v>
      </c>
      <c r="J1224" t="s">
        <v>64</v>
      </c>
      <c r="K1224" t="s">
        <v>96</v>
      </c>
      <c r="L1224" t="s">
        <v>97</v>
      </c>
      <c r="M1224" s="24">
        <v>26</v>
      </c>
      <c r="N1224" s="25">
        <v>35364.81</v>
      </c>
      <c r="O1224" s="25">
        <f t="shared" si="156"/>
        <v>919485.05999999994</v>
      </c>
      <c r="P1224" s="25">
        <v>20677.27</v>
      </c>
      <c r="Q1224" s="25">
        <f t="shared" si="157"/>
        <v>537609.02</v>
      </c>
      <c r="R1224" s="25">
        <f t="shared" si="158"/>
        <v>381876.03999999992</v>
      </c>
      <c r="S1224" s="26">
        <f t="shared" si="159"/>
        <v>0.41531511126455928</v>
      </c>
    </row>
    <row r="1225" spans="1:19" ht="15" x14ac:dyDescent="0.2">
      <c r="A1225" s="23">
        <v>45976</v>
      </c>
      <c r="B1225">
        <f t="shared" si="152"/>
        <v>2025</v>
      </c>
      <c r="C1225">
        <f t="shared" si="153"/>
        <v>11</v>
      </c>
      <c r="D1225" t="str">
        <f t="shared" si="154"/>
        <v>Noviembre</v>
      </c>
      <c r="E1225" t="str">
        <f t="shared" si="155"/>
        <v>T4</v>
      </c>
      <c r="F1225" t="s">
        <v>1350</v>
      </c>
      <c r="G1225" t="s">
        <v>188</v>
      </c>
      <c r="H1225" t="s">
        <v>88</v>
      </c>
      <c r="I1225" t="s">
        <v>189</v>
      </c>
      <c r="J1225" t="s">
        <v>70</v>
      </c>
      <c r="K1225" t="s">
        <v>84</v>
      </c>
      <c r="L1225" t="s">
        <v>147</v>
      </c>
      <c r="M1225" s="24">
        <v>3</v>
      </c>
      <c r="N1225" s="25">
        <v>78146.95</v>
      </c>
      <c r="O1225" s="25">
        <f t="shared" si="156"/>
        <v>234440.84999999998</v>
      </c>
      <c r="P1225" s="25">
        <v>45228.75</v>
      </c>
      <c r="Q1225" s="25">
        <f t="shared" si="157"/>
        <v>135686.25</v>
      </c>
      <c r="R1225" s="25">
        <f t="shared" si="158"/>
        <v>98754.599999999977</v>
      </c>
      <c r="S1225" s="26">
        <f t="shared" si="159"/>
        <v>0.4212346099239957</v>
      </c>
    </row>
    <row r="1226" spans="1:19" ht="15" x14ac:dyDescent="0.2">
      <c r="A1226" s="23">
        <v>45977</v>
      </c>
      <c r="B1226">
        <f t="shared" si="152"/>
        <v>2025</v>
      </c>
      <c r="C1226">
        <f t="shared" si="153"/>
        <v>11</v>
      </c>
      <c r="D1226" t="str">
        <f t="shared" si="154"/>
        <v>Noviembre</v>
      </c>
      <c r="E1226" t="str">
        <f t="shared" si="155"/>
        <v>T4</v>
      </c>
      <c r="F1226" t="s">
        <v>1351</v>
      </c>
      <c r="G1226" t="s">
        <v>282</v>
      </c>
      <c r="H1226" t="s">
        <v>55</v>
      </c>
      <c r="I1226" t="s">
        <v>56</v>
      </c>
      <c r="J1226" t="s">
        <v>64</v>
      </c>
      <c r="K1226" t="s">
        <v>65</v>
      </c>
      <c r="L1226" t="s">
        <v>66</v>
      </c>
      <c r="M1226" s="24">
        <v>4</v>
      </c>
      <c r="N1226" s="25">
        <v>460739.19</v>
      </c>
      <c r="O1226" s="25">
        <f t="shared" si="156"/>
        <v>1842956.76</v>
      </c>
      <c r="P1226" s="25">
        <v>358094.62</v>
      </c>
      <c r="Q1226" s="25">
        <f t="shared" si="157"/>
        <v>1432378.48</v>
      </c>
      <c r="R1226" s="25">
        <f t="shared" si="158"/>
        <v>410578.28</v>
      </c>
      <c r="S1226" s="26">
        <f t="shared" si="159"/>
        <v>0.22278237282137864</v>
      </c>
    </row>
    <row r="1227" spans="1:19" ht="15" x14ac:dyDescent="0.2">
      <c r="A1227" s="23">
        <v>45977</v>
      </c>
      <c r="B1227">
        <f t="shared" si="152"/>
        <v>2025</v>
      </c>
      <c r="C1227">
        <f t="shared" si="153"/>
        <v>11</v>
      </c>
      <c r="D1227" t="str">
        <f t="shared" si="154"/>
        <v>Noviembre</v>
      </c>
      <c r="E1227" t="str">
        <f t="shared" si="155"/>
        <v>T4</v>
      </c>
      <c r="F1227" t="s">
        <v>1352</v>
      </c>
      <c r="G1227" t="s">
        <v>54</v>
      </c>
      <c r="H1227" t="s">
        <v>55</v>
      </c>
      <c r="I1227" t="s">
        <v>56</v>
      </c>
      <c r="J1227" t="s">
        <v>70</v>
      </c>
      <c r="K1227" t="s">
        <v>71</v>
      </c>
      <c r="L1227" t="s">
        <v>90</v>
      </c>
      <c r="M1227" s="24">
        <v>7</v>
      </c>
      <c r="N1227" s="25">
        <v>49517.59</v>
      </c>
      <c r="O1227" s="25">
        <f t="shared" si="156"/>
        <v>346623.13</v>
      </c>
      <c r="P1227" s="25">
        <v>39241.64</v>
      </c>
      <c r="Q1227" s="25">
        <f t="shared" si="157"/>
        <v>274691.48</v>
      </c>
      <c r="R1227" s="25">
        <f t="shared" si="158"/>
        <v>71931.650000000023</v>
      </c>
      <c r="S1227" s="26">
        <f t="shared" si="159"/>
        <v>0.20752120610070085</v>
      </c>
    </row>
    <row r="1228" spans="1:19" ht="15" x14ac:dyDescent="0.2">
      <c r="A1228" s="23">
        <v>45978</v>
      </c>
      <c r="B1228">
        <f t="shared" si="152"/>
        <v>2025</v>
      </c>
      <c r="C1228">
        <f t="shared" si="153"/>
        <v>11</v>
      </c>
      <c r="D1228" t="str">
        <f t="shared" si="154"/>
        <v>Noviembre</v>
      </c>
      <c r="E1228" t="str">
        <f t="shared" si="155"/>
        <v>T4</v>
      </c>
      <c r="F1228" t="s">
        <v>1353</v>
      </c>
      <c r="G1228" t="s">
        <v>110</v>
      </c>
      <c r="H1228" t="s">
        <v>62</v>
      </c>
      <c r="I1228" t="s">
        <v>69</v>
      </c>
      <c r="J1228" t="s">
        <v>77</v>
      </c>
      <c r="K1228" t="s">
        <v>107</v>
      </c>
      <c r="L1228" t="s">
        <v>112</v>
      </c>
      <c r="M1228" s="24">
        <v>73</v>
      </c>
      <c r="N1228" s="25">
        <v>6859.46</v>
      </c>
      <c r="O1228" s="25">
        <f t="shared" si="156"/>
        <v>500740.58</v>
      </c>
      <c r="P1228" s="25">
        <v>5396.68</v>
      </c>
      <c r="Q1228" s="25">
        <f t="shared" si="157"/>
        <v>393957.64</v>
      </c>
      <c r="R1228" s="25">
        <f t="shared" si="158"/>
        <v>106782.94</v>
      </c>
      <c r="S1228" s="26">
        <f t="shared" si="159"/>
        <v>0.21325002259653092</v>
      </c>
    </row>
    <row r="1229" spans="1:19" ht="15" x14ac:dyDescent="0.2">
      <c r="A1229" s="23">
        <v>45978</v>
      </c>
      <c r="B1229">
        <f t="shared" si="152"/>
        <v>2025</v>
      </c>
      <c r="C1229">
        <f t="shared" si="153"/>
        <v>11</v>
      </c>
      <c r="D1229" t="str">
        <f t="shared" si="154"/>
        <v>Noviembre</v>
      </c>
      <c r="E1229" t="str">
        <f t="shared" si="155"/>
        <v>T4</v>
      </c>
      <c r="F1229" t="s">
        <v>1354</v>
      </c>
      <c r="G1229" t="s">
        <v>68</v>
      </c>
      <c r="H1229" t="s">
        <v>62</v>
      </c>
      <c r="I1229" t="s">
        <v>69</v>
      </c>
      <c r="J1229" t="s">
        <v>77</v>
      </c>
      <c r="K1229" t="s">
        <v>78</v>
      </c>
      <c r="L1229" t="s">
        <v>117</v>
      </c>
      <c r="M1229" s="24">
        <v>183</v>
      </c>
      <c r="N1229" s="25">
        <v>3231.84</v>
      </c>
      <c r="O1229" s="25">
        <f t="shared" si="156"/>
        <v>591426.72</v>
      </c>
      <c r="P1229" s="25">
        <v>2602.62</v>
      </c>
      <c r="Q1229" s="25">
        <f t="shared" si="157"/>
        <v>476279.45999999996</v>
      </c>
      <c r="R1229" s="25">
        <f t="shared" si="158"/>
        <v>115147.26000000001</v>
      </c>
      <c r="S1229" s="26">
        <f t="shared" si="159"/>
        <v>0.19469404425961684</v>
      </c>
    </row>
    <row r="1230" spans="1:19" ht="15" x14ac:dyDescent="0.2">
      <c r="A1230" s="23">
        <v>45978</v>
      </c>
      <c r="B1230">
        <f t="shared" si="152"/>
        <v>2025</v>
      </c>
      <c r="C1230">
        <f t="shared" si="153"/>
        <v>11</v>
      </c>
      <c r="D1230" t="str">
        <f t="shared" si="154"/>
        <v>Noviembre</v>
      </c>
      <c r="E1230" t="str">
        <f t="shared" si="155"/>
        <v>T4</v>
      </c>
      <c r="F1230" t="s">
        <v>1355</v>
      </c>
      <c r="G1230" t="s">
        <v>114</v>
      </c>
      <c r="H1230" t="s">
        <v>75</v>
      </c>
      <c r="I1230" t="s">
        <v>115</v>
      </c>
      <c r="J1230" t="s">
        <v>64</v>
      </c>
      <c r="K1230" t="s">
        <v>65</v>
      </c>
      <c r="L1230" t="s">
        <v>123</v>
      </c>
      <c r="M1230" s="24">
        <v>9</v>
      </c>
      <c r="N1230" s="25">
        <v>90747.67</v>
      </c>
      <c r="O1230" s="25">
        <f t="shared" si="156"/>
        <v>816729.03</v>
      </c>
      <c r="P1230" s="25">
        <v>62036.77</v>
      </c>
      <c r="Q1230" s="25">
        <f t="shared" si="157"/>
        <v>558330.92999999993</v>
      </c>
      <c r="R1230" s="25">
        <f t="shared" si="158"/>
        <v>258398.10000000009</v>
      </c>
      <c r="S1230" s="26">
        <f t="shared" si="159"/>
        <v>0.31638167679677076</v>
      </c>
    </row>
    <row r="1231" spans="1:19" ht="15" x14ac:dyDescent="0.2">
      <c r="A1231" s="23">
        <v>45978</v>
      </c>
      <c r="B1231">
        <f t="shared" si="152"/>
        <v>2025</v>
      </c>
      <c r="C1231">
        <f t="shared" si="153"/>
        <v>11</v>
      </c>
      <c r="D1231" t="str">
        <f t="shared" si="154"/>
        <v>Noviembre</v>
      </c>
      <c r="E1231" t="str">
        <f t="shared" si="155"/>
        <v>T4</v>
      </c>
      <c r="F1231" t="s">
        <v>1356</v>
      </c>
      <c r="G1231" t="s">
        <v>74</v>
      </c>
      <c r="H1231" t="s">
        <v>75</v>
      </c>
      <c r="I1231" t="s">
        <v>76</v>
      </c>
      <c r="J1231" t="s">
        <v>57</v>
      </c>
      <c r="K1231" t="s">
        <v>81</v>
      </c>
      <c r="L1231" t="s">
        <v>82</v>
      </c>
      <c r="M1231" s="24">
        <v>9</v>
      </c>
      <c r="N1231" s="25">
        <v>39316.870000000003</v>
      </c>
      <c r="O1231" s="25">
        <f t="shared" si="156"/>
        <v>353851.83</v>
      </c>
      <c r="P1231" s="25">
        <v>26679.46</v>
      </c>
      <c r="Q1231" s="25">
        <f t="shared" si="157"/>
        <v>240115.13999999998</v>
      </c>
      <c r="R1231" s="25">
        <f t="shared" si="158"/>
        <v>113736.69000000003</v>
      </c>
      <c r="S1231" s="26">
        <f t="shared" si="159"/>
        <v>0.321424620016802</v>
      </c>
    </row>
    <row r="1232" spans="1:19" ht="15" x14ac:dyDescent="0.2">
      <c r="A1232" s="23">
        <v>45978</v>
      </c>
      <c r="B1232">
        <f t="shared" si="152"/>
        <v>2025</v>
      </c>
      <c r="C1232">
        <f t="shared" si="153"/>
        <v>11</v>
      </c>
      <c r="D1232" t="str">
        <f t="shared" si="154"/>
        <v>Noviembre</v>
      </c>
      <c r="E1232" t="str">
        <f t="shared" si="155"/>
        <v>T4</v>
      </c>
      <c r="F1232" t="s">
        <v>1357</v>
      </c>
      <c r="G1232" t="s">
        <v>74</v>
      </c>
      <c r="H1232" t="s">
        <v>75</v>
      </c>
      <c r="I1232" t="s">
        <v>76</v>
      </c>
      <c r="J1232" t="s">
        <v>70</v>
      </c>
      <c r="K1232" t="s">
        <v>84</v>
      </c>
      <c r="L1232" t="s">
        <v>147</v>
      </c>
      <c r="M1232" s="24">
        <v>2</v>
      </c>
      <c r="N1232" s="25">
        <v>38635.9</v>
      </c>
      <c r="O1232" s="25">
        <f t="shared" si="156"/>
        <v>77271.8</v>
      </c>
      <c r="P1232" s="25">
        <v>27570.5</v>
      </c>
      <c r="Q1232" s="25">
        <f t="shared" si="157"/>
        <v>55141</v>
      </c>
      <c r="R1232" s="25">
        <f t="shared" si="158"/>
        <v>22130.800000000003</v>
      </c>
      <c r="S1232" s="26">
        <f t="shared" si="159"/>
        <v>0.28640202505959483</v>
      </c>
    </row>
    <row r="1233" spans="1:19" ht="15" x14ac:dyDescent="0.2">
      <c r="A1233" s="23">
        <v>45979</v>
      </c>
      <c r="B1233">
        <f t="shared" si="152"/>
        <v>2025</v>
      </c>
      <c r="C1233">
        <f t="shared" si="153"/>
        <v>11</v>
      </c>
      <c r="D1233" t="str">
        <f t="shared" si="154"/>
        <v>Noviembre</v>
      </c>
      <c r="E1233" t="str">
        <f t="shared" si="155"/>
        <v>T4</v>
      </c>
      <c r="F1233" t="s">
        <v>1358</v>
      </c>
      <c r="G1233" t="s">
        <v>105</v>
      </c>
      <c r="H1233" t="s">
        <v>62</v>
      </c>
      <c r="I1233" t="s">
        <v>106</v>
      </c>
      <c r="J1233" t="s">
        <v>57</v>
      </c>
      <c r="K1233" t="s">
        <v>58</v>
      </c>
      <c r="L1233" t="s">
        <v>162</v>
      </c>
      <c r="M1233" s="24">
        <v>122</v>
      </c>
      <c r="N1233" s="25">
        <v>1803.65</v>
      </c>
      <c r="O1233" s="25">
        <f t="shared" si="156"/>
        <v>220045.30000000002</v>
      </c>
      <c r="P1233" s="25">
        <v>1496.62</v>
      </c>
      <c r="Q1233" s="25">
        <f t="shared" si="157"/>
        <v>182587.63999999998</v>
      </c>
      <c r="R1233" s="25">
        <f t="shared" si="158"/>
        <v>37457.660000000033</v>
      </c>
      <c r="S1233" s="26">
        <f t="shared" si="159"/>
        <v>0.17022703961411595</v>
      </c>
    </row>
    <row r="1234" spans="1:19" ht="15" x14ac:dyDescent="0.2">
      <c r="A1234" s="23">
        <v>45979</v>
      </c>
      <c r="B1234">
        <f t="shared" si="152"/>
        <v>2025</v>
      </c>
      <c r="C1234">
        <f t="shared" si="153"/>
        <v>11</v>
      </c>
      <c r="D1234" t="str">
        <f t="shared" si="154"/>
        <v>Noviembre</v>
      </c>
      <c r="E1234" t="str">
        <f t="shared" si="155"/>
        <v>T4</v>
      </c>
      <c r="F1234" t="s">
        <v>1359</v>
      </c>
      <c r="G1234" t="s">
        <v>114</v>
      </c>
      <c r="H1234" t="s">
        <v>75</v>
      </c>
      <c r="I1234" t="s">
        <v>115</v>
      </c>
      <c r="J1234" t="s">
        <v>77</v>
      </c>
      <c r="K1234" t="s">
        <v>78</v>
      </c>
      <c r="L1234" t="s">
        <v>79</v>
      </c>
      <c r="M1234" s="24">
        <v>5</v>
      </c>
      <c r="N1234" s="25">
        <v>96232.43</v>
      </c>
      <c r="O1234" s="25">
        <f t="shared" si="156"/>
        <v>481162.14999999997</v>
      </c>
      <c r="P1234" s="25">
        <v>63058.7</v>
      </c>
      <c r="Q1234" s="25">
        <f t="shared" si="157"/>
        <v>315293.5</v>
      </c>
      <c r="R1234" s="25">
        <f t="shared" si="158"/>
        <v>165868.64999999997</v>
      </c>
      <c r="S1234" s="26">
        <f t="shared" si="159"/>
        <v>0.34472505786251056</v>
      </c>
    </row>
    <row r="1235" spans="1:19" ht="15" x14ac:dyDescent="0.2">
      <c r="A1235" s="23">
        <v>45979</v>
      </c>
      <c r="B1235">
        <f t="shared" si="152"/>
        <v>2025</v>
      </c>
      <c r="C1235">
        <f t="shared" si="153"/>
        <v>11</v>
      </c>
      <c r="D1235" t="str">
        <f t="shared" si="154"/>
        <v>Noviembre</v>
      </c>
      <c r="E1235" t="str">
        <f t="shared" si="155"/>
        <v>T4</v>
      </c>
      <c r="F1235" t="s">
        <v>1360</v>
      </c>
      <c r="G1235" t="s">
        <v>144</v>
      </c>
      <c r="H1235" t="s">
        <v>88</v>
      </c>
      <c r="I1235" t="s">
        <v>145</v>
      </c>
      <c r="J1235" t="s">
        <v>125</v>
      </c>
      <c r="K1235" t="s">
        <v>138</v>
      </c>
      <c r="L1235" t="s">
        <v>142</v>
      </c>
      <c r="M1235" s="24">
        <v>23</v>
      </c>
      <c r="N1235" s="25">
        <v>13024.25</v>
      </c>
      <c r="O1235" s="25">
        <f t="shared" si="156"/>
        <v>299557.75</v>
      </c>
      <c r="P1235" s="25">
        <v>7090.79</v>
      </c>
      <c r="Q1235" s="25">
        <f t="shared" si="157"/>
        <v>163088.17000000001</v>
      </c>
      <c r="R1235" s="25">
        <f t="shared" si="158"/>
        <v>136469.57999999999</v>
      </c>
      <c r="S1235" s="26">
        <f t="shared" si="159"/>
        <v>0.45557018638309305</v>
      </c>
    </row>
    <row r="1236" spans="1:19" ht="15" x14ac:dyDescent="0.2">
      <c r="A1236" s="23">
        <v>45979</v>
      </c>
      <c r="B1236">
        <f t="shared" si="152"/>
        <v>2025</v>
      </c>
      <c r="C1236">
        <f t="shared" si="153"/>
        <v>11</v>
      </c>
      <c r="D1236" t="str">
        <f t="shared" si="154"/>
        <v>Noviembre</v>
      </c>
      <c r="E1236" t="str">
        <f t="shared" si="155"/>
        <v>T4</v>
      </c>
      <c r="F1236" t="s">
        <v>1361</v>
      </c>
      <c r="G1236" t="s">
        <v>92</v>
      </c>
      <c r="H1236" t="s">
        <v>93</v>
      </c>
      <c r="I1236" t="s">
        <v>94</v>
      </c>
      <c r="J1236" t="s">
        <v>77</v>
      </c>
      <c r="K1236" t="s">
        <v>107</v>
      </c>
      <c r="L1236" t="s">
        <v>108</v>
      </c>
      <c r="M1236" s="24">
        <v>8</v>
      </c>
      <c r="N1236" s="25">
        <v>22217.279999999999</v>
      </c>
      <c r="O1236" s="25">
        <f t="shared" si="156"/>
        <v>177738.23999999999</v>
      </c>
      <c r="P1236" s="25">
        <v>12296.04</v>
      </c>
      <c r="Q1236" s="25">
        <f t="shared" si="157"/>
        <v>98368.320000000007</v>
      </c>
      <c r="R1236" s="25">
        <f t="shared" si="158"/>
        <v>79369.919999999984</v>
      </c>
      <c r="S1236" s="26">
        <f t="shared" si="159"/>
        <v>0.44655511385732177</v>
      </c>
    </row>
    <row r="1237" spans="1:19" ht="15" x14ac:dyDescent="0.2">
      <c r="A1237" s="23">
        <v>45979</v>
      </c>
      <c r="B1237">
        <f t="shared" si="152"/>
        <v>2025</v>
      </c>
      <c r="C1237">
        <f t="shared" si="153"/>
        <v>11</v>
      </c>
      <c r="D1237" t="str">
        <f t="shared" si="154"/>
        <v>Noviembre</v>
      </c>
      <c r="E1237" t="str">
        <f t="shared" si="155"/>
        <v>T4</v>
      </c>
      <c r="F1237" t="s">
        <v>1362</v>
      </c>
      <c r="G1237" t="s">
        <v>92</v>
      </c>
      <c r="H1237" t="s">
        <v>93</v>
      </c>
      <c r="I1237" t="s">
        <v>94</v>
      </c>
      <c r="J1237" t="s">
        <v>77</v>
      </c>
      <c r="K1237" t="s">
        <v>78</v>
      </c>
      <c r="L1237" t="s">
        <v>117</v>
      </c>
      <c r="M1237" s="24">
        <v>11</v>
      </c>
      <c r="N1237" s="25">
        <v>21854.06</v>
      </c>
      <c r="O1237" s="25">
        <f t="shared" si="156"/>
        <v>240394.66</v>
      </c>
      <c r="P1237" s="25">
        <v>12064.04</v>
      </c>
      <c r="Q1237" s="25">
        <f t="shared" si="157"/>
        <v>132704.44</v>
      </c>
      <c r="R1237" s="25">
        <f t="shared" si="158"/>
        <v>107690.22</v>
      </c>
      <c r="S1237" s="26">
        <f t="shared" si="159"/>
        <v>0.44797259639627601</v>
      </c>
    </row>
    <row r="1238" spans="1:19" ht="15" x14ac:dyDescent="0.2">
      <c r="A1238" s="23">
        <v>45979</v>
      </c>
      <c r="B1238">
        <f t="shared" si="152"/>
        <v>2025</v>
      </c>
      <c r="C1238">
        <f t="shared" si="153"/>
        <v>11</v>
      </c>
      <c r="D1238" t="str">
        <f t="shared" si="154"/>
        <v>Noviembre</v>
      </c>
      <c r="E1238" t="str">
        <f t="shared" si="155"/>
        <v>T4</v>
      </c>
      <c r="F1238" t="s">
        <v>1363</v>
      </c>
      <c r="G1238" t="s">
        <v>92</v>
      </c>
      <c r="H1238" t="s">
        <v>93</v>
      </c>
      <c r="I1238" t="s">
        <v>94</v>
      </c>
      <c r="J1238" t="s">
        <v>125</v>
      </c>
      <c r="K1238" t="s">
        <v>138</v>
      </c>
      <c r="L1238" t="s">
        <v>142</v>
      </c>
      <c r="M1238" s="24">
        <v>6</v>
      </c>
      <c r="N1238" s="25">
        <v>20217.599999999999</v>
      </c>
      <c r="O1238" s="25">
        <f t="shared" si="156"/>
        <v>121305.59999999999</v>
      </c>
      <c r="P1238" s="25">
        <v>11855.78</v>
      </c>
      <c r="Q1238" s="25">
        <f t="shared" si="157"/>
        <v>71134.680000000008</v>
      </c>
      <c r="R1238" s="25">
        <f t="shared" si="158"/>
        <v>50170.919999999984</v>
      </c>
      <c r="S1238" s="26">
        <f t="shared" si="159"/>
        <v>0.41359112852168395</v>
      </c>
    </row>
    <row r="1239" spans="1:19" ht="15" x14ac:dyDescent="0.2">
      <c r="A1239" s="23">
        <v>45979</v>
      </c>
      <c r="B1239">
        <f t="shared" si="152"/>
        <v>2025</v>
      </c>
      <c r="C1239">
        <f t="shared" si="153"/>
        <v>11</v>
      </c>
      <c r="D1239" t="str">
        <f t="shared" si="154"/>
        <v>Noviembre</v>
      </c>
      <c r="E1239" t="str">
        <f t="shared" si="155"/>
        <v>T4</v>
      </c>
      <c r="F1239" t="s">
        <v>1364</v>
      </c>
      <c r="G1239" t="s">
        <v>149</v>
      </c>
      <c r="H1239" t="s">
        <v>93</v>
      </c>
      <c r="I1239" t="s">
        <v>150</v>
      </c>
      <c r="J1239" t="s">
        <v>70</v>
      </c>
      <c r="K1239" t="s">
        <v>71</v>
      </c>
      <c r="L1239" t="s">
        <v>90</v>
      </c>
      <c r="M1239" s="24">
        <v>2</v>
      </c>
      <c r="N1239" s="25">
        <v>49185.4</v>
      </c>
      <c r="O1239" s="25">
        <f t="shared" si="156"/>
        <v>98370.8</v>
      </c>
      <c r="P1239" s="25">
        <v>30833.95</v>
      </c>
      <c r="Q1239" s="25">
        <f t="shared" si="157"/>
        <v>61667.9</v>
      </c>
      <c r="R1239" s="25">
        <f t="shared" si="158"/>
        <v>36702.9</v>
      </c>
      <c r="S1239" s="26">
        <f t="shared" si="159"/>
        <v>0.37310767016228391</v>
      </c>
    </row>
    <row r="1240" spans="1:19" ht="15" x14ac:dyDescent="0.2">
      <c r="A1240" s="23">
        <v>45980</v>
      </c>
      <c r="B1240">
        <f t="shared" si="152"/>
        <v>2025</v>
      </c>
      <c r="C1240">
        <f t="shared" si="153"/>
        <v>11</v>
      </c>
      <c r="D1240" t="str">
        <f t="shared" si="154"/>
        <v>Noviembre</v>
      </c>
      <c r="E1240" t="str">
        <f t="shared" si="155"/>
        <v>T4</v>
      </c>
      <c r="F1240" t="s">
        <v>1365</v>
      </c>
      <c r="G1240" t="s">
        <v>54</v>
      </c>
      <c r="H1240" t="s">
        <v>55</v>
      </c>
      <c r="I1240" t="s">
        <v>56</v>
      </c>
      <c r="J1240" t="s">
        <v>77</v>
      </c>
      <c r="K1240" t="s">
        <v>78</v>
      </c>
      <c r="L1240" t="s">
        <v>117</v>
      </c>
      <c r="M1240" s="24">
        <v>14</v>
      </c>
      <c r="N1240" s="25">
        <v>55351.15</v>
      </c>
      <c r="O1240" s="25">
        <f t="shared" si="156"/>
        <v>774916.1</v>
      </c>
      <c r="P1240" s="25">
        <v>41046.559999999998</v>
      </c>
      <c r="Q1240" s="25">
        <f t="shared" si="157"/>
        <v>574651.84</v>
      </c>
      <c r="R1240" s="25">
        <f t="shared" si="158"/>
        <v>200264.26</v>
      </c>
      <c r="S1240" s="26">
        <f t="shared" si="159"/>
        <v>0.25843347428192553</v>
      </c>
    </row>
    <row r="1241" spans="1:19" ht="15" x14ac:dyDescent="0.2">
      <c r="A1241" s="23">
        <v>45980</v>
      </c>
      <c r="B1241">
        <f t="shared" si="152"/>
        <v>2025</v>
      </c>
      <c r="C1241">
        <f t="shared" si="153"/>
        <v>11</v>
      </c>
      <c r="D1241" t="str">
        <f t="shared" si="154"/>
        <v>Noviembre</v>
      </c>
      <c r="E1241" t="str">
        <f t="shared" si="155"/>
        <v>T4</v>
      </c>
      <c r="F1241" t="s">
        <v>1366</v>
      </c>
      <c r="G1241" t="s">
        <v>54</v>
      </c>
      <c r="H1241" t="s">
        <v>55</v>
      </c>
      <c r="I1241" t="s">
        <v>56</v>
      </c>
      <c r="J1241" t="s">
        <v>57</v>
      </c>
      <c r="K1241" t="s">
        <v>81</v>
      </c>
      <c r="L1241" t="s">
        <v>129</v>
      </c>
      <c r="M1241" s="24">
        <v>9</v>
      </c>
      <c r="N1241" s="25">
        <v>56305.07</v>
      </c>
      <c r="O1241" s="25">
        <f t="shared" si="156"/>
        <v>506745.63</v>
      </c>
      <c r="P1241" s="25">
        <v>42106.73</v>
      </c>
      <c r="Q1241" s="25">
        <f t="shared" si="157"/>
        <v>378960.57</v>
      </c>
      <c r="R1241" s="25">
        <f t="shared" si="158"/>
        <v>127785.06</v>
      </c>
      <c r="S1241" s="26">
        <f t="shared" si="159"/>
        <v>0.25216805520355451</v>
      </c>
    </row>
    <row r="1242" spans="1:19" ht="15" x14ac:dyDescent="0.2">
      <c r="A1242" s="23">
        <v>45980</v>
      </c>
      <c r="B1242">
        <f t="shared" si="152"/>
        <v>2025</v>
      </c>
      <c r="C1242">
        <f t="shared" si="153"/>
        <v>11</v>
      </c>
      <c r="D1242" t="str">
        <f t="shared" si="154"/>
        <v>Noviembre</v>
      </c>
      <c r="E1242" t="str">
        <f t="shared" si="155"/>
        <v>T4</v>
      </c>
      <c r="F1242" t="s">
        <v>1367</v>
      </c>
      <c r="G1242" t="s">
        <v>54</v>
      </c>
      <c r="H1242" t="s">
        <v>55</v>
      </c>
      <c r="I1242" t="s">
        <v>56</v>
      </c>
      <c r="J1242" t="s">
        <v>125</v>
      </c>
      <c r="K1242" t="s">
        <v>138</v>
      </c>
      <c r="L1242" t="s">
        <v>142</v>
      </c>
      <c r="M1242" s="24">
        <v>11</v>
      </c>
      <c r="N1242" s="25">
        <v>58153.4</v>
      </c>
      <c r="O1242" s="25">
        <f t="shared" si="156"/>
        <v>639687.4</v>
      </c>
      <c r="P1242" s="25">
        <v>42947.62</v>
      </c>
      <c r="Q1242" s="25">
        <f t="shared" si="157"/>
        <v>472423.82</v>
      </c>
      <c r="R1242" s="25">
        <f t="shared" si="158"/>
        <v>167263.58000000002</v>
      </c>
      <c r="S1242" s="26">
        <f t="shared" si="159"/>
        <v>0.26147705895098139</v>
      </c>
    </row>
    <row r="1243" spans="1:19" ht="15" x14ac:dyDescent="0.2">
      <c r="A1243" s="23">
        <v>45980</v>
      </c>
      <c r="B1243">
        <f t="shared" si="152"/>
        <v>2025</v>
      </c>
      <c r="C1243">
        <f t="shared" si="153"/>
        <v>11</v>
      </c>
      <c r="D1243" t="str">
        <f t="shared" si="154"/>
        <v>Noviembre</v>
      </c>
      <c r="E1243" t="str">
        <f t="shared" si="155"/>
        <v>T4</v>
      </c>
      <c r="F1243" t="s">
        <v>1368</v>
      </c>
      <c r="G1243" t="s">
        <v>110</v>
      </c>
      <c r="H1243" t="s">
        <v>62</v>
      </c>
      <c r="I1243" t="s">
        <v>69</v>
      </c>
      <c r="J1243" t="s">
        <v>125</v>
      </c>
      <c r="K1243" t="s">
        <v>138</v>
      </c>
      <c r="L1243" t="s">
        <v>142</v>
      </c>
      <c r="M1243" s="24">
        <v>71</v>
      </c>
      <c r="N1243" s="25">
        <v>6674.15</v>
      </c>
      <c r="O1243" s="25">
        <f t="shared" si="156"/>
        <v>473864.64999999997</v>
      </c>
      <c r="P1243" s="25">
        <v>5377.16</v>
      </c>
      <c r="Q1243" s="25">
        <f t="shared" si="157"/>
        <v>381778.36</v>
      </c>
      <c r="R1243" s="25">
        <f t="shared" si="158"/>
        <v>92086.289999999979</v>
      </c>
      <c r="S1243" s="26">
        <f t="shared" si="159"/>
        <v>0.19433036416622337</v>
      </c>
    </row>
    <row r="1244" spans="1:19" ht="15" x14ac:dyDescent="0.2">
      <c r="A1244" s="23">
        <v>45980</v>
      </c>
      <c r="B1244">
        <f t="shared" si="152"/>
        <v>2025</v>
      </c>
      <c r="C1244">
        <f t="shared" si="153"/>
        <v>11</v>
      </c>
      <c r="D1244" t="str">
        <f t="shared" si="154"/>
        <v>Noviembre</v>
      </c>
      <c r="E1244" t="str">
        <f t="shared" si="155"/>
        <v>T4</v>
      </c>
      <c r="F1244" t="s">
        <v>1369</v>
      </c>
      <c r="G1244" t="s">
        <v>92</v>
      </c>
      <c r="H1244" t="s">
        <v>93</v>
      </c>
      <c r="I1244" t="s">
        <v>94</v>
      </c>
      <c r="J1244" t="s">
        <v>125</v>
      </c>
      <c r="K1244" t="s">
        <v>126</v>
      </c>
      <c r="L1244" t="s">
        <v>131</v>
      </c>
      <c r="M1244" s="24">
        <v>3</v>
      </c>
      <c r="N1244" s="25">
        <v>22789.73</v>
      </c>
      <c r="O1244" s="25">
        <f t="shared" si="156"/>
        <v>68369.19</v>
      </c>
      <c r="P1244" s="25">
        <v>13581.38</v>
      </c>
      <c r="Q1244" s="25">
        <f t="shared" si="157"/>
        <v>40744.14</v>
      </c>
      <c r="R1244" s="25">
        <f t="shared" si="158"/>
        <v>27625.050000000003</v>
      </c>
      <c r="S1244" s="26">
        <f t="shared" si="159"/>
        <v>0.40405700286927493</v>
      </c>
    </row>
    <row r="1245" spans="1:19" ht="15" x14ac:dyDescent="0.2">
      <c r="A1245" s="23">
        <v>45981</v>
      </c>
      <c r="B1245">
        <f t="shared" si="152"/>
        <v>2025</v>
      </c>
      <c r="C1245">
        <f t="shared" si="153"/>
        <v>11</v>
      </c>
      <c r="D1245" t="str">
        <f t="shared" si="154"/>
        <v>Noviembre</v>
      </c>
      <c r="E1245" t="str">
        <f t="shared" si="155"/>
        <v>T4</v>
      </c>
      <c r="F1245" t="s">
        <v>1370</v>
      </c>
      <c r="G1245" t="s">
        <v>68</v>
      </c>
      <c r="H1245" t="s">
        <v>62</v>
      </c>
      <c r="I1245" t="s">
        <v>69</v>
      </c>
      <c r="J1245" t="s">
        <v>64</v>
      </c>
      <c r="K1245" t="s">
        <v>65</v>
      </c>
      <c r="L1245" t="s">
        <v>123</v>
      </c>
      <c r="M1245" s="24">
        <v>459</v>
      </c>
      <c r="N1245" s="25">
        <v>3094.97</v>
      </c>
      <c r="O1245" s="25">
        <f t="shared" si="156"/>
        <v>1420591.23</v>
      </c>
      <c r="P1245" s="25">
        <v>2597.54</v>
      </c>
      <c r="Q1245" s="25">
        <f t="shared" si="157"/>
        <v>1192270.8599999999</v>
      </c>
      <c r="R1245" s="25">
        <f t="shared" si="158"/>
        <v>228320.37000000011</v>
      </c>
      <c r="S1245" s="26">
        <f t="shared" si="159"/>
        <v>0.16072207485048329</v>
      </c>
    </row>
    <row r="1246" spans="1:19" ht="15" x14ac:dyDescent="0.2">
      <c r="A1246" s="23">
        <v>45981</v>
      </c>
      <c r="B1246">
        <f t="shared" si="152"/>
        <v>2025</v>
      </c>
      <c r="C1246">
        <f t="shared" si="153"/>
        <v>11</v>
      </c>
      <c r="D1246" t="str">
        <f t="shared" si="154"/>
        <v>Noviembre</v>
      </c>
      <c r="E1246" t="str">
        <f t="shared" si="155"/>
        <v>T4</v>
      </c>
      <c r="F1246" t="s">
        <v>1371</v>
      </c>
      <c r="G1246" t="s">
        <v>114</v>
      </c>
      <c r="H1246" t="s">
        <v>75</v>
      </c>
      <c r="I1246" t="s">
        <v>115</v>
      </c>
      <c r="J1246" t="s">
        <v>125</v>
      </c>
      <c r="K1246" t="s">
        <v>138</v>
      </c>
      <c r="L1246" t="s">
        <v>142</v>
      </c>
      <c r="M1246" s="24">
        <v>3</v>
      </c>
      <c r="N1246" s="25">
        <v>96635.15</v>
      </c>
      <c r="O1246" s="25">
        <f t="shared" si="156"/>
        <v>289905.44999999995</v>
      </c>
      <c r="P1246" s="25">
        <v>63991.57</v>
      </c>
      <c r="Q1246" s="25">
        <f t="shared" si="157"/>
        <v>191974.71</v>
      </c>
      <c r="R1246" s="25">
        <f t="shared" si="158"/>
        <v>97930.739999999962</v>
      </c>
      <c r="S1246" s="26">
        <f t="shared" si="159"/>
        <v>0.33780234210843563</v>
      </c>
    </row>
    <row r="1247" spans="1:19" ht="15" x14ac:dyDescent="0.2">
      <c r="A1247" s="23">
        <v>45981</v>
      </c>
      <c r="B1247">
        <f t="shared" si="152"/>
        <v>2025</v>
      </c>
      <c r="C1247">
        <f t="shared" si="153"/>
        <v>11</v>
      </c>
      <c r="D1247" t="str">
        <f t="shared" si="154"/>
        <v>Noviembre</v>
      </c>
      <c r="E1247" t="str">
        <f t="shared" si="155"/>
        <v>T4</v>
      </c>
      <c r="F1247" t="s">
        <v>1372</v>
      </c>
      <c r="G1247" t="s">
        <v>92</v>
      </c>
      <c r="H1247" t="s">
        <v>93</v>
      </c>
      <c r="I1247" t="s">
        <v>94</v>
      </c>
      <c r="J1247" t="s">
        <v>70</v>
      </c>
      <c r="K1247" t="s">
        <v>84</v>
      </c>
      <c r="L1247" t="s">
        <v>85</v>
      </c>
      <c r="M1247" s="24">
        <v>4</v>
      </c>
      <c r="N1247" s="25">
        <v>19565.72</v>
      </c>
      <c r="O1247" s="25">
        <f t="shared" si="156"/>
        <v>78262.880000000005</v>
      </c>
      <c r="P1247" s="25">
        <v>12143.7</v>
      </c>
      <c r="Q1247" s="25">
        <f t="shared" si="157"/>
        <v>48574.8</v>
      </c>
      <c r="R1247" s="25">
        <f t="shared" si="158"/>
        <v>29688.080000000002</v>
      </c>
      <c r="S1247" s="26">
        <f t="shared" si="159"/>
        <v>0.37933794411859106</v>
      </c>
    </row>
    <row r="1248" spans="1:19" ht="15" x14ac:dyDescent="0.2">
      <c r="A1248" s="23">
        <v>45982</v>
      </c>
      <c r="B1248">
        <f t="shared" si="152"/>
        <v>2025</v>
      </c>
      <c r="C1248">
        <f t="shared" si="153"/>
        <v>11</v>
      </c>
      <c r="D1248" t="str">
        <f t="shared" si="154"/>
        <v>Noviembre</v>
      </c>
      <c r="E1248" t="str">
        <f t="shared" si="155"/>
        <v>T4</v>
      </c>
      <c r="F1248" t="s">
        <v>1373</v>
      </c>
      <c r="G1248" t="s">
        <v>92</v>
      </c>
      <c r="H1248" t="s">
        <v>93</v>
      </c>
      <c r="I1248" t="s">
        <v>94</v>
      </c>
      <c r="J1248" t="s">
        <v>77</v>
      </c>
      <c r="K1248" t="s">
        <v>107</v>
      </c>
      <c r="L1248" t="s">
        <v>112</v>
      </c>
      <c r="M1248" s="24">
        <v>21</v>
      </c>
      <c r="N1248" s="25">
        <v>21668.7</v>
      </c>
      <c r="O1248" s="25">
        <f t="shared" si="156"/>
        <v>455042.7</v>
      </c>
      <c r="P1248" s="25">
        <v>12021.02</v>
      </c>
      <c r="Q1248" s="25">
        <f t="shared" si="157"/>
        <v>252441.42</v>
      </c>
      <c r="R1248" s="25">
        <f t="shared" si="158"/>
        <v>202601.28</v>
      </c>
      <c r="S1248" s="26">
        <f t="shared" si="159"/>
        <v>0.44523575479839583</v>
      </c>
    </row>
    <row r="1249" spans="1:19" ht="15" x14ac:dyDescent="0.2">
      <c r="A1249" s="23">
        <v>45982</v>
      </c>
      <c r="B1249">
        <f t="shared" si="152"/>
        <v>2025</v>
      </c>
      <c r="C1249">
        <f t="shared" si="153"/>
        <v>11</v>
      </c>
      <c r="D1249" t="str">
        <f t="shared" si="154"/>
        <v>Noviembre</v>
      </c>
      <c r="E1249" t="str">
        <f t="shared" si="155"/>
        <v>T4</v>
      </c>
      <c r="F1249" t="s">
        <v>1374</v>
      </c>
      <c r="G1249" t="s">
        <v>92</v>
      </c>
      <c r="H1249" t="s">
        <v>93</v>
      </c>
      <c r="I1249" t="s">
        <v>94</v>
      </c>
      <c r="J1249" t="s">
        <v>57</v>
      </c>
      <c r="K1249" t="s">
        <v>58</v>
      </c>
      <c r="L1249" t="s">
        <v>162</v>
      </c>
      <c r="M1249" s="24">
        <v>2</v>
      </c>
      <c r="N1249" s="25">
        <v>17616.22</v>
      </c>
      <c r="O1249" s="25">
        <f t="shared" si="156"/>
        <v>35232.44</v>
      </c>
      <c r="P1249" s="25">
        <v>10153.24</v>
      </c>
      <c r="Q1249" s="25">
        <f t="shared" si="157"/>
        <v>20306.48</v>
      </c>
      <c r="R1249" s="25">
        <f t="shared" si="158"/>
        <v>14925.960000000003</v>
      </c>
      <c r="S1249" s="26">
        <f t="shared" si="159"/>
        <v>0.4236425294416169</v>
      </c>
    </row>
    <row r="1250" spans="1:19" ht="15" x14ac:dyDescent="0.2">
      <c r="A1250" s="23">
        <v>45982</v>
      </c>
      <c r="B1250">
        <f t="shared" si="152"/>
        <v>2025</v>
      </c>
      <c r="C1250">
        <f t="shared" si="153"/>
        <v>11</v>
      </c>
      <c r="D1250" t="str">
        <f t="shared" si="154"/>
        <v>Noviembre</v>
      </c>
      <c r="E1250" t="str">
        <f t="shared" si="155"/>
        <v>T4</v>
      </c>
      <c r="F1250" t="s">
        <v>1375</v>
      </c>
      <c r="G1250" t="s">
        <v>206</v>
      </c>
      <c r="H1250" t="s">
        <v>93</v>
      </c>
      <c r="I1250" t="s">
        <v>207</v>
      </c>
      <c r="J1250" t="s">
        <v>125</v>
      </c>
      <c r="K1250" t="s">
        <v>138</v>
      </c>
      <c r="L1250" t="s">
        <v>139</v>
      </c>
      <c r="M1250" s="24">
        <v>3</v>
      </c>
      <c r="N1250" s="25">
        <v>100752.6</v>
      </c>
      <c r="O1250" s="25">
        <f t="shared" si="156"/>
        <v>302257.80000000005</v>
      </c>
      <c r="P1250" s="25">
        <v>59546.91</v>
      </c>
      <c r="Q1250" s="25">
        <f t="shared" si="157"/>
        <v>178640.73</v>
      </c>
      <c r="R1250" s="25">
        <f t="shared" si="158"/>
        <v>123617.07000000004</v>
      </c>
      <c r="S1250" s="26">
        <f t="shared" si="159"/>
        <v>0.40897892461335988</v>
      </c>
    </row>
    <row r="1251" spans="1:19" ht="15" x14ac:dyDescent="0.2">
      <c r="A1251" s="23">
        <v>45983</v>
      </c>
      <c r="B1251">
        <f t="shared" si="152"/>
        <v>2025</v>
      </c>
      <c r="C1251">
        <f t="shared" si="153"/>
        <v>11</v>
      </c>
      <c r="D1251" t="str">
        <f t="shared" si="154"/>
        <v>Noviembre</v>
      </c>
      <c r="E1251" t="str">
        <f t="shared" si="155"/>
        <v>T4</v>
      </c>
      <c r="F1251" t="s">
        <v>1376</v>
      </c>
      <c r="G1251" t="s">
        <v>61</v>
      </c>
      <c r="H1251" t="s">
        <v>62</v>
      </c>
      <c r="I1251" t="s">
        <v>63</v>
      </c>
      <c r="J1251" t="s">
        <v>57</v>
      </c>
      <c r="K1251" t="s">
        <v>58</v>
      </c>
      <c r="L1251" t="s">
        <v>162</v>
      </c>
      <c r="M1251" s="24">
        <v>43</v>
      </c>
      <c r="N1251" s="25">
        <v>5767.27</v>
      </c>
      <c r="O1251" s="25">
        <f t="shared" si="156"/>
        <v>247992.61000000002</v>
      </c>
      <c r="P1251" s="25">
        <v>4770.8100000000004</v>
      </c>
      <c r="Q1251" s="25">
        <f t="shared" si="157"/>
        <v>205144.83000000002</v>
      </c>
      <c r="R1251" s="25">
        <f t="shared" si="158"/>
        <v>42847.78</v>
      </c>
      <c r="S1251" s="26">
        <f t="shared" si="159"/>
        <v>0.17277845497089608</v>
      </c>
    </row>
    <row r="1252" spans="1:19" ht="15" x14ac:dyDescent="0.2">
      <c r="A1252" s="23">
        <v>45983</v>
      </c>
      <c r="B1252">
        <f t="shared" si="152"/>
        <v>2025</v>
      </c>
      <c r="C1252">
        <f t="shared" si="153"/>
        <v>11</v>
      </c>
      <c r="D1252" t="str">
        <f t="shared" si="154"/>
        <v>Noviembre</v>
      </c>
      <c r="E1252" t="str">
        <f t="shared" si="155"/>
        <v>T4</v>
      </c>
      <c r="F1252" t="s">
        <v>1377</v>
      </c>
      <c r="G1252" t="s">
        <v>114</v>
      </c>
      <c r="H1252" t="s">
        <v>75</v>
      </c>
      <c r="I1252" t="s">
        <v>115</v>
      </c>
      <c r="J1252" t="s">
        <v>77</v>
      </c>
      <c r="K1252" t="s">
        <v>78</v>
      </c>
      <c r="L1252" t="s">
        <v>79</v>
      </c>
      <c r="M1252" s="24">
        <v>4</v>
      </c>
      <c r="N1252" s="25">
        <v>89623.18</v>
      </c>
      <c r="O1252" s="25">
        <f t="shared" si="156"/>
        <v>358492.72</v>
      </c>
      <c r="P1252" s="25">
        <v>59251.51</v>
      </c>
      <c r="Q1252" s="25">
        <f t="shared" si="157"/>
        <v>237006.04</v>
      </c>
      <c r="R1252" s="25">
        <f t="shared" si="158"/>
        <v>121486.67999999996</v>
      </c>
      <c r="S1252" s="26">
        <f t="shared" si="159"/>
        <v>0.338881860697199</v>
      </c>
    </row>
    <row r="1253" spans="1:19" ht="15" x14ac:dyDescent="0.2">
      <c r="A1253" s="23">
        <v>45983</v>
      </c>
      <c r="B1253">
        <f t="shared" si="152"/>
        <v>2025</v>
      </c>
      <c r="C1253">
        <f t="shared" si="153"/>
        <v>11</v>
      </c>
      <c r="D1253" t="str">
        <f t="shared" si="154"/>
        <v>Noviembre</v>
      </c>
      <c r="E1253" t="str">
        <f t="shared" si="155"/>
        <v>T4</v>
      </c>
      <c r="F1253" t="s">
        <v>1378</v>
      </c>
      <c r="G1253" t="s">
        <v>149</v>
      </c>
      <c r="H1253" t="s">
        <v>93</v>
      </c>
      <c r="I1253" t="s">
        <v>150</v>
      </c>
      <c r="J1253" t="s">
        <v>57</v>
      </c>
      <c r="K1253" t="s">
        <v>58</v>
      </c>
      <c r="L1253" t="s">
        <v>162</v>
      </c>
      <c r="M1253" s="24">
        <v>5</v>
      </c>
      <c r="N1253" s="25">
        <v>46359.47</v>
      </c>
      <c r="O1253" s="25">
        <f t="shared" si="156"/>
        <v>231797.35</v>
      </c>
      <c r="P1253" s="25">
        <v>27163.06</v>
      </c>
      <c r="Q1253" s="25">
        <f t="shared" si="157"/>
        <v>135815.30000000002</v>
      </c>
      <c r="R1253" s="25">
        <f t="shared" si="158"/>
        <v>95982.049999999988</v>
      </c>
      <c r="S1253" s="26">
        <f t="shared" si="159"/>
        <v>0.41407742582044182</v>
      </c>
    </row>
    <row r="1254" spans="1:19" ht="15" x14ac:dyDescent="0.2">
      <c r="A1254" s="23">
        <v>45984</v>
      </c>
      <c r="B1254">
        <f t="shared" si="152"/>
        <v>2025</v>
      </c>
      <c r="C1254">
        <f t="shared" si="153"/>
        <v>11</v>
      </c>
      <c r="D1254" t="str">
        <f t="shared" si="154"/>
        <v>Noviembre</v>
      </c>
      <c r="E1254" t="str">
        <f t="shared" si="155"/>
        <v>T4</v>
      </c>
      <c r="F1254" t="s">
        <v>1379</v>
      </c>
      <c r="G1254" t="s">
        <v>105</v>
      </c>
      <c r="H1254" t="s">
        <v>62</v>
      </c>
      <c r="I1254" t="s">
        <v>106</v>
      </c>
      <c r="J1254" t="s">
        <v>125</v>
      </c>
      <c r="K1254" t="s">
        <v>126</v>
      </c>
      <c r="L1254" t="s">
        <v>131</v>
      </c>
      <c r="M1254" s="24">
        <v>81</v>
      </c>
      <c r="N1254" s="25">
        <v>1818.95</v>
      </c>
      <c r="O1254" s="25">
        <f t="shared" si="156"/>
        <v>147334.95000000001</v>
      </c>
      <c r="P1254" s="25">
        <v>1497.91</v>
      </c>
      <c r="Q1254" s="25">
        <f t="shared" si="157"/>
        <v>121330.71</v>
      </c>
      <c r="R1254" s="25">
        <f t="shared" si="158"/>
        <v>26004.240000000005</v>
      </c>
      <c r="S1254" s="26">
        <f t="shared" si="159"/>
        <v>0.17649742983589436</v>
      </c>
    </row>
    <row r="1255" spans="1:19" ht="15" x14ac:dyDescent="0.2">
      <c r="A1255" s="23">
        <v>45984</v>
      </c>
      <c r="B1255">
        <f t="shared" si="152"/>
        <v>2025</v>
      </c>
      <c r="C1255">
        <f t="shared" si="153"/>
        <v>11</v>
      </c>
      <c r="D1255" t="str">
        <f t="shared" si="154"/>
        <v>Noviembre</v>
      </c>
      <c r="E1255" t="str">
        <f t="shared" si="155"/>
        <v>T4</v>
      </c>
      <c r="F1255" t="s">
        <v>1380</v>
      </c>
      <c r="G1255" t="s">
        <v>114</v>
      </c>
      <c r="H1255" t="s">
        <v>75</v>
      </c>
      <c r="I1255" t="s">
        <v>115</v>
      </c>
      <c r="J1255" t="s">
        <v>70</v>
      </c>
      <c r="K1255" t="s">
        <v>84</v>
      </c>
      <c r="L1255" t="s">
        <v>147</v>
      </c>
      <c r="M1255" s="24">
        <v>4</v>
      </c>
      <c r="N1255" s="25">
        <v>91489.63</v>
      </c>
      <c r="O1255" s="25">
        <f t="shared" si="156"/>
        <v>365958.52</v>
      </c>
      <c r="P1255" s="25">
        <v>65226.23</v>
      </c>
      <c r="Q1255" s="25">
        <f t="shared" si="157"/>
        <v>260904.92</v>
      </c>
      <c r="R1255" s="25">
        <f t="shared" si="158"/>
        <v>105053.6</v>
      </c>
      <c r="S1255" s="26">
        <f t="shared" si="159"/>
        <v>0.28706422793490366</v>
      </c>
    </row>
    <row r="1256" spans="1:19" ht="15" x14ac:dyDescent="0.2">
      <c r="A1256" s="23">
        <v>45984</v>
      </c>
      <c r="B1256">
        <f t="shared" si="152"/>
        <v>2025</v>
      </c>
      <c r="C1256">
        <f t="shared" si="153"/>
        <v>11</v>
      </c>
      <c r="D1256" t="str">
        <f t="shared" si="154"/>
        <v>Noviembre</v>
      </c>
      <c r="E1256" t="str">
        <f t="shared" si="155"/>
        <v>T4</v>
      </c>
      <c r="F1256" t="s">
        <v>1381</v>
      </c>
      <c r="G1256" t="s">
        <v>206</v>
      </c>
      <c r="H1256" t="s">
        <v>93</v>
      </c>
      <c r="I1256" t="s">
        <v>207</v>
      </c>
      <c r="J1256" t="s">
        <v>64</v>
      </c>
      <c r="K1256" t="s">
        <v>96</v>
      </c>
      <c r="L1256" t="s">
        <v>103</v>
      </c>
      <c r="M1256" s="24">
        <v>4</v>
      </c>
      <c r="N1256" s="25">
        <v>128984.97</v>
      </c>
      <c r="O1256" s="25">
        <f t="shared" si="156"/>
        <v>515939.88</v>
      </c>
      <c r="P1256" s="25">
        <v>76037.42</v>
      </c>
      <c r="Q1256" s="25">
        <f t="shared" si="157"/>
        <v>304149.68</v>
      </c>
      <c r="R1256" s="25">
        <f t="shared" si="158"/>
        <v>211790.2</v>
      </c>
      <c r="S1256" s="26">
        <f t="shared" si="159"/>
        <v>0.41049395134952549</v>
      </c>
    </row>
    <row r="1257" spans="1:19" ht="15" x14ac:dyDescent="0.2">
      <c r="A1257" s="23">
        <v>45984</v>
      </c>
      <c r="B1257">
        <f t="shared" si="152"/>
        <v>2025</v>
      </c>
      <c r="C1257">
        <f t="shared" si="153"/>
        <v>11</v>
      </c>
      <c r="D1257" t="str">
        <f t="shared" si="154"/>
        <v>Noviembre</v>
      </c>
      <c r="E1257" t="str">
        <f t="shared" si="155"/>
        <v>T4</v>
      </c>
      <c r="F1257" t="s">
        <v>1382</v>
      </c>
      <c r="G1257" t="s">
        <v>92</v>
      </c>
      <c r="H1257" t="s">
        <v>93</v>
      </c>
      <c r="I1257" t="s">
        <v>94</v>
      </c>
      <c r="J1257" t="s">
        <v>70</v>
      </c>
      <c r="K1257" t="s">
        <v>71</v>
      </c>
      <c r="L1257" t="s">
        <v>72</v>
      </c>
      <c r="M1257" s="24">
        <v>4</v>
      </c>
      <c r="N1257" s="25">
        <v>18805.37</v>
      </c>
      <c r="O1257" s="25">
        <f t="shared" si="156"/>
        <v>75221.48</v>
      </c>
      <c r="P1257" s="25">
        <v>11840.02</v>
      </c>
      <c r="Q1257" s="25">
        <f t="shared" si="157"/>
        <v>47360.08</v>
      </c>
      <c r="R1257" s="25">
        <f t="shared" si="158"/>
        <v>27861.399999999994</v>
      </c>
      <c r="S1257" s="26">
        <f t="shared" si="159"/>
        <v>0.3703915424158099</v>
      </c>
    </row>
    <row r="1258" spans="1:19" ht="15" x14ac:dyDescent="0.2">
      <c r="A1258" s="23">
        <v>45985</v>
      </c>
      <c r="B1258">
        <f t="shared" si="152"/>
        <v>2025</v>
      </c>
      <c r="C1258">
        <f t="shared" si="153"/>
        <v>11</v>
      </c>
      <c r="D1258" t="str">
        <f t="shared" si="154"/>
        <v>Noviembre</v>
      </c>
      <c r="E1258" t="str">
        <f t="shared" si="155"/>
        <v>T4</v>
      </c>
      <c r="F1258" t="s">
        <v>1383</v>
      </c>
      <c r="G1258" t="s">
        <v>54</v>
      </c>
      <c r="H1258" t="s">
        <v>55</v>
      </c>
      <c r="I1258" t="s">
        <v>56</v>
      </c>
      <c r="J1258" t="s">
        <v>57</v>
      </c>
      <c r="K1258" t="s">
        <v>58</v>
      </c>
      <c r="L1258" t="s">
        <v>59</v>
      </c>
      <c r="M1258" s="24">
        <v>7</v>
      </c>
      <c r="N1258" s="25">
        <v>58050.720000000001</v>
      </c>
      <c r="O1258" s="25">
        <f t="shared" si="156"/>
        <v>406355.04000000004</v>
      </c>
      <c r="P1258" s="25">
        <v>43962.3</v>
      </c>
      <c r="Q1258" s="25">
        <f t="shared" si="157"/>
        <v>307736.10000000003</v>
      </c>
      <c r="R1258" s="25">
        <f t="shared" si="158"/>
        <v>98618.94</v>
      </c>
      <c r="S1258" s="26">
        <f t="shared" si="159"/>
        <v>0.24269156351549126</v>
      </c>
    </row>
    <row r="1259" spans="1:19" ht="15" x14ac:dyDescent="0.2">
      <c r="A1259" s="23">
        <v>45985</v>
      </c>
      <c r="B1259">
        <f t="shared" si="152"/>
        <v>2025</v>
      </c>
      <c r="C1259">
        <f t="shared" si="153"/>
        <v>11</v>
      </c>
      <c r="D1259" t="str">
        <f t="shared" si="154"/>
        <v>Noviembre</v>
      </c>
      <c r="E1259" t="str">
        <f t="shared" si="155"/>
        <v>T4</v>
      </c>
      <c r="F1259" t="s">
        <v>1384</v>
      </c>
      <c r="G1259" t="s">
        <v>61</v>
      </c>
      <c r="H1259" t="s">
        <v>62</v>
      </c>
      <c r="I1259" t="s">
        <v>63</v>
      </c>
      <c r="J1259" t="s">
        <v>125</v>
      </c>
      <c r="K1259" t="s">
        <v>138</v>
      </c>
      <c r="L1259" t="s">
        <v>142</v>
      </c>
      <c r="M1259" s="24">
        <v>92</v>
      </c>
      <c r="N1259" s="25">
        <v>5962.41</v>
      </c>
      <c r="O1259" s="25">
        <f t="shared" si="156"/>
        <v>548541.72</v>
      </c>
      <c r="P1259" s="25">
        <v>4781.55</v>
      </c>
      <c r="Q1259" s="25">
        <f t="shared" si="157"/>
        <v>439902.60000000003</v>
      </c>
      <c r="R1259" s="25">
        <f t="shared" si="158"/>
        <v>108639.11999999994</v>
      </c>
      <c r="S1259" s="26">
        <f t="shared" si="159"/>
        <v>0.19805078818799771</v>
      </c>
    </row>
    <row r="1260" spans="1:19" ht="15" x14ac:dyDescent="0.2">
      <c r="A1260" s="23">
        <v>45985</v>
      </c>
      <c r="B1260">
        <f t="shared" si="152"/>
        <v>2025</v>
      </c>
      <c r="C1260">
        <f t="shared" si="153"/>
        <v>11</v>
      </c>
      <c r="D1260" t="str">
        <f t="shared" si="154"/>
        <v>Noviembre</v>
      </c>
      <c r="E1260" t="str">
        <f t="shared" si="155"/>
        <v>T4</v>
      </c>
      <c r="F1260" t="s">
        <v>1385</v>
      </c>
      <c r="G1260" t="s">
        <v>61</v>
      </c>
      <c r="H1260" t="s">
        <v>62</v>
      </c>
      <c r="I1260" t="s">
        <v>63</v>
      </c>
      <c r="J1260" t="s">
        <v>125</v>
      </c>
      <c r="K1260" t="s">
        <v>126</v>
      </c>
      <c r="L1260" t="s">
        <v>127</v>
      </c>
      <c r="M1260" s="24">
        <v>66</v>
      </c>
      <c r="N1260" s="25">
        <v>5875.61</v>
      </c>
      <c r="O1260" s="25">
        <f t="shared" si="156"/>
        <v>387790.25999999995</v>
      </c>
      <c r="P1260" s="25">
        <v>4802.7700000000004</v>
      </c>
      <c r="Q1260" s="25">
        <f t="shared" si="157"/>
        <v>316982.82</v>
      </c>
      <c r="R1260" s="25">
        <f t="shared" si="158"/>
        <v>70807.439999999944</v>
      </c>
      <c r="S1260" s="26">
        <f t="shared" si="159"/>
        <v>0.18259210533034004</v>
      </c>
    </row>
    <row r="1261" spans="1:19" ht="15" x14ac:dyDescent="0.2">
      <c r="A1261" s="23">
        <v>45985</v>
      </c>
      <c r="B1261">
        <f t="shared" si="152"/>
        <v>2025</v>
      </c>
      <c r="C1261">
        <f t="shared" si="153"/>
        <v>11</v>
      </c>
      <c r="D1261" t="str">
        <f t="shared" si="154"/>
        <v>Noviembre</v>
      </c>
      <c r="E1261" t="str">
        <f t="shared" si="155"/>
        <v>T4</v>
      </c>
      <c r="F1261" t="s">
        <v>1386</v>
      </c>
      <c r="G1261" t="s">
        <v>74</v>
      </c>
      <c r="H1261" t="s">
        <v>75</v>
      </c>
      <c r="I1261" t="s">
        <v>76</v>
      </c>
      <c r="J1261" t="s">
        <v>57</v>
      </c>
      <c r="K1261" t="s">
        <v>58</v>
      </c>
      <c r="L1261" t="s">
        <v>162</v>
      </c>
      <c r="M1261" s="24">
        <v>10</v>
      </c>
      <c r="N1261" s="25">
        <v>41803.620000000003</v>
      </c>
      <c r="O1261" s="25">
        <f t="shared" si="156"/>
        <v>418036.2</v>
      </c>
      <c r="P1261" s="25">
        <v>28436.1</v>
      </c>
      <c r="Q1261" s="25">
        <f t="shared" si="157"/>
        <v>284361</v>
      </c>
      <c r="R1261" s="25">
        <f t="shared" si="158"/>
        <v>133675.20000000001</v>
      </c>
      <c r="S1261" s="26">
        <f t="shared" si="159"/>
        <v>0.31976943623542653</v>
      </c>
    </row>
    <row r="1262" spans="1:19" ht="15" x14ac:dyDescent="0.2">
      <c r="A1262" s="23">
        <v>45985</v>
      </c>
      <c r="B1262">
        <f t="shared" si="152"/>
        <v>2025</v>
      </c>
      <c r="C1262">
        <f t="shared" si="153"/>
        <v>11</v>
      </c>
      <c r="D1262" t="str">
        <f t="shared" si="154"/>
        <v>Noviembre</v>
      </c>
      <c r="E1262" t="str">
        <f t="shared" si="155"/>
        <v>T4</v>
      </c>
      <c r="F1262" t="s">
        <v>1387</v>
      </c>
      <c r="G1262" t="s">
        <v>74</v>
      </c>
      <c r="H1262" t="s">
        <v>75</v>
      </c>
      <c r="I1262" t="s">
        <v>76</v>
      </c>
      <c r="J1262" t="s">
        <v>70</v>
      </c>
      <c r="K1262" t="s">
        <v>71</v>
      </c>
      <c r="L1262" t="s">
        <v>72</v>
      </c>
      <c r="M1262" s="24">
        <v>4</v>
      </c>
      <c r="N1262" s="25">
        <v>39335.61</v>
      </c>
      <c r="O1262" s="25">
        <f t="shared" si="156"/>
        <v>157342.44</v>
      </c>
      <c r="P1262" s="25">
        <v>28311.93</v>
      </c>
      <c r="Q1262" s="25">
        <f t="shared" si="157"/>
        <v>113247.72</v>
      </c>
      <c r="R1262" s="25">
        <f t="shared" si="158"/>
        <v>44094.720000000001</v>
      </c>
      <c r="S1262" s="26">
        <f t="shared" si="159"/>
        <v>0.28024682978095422</v>
      </c>
    </row>
    <row r="1263" spans="1:19" ht="15" x14ac:dyDescent="0.2">
      <c r="A1263" s="23">
        <v>45986</v>
      </c>
      <c r="B1263">
        <f t="shared" si="152"/>
        <v>2025</v>
      </c>
      <c r="C1263">
        <f t="shared" si="153"/>
        <v>11</v>
      </c>
      <c r="D1263" t="str">
        <f t="shared" si="154"/>
        <v>Noviembre</v>
      </c>
      <c r="E1263" t="str">
        <f t="shared" si="155"/>
        <v>T4</v>
      </c>
      <c r="F1263" t="s">
        <v>1388</v>
      </c>
      <c r="G1263" t="s">
        <v>54</v>
      </c>
      <c r="H1263" t="s">
        <v>55</v>
      </c>
      <c r="I1263" t="s">
        <v>56</v>
      </c>
      <c r="J1263" t="s">
        <v>70</v>
      </c>
      <c r="K1263" t="s">
        <v>84</v>
      </c>
      <c r="L1263" t="s">
        <v>85</v>
      </c>
      <c r="M1263" s="24">
        <v>1</v>
      </c>
      <c r="N1263" s="25">
        <v>15363.44</v>
      </c>
      <c r="O1263" s="25">
        <f t="shared" si="156"/>
        <v>15363.44</v>
      </c>
      <c r="P1263" s="25">
        <v>12088.14</v>
      </c>
      <c r="Q1263" s="25">
        <f t="shared" si="157"/>
        <v>12088.14</v>
      </c>
      <c r="R1263" s="25">
        <f t="shared" si="158"/>
        <v>3275.3000000000011</v>
      </c>
      <c r="S1263" s="26">
        <f t="shared" si="159"/>
        <v>0.21318793186942514</v>
      </c>
    </row>
    <row r="1264" spans="1:19" ht="15" x14ac:dyDescent="0.2">
      <c r="A1264" s="23">
        <v>45986</v>
      </c>
      <c r="B1264">
        <f t="shared" si="152"/>
        <v>2025</v>
      </c>
      <c r="C1264">
        <f t="shared" si="153"/>
        <v>11</v>
      </c>
      <c r="D1264" t="str">
        <f t="shared" si="154"/>
        <v>Noviembre</v>
      </c>
      <c r="E1264" t="str">
        <f t="shared" si="155"/>
        <v>T4</v>
      </c>
      <c r="F1264" t="s">
        <v>1389</v>
      </c>
      <c r="G1264" t="s">
        <v>74</v>
      </c>
      <c r="H1264" t="s">
        <v>75</v>
      </c>
      <c r="I1264" t="s">
        <v>76</v>
      </c>
      <c r="J1264" t="s">
        <v>64</v>
      </c>
      <c r="K1264" t="s">
        <v>65</v>
      </c>
      <c r="L1264" t="s">
        <v>66</v>
      </c>
      <c r="M1264" s="24">
        <v>30</v>
      </c>
      <c r="N1264" s="25">
        <v>40089.089999999997</v>
      </c>
      <c r="O1264" s="25">
        <f t="shared" si="156"/>
        <v>1202672.7</v>
      </c>
      <c r="P1264" s="25">
        <v>28300.41</v>
      </c>
      <c r="Q1264" s="25">
        <f t="shared" si="157"/>
        <v>849012.3</v>
      </c>
      <c r="R1264" s="25">
        <f t="shared" si="158"/>
        <v>353660.39999999991</v>
      </c>
      <c r="S1264" s="26">
        <f t="shared" si="159"/>
        <v>0.29406205029847265</v>
      </c>
    </row>
    <row r="1265" spans="1:19" ht="15" x14ac:dyDescent="0.2">
      <c r="A1265" s="23">
        <v>45986</v>
      </c>
      <c r="B1265">
        <f t="shared" si="152"/>
        <v>2025</v>
      </c>
      <c r="C1265">
        <f t="shared" si="153"/>
        <v>11</v>
      </c>
      <c r="D1265" t="str">
        <f t="shared" si="154"/>
        <v>Noviembre</v>
      </c>
      <c r="E1265" t="str">
        <f t="shared" si="155"/>
        <v>T4</v>
      </c>
      <c r="F1265" t="s">
        <v>1390</v>
      </c>
      <c r="G1265" t="s">
        <v>149</v>
      </c>
      <c r="H1265" t="s">
        <v>93</v>
      </c>
      <c r="I1265" t="s">
        <v>150</v>
      </c>
      <c r="J1265" t="s">
        <v>57</v>
      </c>
      <c r="K1265" t="s">
        <v>81</v>
      </c>
      <c r="L1265" t="s">
        <v>82</v>
      </c>
      <c r="M1265" s="24">
        <v>4</v>
      </c>
      <c r="N1265" s="25">
        <v>41372.33</v>
      </c>
      <c r="O1265" s="25">
        <f t="shared" si="156"/>
        <v>165489.32</v>
      </c>
      <c r="P1265" s="25">
        <v>24393</v>
      </c>
      <c r="Q1265" s="25">
        <f t="shared" si="157"/>
        <v>97572</v>
      </c>
      <c r="R1265" s="25">
        <f t="shared" si="158"/>
        <v>67917.320000000007</v>
      </c>
      <c r="S1265" s="26">
        <f t="shared" si="159"/>
        <v>0.41040303990614019</v>
      </c>
    </row>
    <row r="1266" spans="1:19" ht="15" x14ac:dyDescent="0.2">
      <c r="A1266" s="23">
        <v>45987</v>
      </c>
      <c r="B1266">
        <f t="shared" si="152"/>
        <v>2025</v>
      </c>
      <c r="C1266">
        <f t="shared" si="153"/>
        <v>11</v>
      </c>
      <c r="D1266" t="str">
        <f t="shared" si="154"/>
        <v>Noviembre</v>
      </c>
      <c r="E1266" t="str">
        <f t="shared" si="155"/>
        <v>T4</v>
      </c>
      <c r="F1266" t="s">
        <v>1391</v>
      </c>
      <c r="G1266" t="s">
        <v>54</v>
      </c>
      <c r="H1266" t="s">
        <v>55</v>
      </c>
      <c r="I1266" t="s">
        <v>56</v>
      </c>
      <c r="J1266" t="s">
        <v>57</v>
      </c>
      <c r="K1266" t="s">
        <v>81</v>
      </c>
      <c r="L1266" t="s">
        <v>129</v>
      </c>
      <c r="M1266" s="24">
        <v>14</v>
      </c>
      <c r="N1266" s="25">
        <v>54726.89</v>
      </c>
      <c r="O1266" s="25">
        <f t="shared" si="156"/>
        <v>766176.46</v>
      </c>
      <c r="P1266" s="25">
        <v>41486.67</v>
      </c>
      <c r="Q1266" s="25">
        <f t="shared" si="157"/>
        <v>580813.38</v>
      </c>
      <c r="R1266" s="25">
        <f t="shared" si="158"/>
        <v>185363.07999999996</v>
      </c>
      <c r="S1266" s="26">
        <f t="shared" si="159"/>
        <v>0.24193262215338746</v>
      </c>
    </row>
    <row r="1267" spans="1:19" ht="15" x14ac:dyDescent="0.2">
      <c r="A1267" s="23">
        <v>45987</v>
      </c>
      <c r="B1267">
        <f t="shared" si="152"/>
        <v>2025</v>
      </c>
      <c r="C1267">
        <f t="shared" si="153"/>
        <v>11</v>
      </c>
      <c r="D1267" t="str">
        <f t="shared" si="154"/>
        <v>Noviembre</v>
      </c>
      <c r="E1267" t="str">
        <f t="shared" si="155"/>
        <v>T4</v>
      </c>
      <c r="F1267" t="s">
        <v>1392</v>
      </c>
      <c r="G1267" t="s">
        <v>114</v>
      </c>
      <c r="H1267" t="s">
        <v>75</v>
      </c>
      <c r="I1267" t="s">
        <v>115</v>
      </c>
      <c r="J1267" t="s">
        <v>57</v>
      </c>
      <c r="K1267" t="s">
        <v>58</v>
      </c>
      <c r="L1267" t="s">
        <v>162</v>
      </c>
      <c r="M1267" s="24">
        <v>3</v>
      </c>
      <c r="N1267" s="25">
        <v>95027.27</v>
      </c>
      <c r="O1267" s="25">
        <f t="shared" si="156"/>
        <v>285081.81</v>
      </c>
      <c r="P1267" s="25">
        <v>65125.83</v>
      </c>
      <c r="Q1267" s="25">
        <f t="shared" si="157"/>
        <v>195377.49</v>
      </c>
      <c r="R1267" s="25">
        <f t="shared" si="158"/>
        <v>89704.320000000007</v>
      </c>
      <c r="S1267" s="26">
        <f t="shared" si="159"/>
        <v>0.3146616755379798</v>
      </c>
    </row>
    <row r="1268" spans="1:19" ht="15" x14ac:dyDescent="0.2">
      <c r="A1268" s="23">
        <v>45987</v>
      </c>
      <c r="B1268">
        <f t="shared" si="152"/>
        <v>2025</v>
      </c>
      <c r="C1268">
        <f t="shared" si="153"/>
        <v>11</v>
      </c>
      <c r="D1268" t="str">
        <f t="shared" si="154"/>
        <v>Noviembre</v>
      </c>
      <c r="E1268" t="str">
        <f t="shared" si="155"/>
        <v>T4</v>
      </c>
      <c r="F1268" t="s">
        <v>1393</v>
      </c>
      <c r="G1268" t="s">
        <v>144</v>
      </c>
      <c r="H1268" t="s">
        <v>88</v>
      </c>
      <c r="I1268" t="s">
        <v>145</v>
      </c>
      <c r="J1268" t="s">
        <v>77</v>
      </c>
      <c r="K1268" t="s">
        <v>78</v>
      </c>
      <c r="L1268" t="s">
        <v>117</v>
      </c>
      <c r="M1268" s="24">
        <v>25</v>
      </c>
      <c r="N1268" s="25">
        <v>13469.74</v>
      </c>
      <c r="O1268" s="25">
        <f t="shared" si="156"/>
        <v>336743.5</v>
      </c>
      <c r="P1268" s="25">
        <v>7108.58</v>
      </c>
      <c r="Q1268" s="25">
        <f t="shared" si="157"/>
        <v>177714.5</v>
      </c>
      <c r="R1268" s="25">
        <f t="shared" si="158"/>
        <v>159029</v>
      </c>
      <c r="S1268" s="26">
        <f t="shared" si="159"/>
        <v>0.4722555891947432</v>
      </c>
    </row>
    <row r="1269" spans="1:19" ht="15" x14ac:dyDescent="0.2">
      <c r="A1269" s="23">
        <v>45987</v>
      </c>
      <c r="B1269">
        <f t="shared" si="152"/>
        <v>2025</v>
      </c>
      <c r="C1269">
        <f t="shared" si="153"/>
        <v>11</v>
      </c>
      <c r="D1269" t="str">
        <f t="shared" si="154"/>
        <v>Noviembre</v>
      </c>
      <c r="E1269" t="str">
        <f t="shared" si="155"/>
        <v>T4</v>
      </c>
      <c r="F1269" t="s">
        <v>1394</v>
      </c>
      <c r="G1269" t="s">
        <v>100</v>
      </c>
      <c r="H1269" t="s">
        <v>88</v>
      </c>
      <c r="I1269" t="s">
        <v>101</v>
      </c>
      <c r="J1269" t="s">
        <v>125</v>
      </c>
      <c r="K1269" t="s">
        <v>138</v>
      </c>
      <c r="L1269" t="s">
        <v>142</v>
      </c>
      <c r="M1269" s="24">
        <v>9</v>
      </c>
      <c r="N1269" s="25">
        <v>37706.339999999997</v>
      </c>
      <c r="O1269" s="25">
        <f t="shared" si="156"/>
        <v>339357.05999999994</v>
      </c>
      <c r="P1269" s="25">
        <v>20998.98</v>
      </c>
      <c r="Q1269" s="25">
        <f t="shared" si="157"/>
        <v>188990.82</v>
      </c>
      <c r="R1269" s="25">
        <f t="shared" si="158"/>
        <v>150366.23999999993</v>
      </c>
      <c r="S1269" s="26">
        <f t="shared" si="159"/>
        <v>0.44309153314800631</v>
      </c>
    </row>
    <row r="1270" spans="1:19" ht="15" x14ac:dyDescent="0.2">
      <c r="A1270" s="23">
        <v>45987</v>
      </c>
      <c r="B1270">
        <f t="shared" si="152"/>
        <v>2025</v>
      </c>
      <c r="C1270">
        <f t="shared" si="153"/>
        <v>11</v>
      </c>
      <c r="D1270" t="str">
        <f t="shared" si="154"/>
        <v>Noviembre</v>
      </c>
      <c r="E1270" t="str">
        <f t="shared" si="155"/>
        <v>T4</v>
      </c>
      <c r="F1270" t="s">
        <v>1395</v>
      </c>
      <c r="G1270" t="s">
        <v>188</v>
      </c>
      <c r="H1270" t="s">
        <v>88</v>
      </c>
      <c r="I1270" t="s">
        <v>189</v>
      </c>
      <c r="J1270" t="s">
        <v>70</v>
      </c>
      <c r="K1270" t="s">
        <v>71</v>
      </c>
      <c r="L1270" t="s">
        <v>90</v>
      </c>
      <c r="M1270" s="24">
        <v>2</v>
      </c>
      <c r="N1270" s="25">
        <v>70740.960000000006</v>
      </c>
      <c r="O1270" s="25">
        <f t="shared" si="156"/>
        <v>141481.92000000001</v>
      </c>
      <c r="P1270" s="25">
        <v>42867.19</v>
      </c>
      <c r="Q1270" s="25">
        <f t="shared" si="157"/>
        <v>85734.38</v>
      </c>
      <c r="R1270" s="25">
        <f t="shared" si="158"/>
        <v>55747.540000000008</v>
      </c>
      <c r="S1270" s="26">
        <f t="shared" si="159"/>
        <v>0.39402589390927123</v>
      </c>
    </row>
    <row r="1271" spans="1:19" ht="15" x14ac:dyDescent="0.2">
      <c r="A1271" s="23">
        <v>45988</v>
      </c>
      <c r="B1271">
        <f t="shared" si="152"/>
        <v>2025</v>
      </c>
      <c r="C1271">
        <f t="shared" si="153"/>
        <v>11</v>
      </c>
      <c r="D1271" t="str">
        <f t="shared" si="154"/>
        <v>Noviembre</v>
      </c>
      <c r="E1271" t="str">
        <f t="shared" si="155"/>
        <v>T4</v>
      </c>
      <c r="F1271" t="s">
        <v>1396</v>
      </c>
      <c r="G1271" t="s">
        <v>61</v>
      </c>
      <c r="H1271" t="s">
        <v>62</v>
      </c>
      <c r="I1271" t="s">
        <v>63</v>
      </c>
      <c r="J1271" t="s">
        <v>77</v>
      </c>
      <c r="K1271" t="s">
        <v>107</v>
      </c>
      <c r="L1271" t="s">
        <v>112</v>
      </c>
      <c r="M1271" s="24">
        <v>197</v>
      </c>
      <c r="N1271" s="25">
        <v>6102.32</v>
      </c>
      <c r="O1271" s="25">
        <f t="shared" si="156"/>
        <v>1202157.04</v>
      </c>
      <c r="P1271" s="25">
        <v>4802.2</v>
      </c>
      <c r="Q1271" s="25">
        <f t="shared" si="157"/>
        <v>946033.39999999991</v>
      </c>
      <c r="R1271" s="25">
        <f t="shared" si="158"/>
        <v>256123.64000000013</v>
      </c>
      <c r="S1271" s="26">
        <f t="shared" si="159"/>
        <v>0.21305339608542334</v>
      </c>
    </row>
    <row r="1272" spans="1:19" ht="15" x14ac:dyDescent="0.2">
      <c r="A1272" s="23">
        <v>45988</v>
      </c>
      <c r="B1272">
        <f t="shared" si="152"/>
        <v>2025</v>
      </c>
      <c r="C1272">
        <f t="shared" si="153"/>
        <v>11</v>
      </c>
      <c r="D1272" t="str">
        <f t="shared" si="154"/>
        <v>Noviembre</v>
      </c>
      <c r="E1272" t="str">
        <f t="shared" si="155"/>
        <v>T4</v>
      </c>
      <c r="F1272" t="s">
        <v>1397</v>
      </c>
      <c r="G1272" t="s">
        <v>110</v>
      </c>
      <c r="H1272" t="s">
        <v>62</v>
      </c>
      <c r="I1272" t="s">
        <v>69</v>
      </c>
      <c r="J1272" t="s">
        <v>57</v>
      </c>
      <c r="K1272" t="s">
        <v>81</v>
      </c>
      <c r="L1272" t="s">
        <v>129</v>
      </c>
      <c r="M1272" s="24">
        <v>53</v>
      </c>
      <c r="N1272" s="25">
        <v>6534.97</v>
      </c>
      <c r="O1272" s="25">
        <f t="shared" si="156"/>
        <v>346353.41000000003</v>
      </c>
      <c r="P1272" s="25">
        <v>5370.09</v>
      </c>
      <c r="Q1272" s="25">
        <f t="shared" si="157"/>
        <v>284614.77</v>
      </c>
      <c r="R1272" s="25">
        <f t="shared" si="158"/>
        <v>61738.640000000014</v>
      </c>
      <c r="S1272" s="26">
        <f t="shared" si="159"/>
        <v>0.17825330491188179</v>
      </c>
    </row>
    <row r="1273" spans="1:19" ht="15" x14ac:dyDescent="0.2">
      <c r="A1273" s="23">
        <v>45988</v>
      </c>
      <c r="B1273">
        <f t="shared" si="152"/>
        <v>2025</v>
      </c>
      <c r="C1273">
        <f t="shared" si="153"/>
        <v>11</v>
      </c>
      <c r="D1273" t="str">
        <f t="shared" si="154"/>
        <v>Noviembre</v>
      </c>
      <c r="E1273" t="str">
        <f t="shared" si="155"/>
        <v>T4</v>
      </c>
      <c r="F1273" t="s">
        <v>1398</v>
      </c>
      <c r="G1273" t="s">
        <v>114</v>
      </c>
      <c r="H1273" t="s">
        <v>75</v>
      </c>
      <c r="I1273" t="s">
        <v>115</v>
      </c>
      <c r="J1273" t="s">
        <v>77</v>
      </c>
      <c r="K1273" t="s">
        <v>107</v>
      </c>
      <c r="L1273" t="s">
        <v>112</v>
      </c>
      <c r="M1273" s="24">
        <v>5</v>
      </c>
      <c r="N1273" s="25">
        <v>108153.72</v>
      </c>
      <c r="O1273" s="25">
        <f t="shared" si="156"/>
        <v>540768.6</v>
      </c>
      <c r="P1273" s="25">
        <v>68166.039999999994</v>
      </c>
      <c r="Q1273" s="25">
        <f t="shared" si="157"/>
        <v>340830.19999999995</v>
      </c>
      <c r="R1273" s="25">
        <f t="shared" si="158"/>
        <v>199938.40000000002</v>
      </c>
      <c r="S1273" s="26">
        <f t="shared" si="159"/>
        <v>0.36973004719578767</v>
      </c>
    </row>
    <row r="1274" spans="1:19" ht="15" x14ac:dyDescent="0.2">
      <c r="A1274" s="23">
        <v>45988</v>
      </c>
      <c r="B1274">
        <f t="shared" si="152"/>
        <v>2025</v>
      </c>
      <c r="C1274">
        <f t="shared" si="153"/>
        <v>11</v>
      </c>
      <c r="D1274" t="str">
        <f t="shared" si="154"/>
        <v>Noviembre</v>
      </c>
      <c r="E1274" t="str">
        <f t="shared" si="155"/>
        <v>T4</v>
      </c>
      <c r="F1274" t="s">
        <v>1399</v>
      </c>
      <c r="G1274" t="s">
        <v>114</v>
      </c>
      <c r="H1274" t="s">
        <v>75</v>
      </c>
      <c r="I1274" t="s">
        <v>115</v>
      </c>
      <c r="J1274" t="s">
        <v>57</v>
      </c>
      <c r="K1274" t="s">
        <v>81</v>
      </c>
      <c r="L1274" t="s">
        <v>129</v>
      </c>
      <c r="M1274" s="24">
        <v>8</v>
      </c>
      <c r="N1274" s="25">
        <v>91427.51</v>
      </c>
      <c r="O1274" s="25">
        <f t="shared" si="156"/>
        <v>731420.08</v>
      </c>
      <c r="P1274" s="25">
        <v>61255.7</v>
      </c>
      <c r="Q1274" s="25">
        <f t="shared" si="157"/>
        <v>490045.6</v>
      </c>
      <c r="R1274" s="25">
        <f t="shared" si="158"/>
        <v>241374.47999999998</v>
      </c>
      <c r="S1274" s="26">
        <f t="shared" si="159"/>
        <v>0.33000800306166056</v>
      </c>
    </row>
    <row r="1275" spans="1:19" ht="15" x14ac:dyDescent="0.2">
      <c r="A1275" s="23">
        <v>45988</v>
      </c>
      <c r="B1275">
        <f t="shared" si="152"/>
        <v>2025</v>
      </c>
      <c r="C1275">
        <f t="shared" si="153"/>
        <v>11</v>
      </c>
      <c r="D1275" t="str">
        <f t="shared" si="154"/>
        <v>Noviembre</v>
      </c>
      <c r="E1275" t="str">
        <f t="shared" si="155"/>
        <v>T4</v>
      </c>
      <c r="F1275" t="s">
        <v>1400</v>
      </c>
      <c r="G1275" t="s">
        <v>92</v>
      </c>
      <c r="H1275" t="s">
        <v>93</v>
      </c>
      <c r="I1275" t="s">
        <v>94</v>
      </c>
      <c r="J1275" t="s">
        <v>57</v>
      </c>
      <c r="K1275" t="s">
        <v>58</v>
      </c>
      <c r="L1275" t="s">
        <v>59</v>
      </c>
      <c r="M1275" s="24">
        <v>5</v>
      </c>
      <c r="N1275" s="25">
        <v>18876.95</v>
      </c>
      <c r="O1275" s="25">
        <f t="shared" si="156"/>
        <v>94384.75</v>
      </c>
      <c r="P1275" s="25">
        <v>11039.03</v>
      </c>
      <c r="Q1275" s="25">
        <f t="shared" si="157"/>
        <v>55195.15</v>
      </c>
      <c r="R1275" s="25">
        <f t="shared" si="158"/>
        <v>39189.599999999999</v>
      </c>
      <c r="S1275" s="26">
        <f t="shared" si="159"/>
        <v>0.41521114374938745</v>
      </c>
    </row>
    <row r="1276" spans="1:19" ht="15" x14ac:dyDescent="0.2">
      <c r="A1276" s="23">
        <v>45989</v>
      </c>
      <c r="B1276">
        <f t="shared" si="152"/>
        <v>2025</v>
      </c>
      <c r="C1276">
        <f t="shared" si="153"/>
        <v>11</v>
      </c>
      <c r="D1276" t="str">
        <f t="shared" si="154"/>
        <v>Noviembre</v>
      </c>
      <c r="E1276" t="str">
        <f t="shared" si="155"/>
        <v>T4</v>
      </c>
      <c r="F1276" t="s">
        <v>1401</v>
      </c>
      <c r="G1276" t="s">
        <v>61</v>
      </c>
      <c r="H1276" t="s">
        <v>62</v>
      </c>
      <c r="I1276" t="s">
        <v>63</v>
      </c>
      <c r="J1276" t="s">
        <v>77</v>
      </c>
      <c r="K1276" t="s">
        <v>78</v>
      </c>
      <c r="L1276" t="s">
        <v>79</v>
      </c>
      <c r="M1276" s="24">
        <v>85</v>
      </c>
      <c r="N1276" s="25">
        <v>5940.63</v>
      </c>
      <c r="O1276" s="25">
        <f t="shared" si="156"/>
        <v>504953.55</v>
      </c>
      <c r="P1276" s="25">
        <v>4781.33</v>
      </c>
      <c r="Q1276" s="25">
        <f t="shared" si="157"/>
        <v>406413.05</v>
      </c>
      <c r="R1276" s="25">
        <f t="shared" si="158"/>
        <v>98540.5</v>
      </c>
      <c r="S1276" s="26">
        <f t="shared" si="159"/>
        <v>0.19514765269003456</v>
      </c>
    </row>
    <row r="1277" spans="1:19" ht="15" x14ac:dyDescent="0.2">
      <c r="A1277" s="23">
        <v>45992</v>
      </c>
      <c r="B1277">
        <f t="shared" si="152"/>
        <v>2025</v>
      </c>
      <c r="C1277">
        <f t="shared" si="153"/>
        <v>12</v>
      </c>
      <c r="D1277" t="str">
        <f t="shared" si="154"/>
        <v>Diciembre</v>
      </c>
      <c r="E1277" t="str">
        <f t="shared" si="155"/>
        <v>T4</v>
      </c>
      <c r="F1277" t="s">
        <v>1402</v>
      </c>
      <c r="G1277" t="s">
        <v>68</v>
      </c>
      <c r="H1277" t="s">
        <v>62</v>
      </c>
      <c r="I1277" t="s">
        <v>69</v>
      </c>
      <c r="J1277" t="s">
        <v>57</v>
      </c>
      <c r="K1277" t="s">
        <v>81</v>
      </c>
      <c r="L1277" t="s">
        <v>129</v>
      </c>
      <c r="M1277" s="24">
        <v>275</v>
      </c>
      <c r="N1277" s="25">
        <v>3207.28</v>
      </c>
      <c r="O1277" s="25">
        <f t="shared" si="156"/>
        <v>882002</v>
      </c>
      <c r="P1277" s="25">
        <v>2602.9299999999998</v>
      </c>
      <c r="Q1277" s="25">
        <f t="shared" si="157"/>
        <v>715805.75</v>
      </c>
      <c r="R1277" s="25">
        <f t="shared" si="158"/>
        <v>166196.25</v>
      </c>
      <c r="S1277" s="26">
        <f t="shared" si="159"/>
        <v>0.18843069516849167</v>
      </c>
    </row>
    <row r="1278" spans="1:19" ht="15" x14ac:dyDescent="0.2">
      <c r="A1278" s="23">
        <v>45992</v>
      </c>
      <c r="B1278">
        <f t="shared" si="152"/>
        <v>2025</v>
      </c>
      <c r="C1278">
        <f t="shared" si="153"/>
        <v>12</v>
      </c>
      <c r="D1278" t="str">
        <f t="shared" si="154"/>
        <v>Diciembre</v>
      </c>
      <c r="E1278" t="str">
        <f t="shared" si="155"/>
        <v>T4</v>
      </c>
      <c r="F1278" t="s">
        <v>1403</v>
      </c>
      <c r="G1278" t="s">
        <v>114</v>
      </c>
      <c r="H1278" t="s">
        <v>75</v>
      </c>
      <c r="I1278" t="s">
        <v>115</v>
      </c>
      <c r="J1278" t="s">
        <v>77</v>
      </c>
      <c r="K1278" t="s">
        <v>78</v>
      </c>
      <c r="L1278" t="s">
        <v>79</v>
      </c>
      <c r="M1278" s="24">
        <v>4</v>
      </c>
      <c r="N1278" s="25">
        <v>96230.9</v>
      </c>
      <c r="O1278" s="25">
        <f t="shared" si="156"/>
        <v>384923.6</v>
      </c>
      <c r="P1278" s="25">
        <v>62793.43</v>
      </c>
      <c r="Q1278" s="25">
        <f t="shared" si="157"/>
        <v>251173.72</v>
      </c>
      <c r="R1278" s="25">
        <f t="shared" si="158"/>
        <v>133749.87999999998</v>
      </c>
      <c r="S1278" s="26">
        <f t="shared" si="159"/>
        <v>0.34747123844835698</v>
      </c>
    </row>
    <row r="1279" spans="1:19" ht="15" x14ac:dyDescent="0.2">
      <c r="A1279" s="23">
        <v>45992</v>
      </c>
      <c r="B1279">
        <f t="shared" si="152"/>
        <v>2025</v>
      </c>
      <c r="C1279">
        <f t="shared" si="153"/>
        <v>12</v>
      </c>
      <c r="D1279" t="str">
        <f t="shared" si="154"/>
        <v>Diciembre</v>
      </c>
      <c r="E1279" t="str">
        <f t="shared" si="155"/>
        <v>T4</v>
      </c>
      <c r="F1279" t="s">
        <v>1404</v>
      </c>
      <c r="G1279" t="s">
        <v>144</v>
      </c>
      <c r="H1279" t="s">
        <v>88</v>
      </c>
      <c r="I1279" t="s">
        <v>145</v>
      </c>
      <c r="J1279" t="s">
        <v>57</v>
      </c>
      <c r="K1279" t="s">
        <v>58</v>
      </c>
      <c r="L1279" t="s">
        <v>59</v>
      </c>
      <c r="M1279" s="24">
        <v>34</v>
      </c>
      <c r="N1279" s="25">
        <v>12719.83</v>
      </c>
      <c r="O1279" s="25">
        <f t="shared" si="156"/>
        <v>432474.22</v>
      </c>
      <c r="P1279" s="25">
        <v>6956.15</v>
      </c>
      <c r="Q1279" s="25">
        <f t="shared" si="157"/>
        <v>236509.09999999998</v>
      </c>
      <c r="R1279" s="25">
        <f t="shared" si="158"/>
        <v>195965.12</v>
      </c>
      <c r="S1279" s="26">
        <f t="shared" si="159"/>
        <v>0.45312555277861422</v>
      </c>
    </row>
    <row r="1280" spans="1:19" ht="15" x14ac:dyDescent="0.2">
      <c r="A1280" s="23">
        <v>45993</v>
      </c>
      <c r="B1280">
        <f t="shared" si="152"/>
        <v>2025</v>
      </c>
      <c r="C1280">
        <f t="shared" si="153"/>
        <v>12</v>
      </c>
      <c r="D1280" t="str">
        <f t="shared" si="154"/>
        <v>Diciembre</v>
      </c>
      <c r="E1280" t="str">
        <f t="shared" si="155"/>
        <v>T4</v>
      </c>
      <c r="F1280" t="s">
        <v>1405</v>
      </c>
      <c r="G1280" t="s">
        <v>61</v>
      </c>
      <c r="H1280" t="s">
        <v>62</v>
      </c>
      <c r="I1280" t="s">
        <v>63</v>
      </c>
      <c r="J1280" t="s">
        <v>70</v>
      </c>
      <c r="K1280" t="s">
        <v>71</v>
      </c>
      <c r="L1280" t="s">
        <v>72</v>
      </c>
      <c r="M1280" s="24">
        <v>35</v>
      </c>
      <c r="N1280" s="25">
        <v>5589.06</v>
      </c>
      <c r="O1280" s="25">
        <f t="shared" si="156"/>
        <v>195617.1</v>
      </c>
      <c r="P1280" s="25">
        <v>4814.9799999999996</v>
      </c>
      <c r="Q1280" s="25">
        <f t="shared" si="157"/>
        <v>168524.3</v>
      </c>
      <c r="R1280" s="25">
        <f t="shared" si="158"/>
        <v>27092.800000000017</v>
      </c>
      <c r="S1280" s="26">
        <f t="shared" si="159"/>
        <v>0.13849913939016587</v>
      </c>
    </row>
    <row r="1281" spans="1:19" ht="15" x14ac:dyDescent="0.2">
      <c r="A1281" s="23">
        <v>45993</v>
      </c>
      <c r="B1281">
        <f t="shared" si="152"/>
        <v>2025</v>
      </c>
      <c r="C1281">
        <f t="shared" si="153"/>
        <v>12</v>
      </c>
      <c r="D1281" t="str">
        <f t="shared" si="154"/>
        <v>Diciembre</v>
      </c>
      <c r="E1281" t="str">
        <f t="shared" si="155"/>
        <v>T4</v>
      </c>
      <c r="F1281" t="s">
        <v>1406</v>
      </c>
      <c r="G1281" t="s">
        <v>206</v>
      </c>
      <c r="H1281" t="s">
        <v>93</v>
      </c>
      <c r="I1281" t="s">
        <v>207</v>
      </c>
      <c r="J1281" t="s">
        <v>77</v>
      </c>
      <c r="K1281" t="s">
        <v>107</v>
      </c>
      <c r="L1281" t="s">
        <v>112</v>
      </c>
      <c r="M1281" s="24">
        <v>5</v>
      </c>
      <c r="N1281" s="25">
        <v>113982.32</v>
      </c>
      <c r="O1281" s="25">
        <f t="shared" si="156"/>
        <v>569911.60000000009</v>
      </c>
      <c r="P1281" s="25">
        <v>62053.29</v>
      </c>
      <c r="Q1281" s="25">
        <f t="shared" si="157"/>
        <v>310266.45</v>
      </c>
      <c r="R1281" s="25">
        <f t="shared" si="158"/>
        <v>259645.15000000008</v>
      </c>
      <c r="S1281" s="26">
        <f t="shared" si="159"/>
        <v>0.45558846319323915</v>
      </c>
    </row>
    <row r="1282" spans="1:19" ht="15" x14ac:dyDescent="0.2">
      <c r="A1282" s="23">
        <v>45993</v>
      </c>
      <c r="B1282">
        <f t="shared" ref="B1282:B1345" si="160">YEAR($A1282)</f>
        <v>2025</v>
      </c>
      <c r="C1282">
        <f t="shared" ref="C1282:C1345" si="161">MONTH($A1282)</f>
        <v>12</v>
      </c>
      <c r="D1282" t="str">
        <f t="shared" ref="D1282:D1345" si="162">INDEX(lst_Meses,MONTH($A1282))</f>
        <v>Diciembre</v>
      </c>
      <c r="E1282" t="str">
        <f t="shared" ref="E1282:E1345" si="163">"T"&amp;ROUNDUP(MONTH($A1282)/3,0)</f>
        <v>T4</v>
      </c>
      <c r="F1282" t="s">
        <v>1407</v>
      </c>
      <c r="G1282" t="s">
        <v>92</v>
      </c>
      <c r="H1282" t="s">
        <v>93</v>
      </c>
      <c r="I1282" t="s">
        <v>94</v>
      </c>
      <c r="J1282" t="s">
        <v>125</v>
      </c>
      <c r="K1282" t="s">
        <v>126</v>
      </c>
      <c r="L1282" t="s">
        <v>127</v>
      </c>
      <c r="M1282" s="24">
        <v>4</v>
      </c>
      <c r="N1282" s="25">
        <v>18975.2</v>
      </c>
      <c r="O1282" s="25">
        <f t="shared" ref="O1282:O1345" si="164">$M1282*$N1282</f>
        <v>75900.800000000003</v>
      </c>
      <c r="P1282" s="25">
        <v>11184.31</v>
      </c>
      <c r="Q1282" s="25">
        <f t="shared" ref="Q1282:Q1345" si="165">$M1282*$P1282</f>
        <v>44737.24</v>
      </c>
      <c r="R1282" s="25">
        <f t="shared" ref="R1282:R1345" si="166">$O1282-$Q1282</f>
        <v>31163.560000000005</v>
      </c>
      <c r="S1282" s="26">
        <f t="shared" ref="S1282:S1345" si="167">IFERROR($R1282/$O1282,0)</f>
        <v>0.41058276065601423</v>
      </c>
    </row>
    <row r="1283" spans="1:19" ht="15" x14ac:dyDescent="0.2">
      <c r="A1283" s="23">
        <v>45994</v>
      </c>
      <c r="B1283">
        <f t="shared" si="160"/>
        <v>2025</v>
      </c>
      <c r="C1283">
        <f t="shared" si="161"/>
        <v>12</v>
      </c>
      <c r="D1283" t="str">
        <f t="shared" si="162"/>
        <v>Diciembre</v>
      </c>
      <c r="E1283" t="str">
        <f t="shared" si="163"/>
        <v>T4</v>
      </c>
      <c r="F1283" t="s">
        <v>1408</v>
      </c>
      <c r="G1283" t="s">
        <v>183</v>
      </c>
      <c r="H1283" t="s">
        <v>55</v>
      </c>
      <c r="I1283" t="s">
        <v>184</v>
      </c>
      <c r="J1283" t="s">
        <v>77</v>
      </c>
      <c r="K1283" t="s">
        <v>78</v>
      </c>
      <c r="L1283" t="s">
        <v>79</v>
      </c>
      <c r="M1283" s="24">
        <v>4</v>
      </c>
      <c r="N1283" s="25">
        <v>360016.85</v>
      </c>
      <c r="O1283" s="25">
        <f t="shared" si="164"/>
        <v>1440067.4</v>
      </c>
      <c r="P1283" s="25">
        <v>265928.39</v>
      </c>
      <c r="Q1283" s="25">
        <f t="shared" si="165"/>
        <v>1063713.56</v>
      </c>
      <c r="R1283" s="25">
        <f t="shared" si="166"/>
        <v>376353.83999999985</v>
      </c>
      <c r="S1283" s="26">
        <f t="shared" si="167"/>
        <v>0.26134460095409412</v>
      </c>
    </row>
    <row r="1284" spans="1:19" ht="15" x14ac:dyDescent="0.2">
      <c r="A1284" s="23">
        <v>45994</v>
      </c>
      <c r="B1284">
        <f t="shared" si="160"/>
        <v>2025</v>
      </c>
      <c r="C1284">
        <f t="shared" si="161"/>
        <v>12</v>
      </c>
      <c r="D1284" t="str">
        <f t="shared" si="162"/>
        <v>Diciembre</v>
      </c>
      <c r="E1284" t="str">
        <f t="shared" si="163"/>
        <v>T4</v>
      </c>
      <c r="F1284" t="s">
        <v>1409</v>
      </c>
      <c r="G1284" t="s">
        <v>110</v>
      </c>
      <c r="H1284" t="s">
        <v>62</v>
      </c>
      <c r="I1284" t="s">
        <v>69</v>
      </c>
      <c r="J1284" t="s">
        <v>125</v>
      </c>
      <c r="K1284" t="s">
        <v>138</v>
      </c>
      <c r="L1284" t="s">
        <v>142</v>
      </c>
      <c r="M1284" s="24">
        <v>72</v>
      </c>
      <c r="N1284" s="25">
        <v>6688.13</v>
      </c>
      <c r="O1284" s="25">
        <f t="shared" si="164"/>
        <v>481545.36</v>
      </c>
      <c r="P1284" s="25">
        <v>5389.61</v>
      </c>
      <c r="Q1284" s="25">
        <f t="shared" si="165"/>
        <v>388051.92</v>
      </c>
      <c r="R1284" s="25">
        <f t="shared" si="166"/>
        <v>93493.440000000002</v>
      </c>
      <c r="S1284" s="26">
        <f t="shared" si="167"/>
        <v>0.19415292465906017</v>
      </c>
    </row>
    <row r="1285" spans="1:19" ht="15" x14ac:dyDescent="0.2">
      <c r="A1285" s="23">
        <v>45994</v>
      </c>
      <c r="B1285">
        <f t="shared" si="160"/>
        <v>2025</v>
      </c>
      <c r="C1285">
        <f t="shared" si="161"/>
        <v>12</v>
      </c>
      <c r="D1285" t="str">
        <f t="shared" si="162"/>
        <v>Diciembre</v>
      </c>
      <c r="E1285" t="str">
        <f t="shared" si="163"/>
        <v>T4</v>
      </c>
      <c r="F1285" t="s">
        <v>1410</v>
      </c>
      <c r="G1285" t="s">
        <v>74</v>
      </c>
      <c r="H1285" t="s">
        <v>75</v>
      </c>
      <c r="I1285" t="s">
        <v>76</v>
      </c>
      <c r="J1285" t="s">
        <v>57</v>
      </c>
      <c r="K1285" t="s">
        <v>81</v>
      </c>
      <c r="L1285" t="s">
        <v>129</v>
      </c>
      <c r="M1285" s="24">
        <v>17</v>
      </c>
      <c r="N1285" s="25">
        <v>40796.17</v>
      </c>
      <c r="O1285" s="25">
        <f t="shared" si="164"/>
        <v>693534.89</v>
      </c>
      <c r="P1285" s="25">
        <v>28111.51</v>
      </c>
      <c r="Q1285" s="25">
        <f t="shared" si="165"/>
        <v>477895.67</v>
      </c>
      <c r="R1285" s="25">
        <f t="shared" si="166"/>
        <v>215639.22000000003</v>
      </c>
      <c r="S1285" s="26">
        <f t="shared" si="167"/>
        <v>0.31092771698911936</v>
      </c>
    </row>
    <row r="1286" spans="1:19" ht="15" x14ac:dyDescent="0.2">
      <c r="A1286" s="23">
        <v>45994</v>
      </c>
      <c r="B1286">
        <f t="shared" si="160"/>
        <v>2025</v>
      </c>
      <c r="C1286">
        <f t="shared" si="161"/>
        <v>12</v>
      </c>
      <c r="D1286" t="str">
        <f t="shared" si="162"/>
        <v>Diciembre</v>
      </c>
      <c r="E1286" t="str">
        <f t="shared" si="163"/>
        <v>T4</v>
      </c>
      <c r="F1286" t="s">
        <v>1411</v>
      </c>
      <c r="G1286" t="s">
        <v>206</v>
      </c>
      <c r="H1286" t="s">
        <v>93</v>
      </c>
      <c r="I1286" t="s">
        <v>207</v>
      </c>
      <c r="J1286" t="s">
        <v>125</v>
      </c>
      <c r="K1286" t="s">
        <v>138</v>
      </c>
      <c r="L1286" t="s">
        <v>142</v>
      </c>
      <c r="M1286" s="24">
        <v>3</v>
      </c>
      <c r="N1286" s="25">
        <v>136003.66</v>
      </c>
      <c r="O1286" s="25">
        <f t="shared" si="164"/>
        <v>408010.98</v>
      </c>
      <c r="P1286" s="25">
        <v>77834.7</v>
      </c>
      <c r="Q1286" s="25">
        <f t="shared" si="165"/>
        <v>233504.09999999998</v>
      </c>
      <c r="R1286" s="25">
        <f t="shared" si="166"/>
        <v>174506.88</v>
      </c>
      <c r="S1286" s="26">
        <f t="shared" si="167"/>
        <v>0.42770143097619584</v>
      </c>
    </row>
    <row r="1287" spans="1:19" ht="15" x14ac:dyDescent="0.2">
      <c r="A1287" s="23">
        <v>45995</v>
      </c>
      <c r="B1287">
        <f t="shared" si="160"/>
        <v>2025</v>
      </c>
      <c r="C1287">
        <f t="shared" si="161"/>
        <v>12</v>
      </c>
      <c r="D1287" t="str">
        <f t="shared" si="162"/>
        <v>Diciembre</v>
      </c>
      <c r="E1287" t="str">
        <f t="shared" si="163"/>
        <v>T4</v>
      </c>
      <c r="F1287" t="s">
        <v>1412</v>
      </c>
      <c r="G1287" t="s">
        <v>105</v>
      </c>
      <c r="H1287" t="s">
        <v>62</v>
      </c>
      <c r="I1287" t="s">
        <v>106</v>
      </c>
      <c r="J1287" t="s">
        <v>70</v>
      </c>
      <c r="K1287" t="s">
        <v>84</v>
      </c>
      <c r="L1287" t="s">
        <v>147</v>
      </c>
      <c r="M1287" s="24">
        <v>342</v>
      </c>
      <c r="N1287" s="25">
        <v>1748.15</v>
      </c>
      <c r="O1287" s="25">
        <f t="shared" si="164"/>
        <v>597867.30000000005</v>
      </c>
      <c r="P1287" s="25">
        <v>1498.85</v>
      </c>
      <c r="Q1287" s="25">
        <f t="shared" si="165"/>
        <v>512606.69999999995</v>
      </c>
      <c r="R1287" s="25">
        <f t="shared" si="166"/>
        <v>85260.600000000093</v>
      </c>
      <c r="S1287" s="26">
        <f t="shared" si="167"/>
        <v>0.14260789977976732</v>
      </c>
    </row>
    <row r="1288" spans="1:19" ht="15" x14ac:dyDescent="0.2">
      <c r="A1288" s="23">
        <v>45995</v>
      </c>
      <c r="B1288">
        <f t="shared" si="160"/>
        <v>2025</v>
      </c>
      <c r="C1288">
        <f t="shared" si="161"/>
        <v>12</v>
      </c>
      <c r="D1288" t="str">
        <f t="shared" si="162"/>
        <v>Diciembre</v>
      </c>
      <c r="E1288" t="str">
        <f t="shared" si="163"/>
        <v>T4</v>
      </c>
      <c r="F1288" t="s">
        <v>1413</v>
      </c>
      <c r="G1288" t="s">
        <v>121</v>
      </c>
      <c r="H1288" t="s">
        <v>75</v>
      </c>
      <c r="I1288" t="s">
        <v>122</v>
      </c>
      <c r="J1288" t="s">
        <v>77</v>
      </c>
      <c r="K1288" t="s">
        <v>107</v>
      </c>
      <c r="L1288" t="s">
        <v>108</v>
      </c>
      <c r="M1288" s="24">
        <v>3</v>
      </c>
      <c r="N1288" s="25">
        <v>411002.69</v>
      </c>
      <c r="O1288" s="25">
        <f t="shared" si="164"/>
        <v>1233008.07</v>
      </c>
      <c r="P1288" s="25">
        <v>265863.24</v>
      </c>
      <c r="Q1288" s="25">
        <f t="shared" si="165"/>
        <v>797589.72</v>
      </c>
      <c r="R1288" s="25">
        <f t="shared" si="166"/>
        <v>435418.35000000009</v>
      </c>
      <c r="S1288" s="26">
        <f t="shared" si="167"/>
        <v>0.35313503665876256</v>
      </c>
    </row>
    <row r="1289" spans="1:19" ht="15" x14ac:dyDescent="0.2">
      <c r="A1289" s="23">
        <v>45995</v>
      </c>
      <c r="B1289">
        <f t="shared" si="160"/>
        <v>2025</v>
      </c>
      <c r="C1289">
        <f t="shared" si="161"/>
        <v>12</v>
      </c>
      <c r="D1289" t="str">
        <f t="shared" si="162"/>
        <v>Diciembre</v>
      </c>
      <c r="E1289" t="str">
        <f t="shared" si="163"/>
        <v>T4</v>
      </c>
      <c r="F1289" t="s">
        <v>1414</v>
      </c>
      <c r="G1289" t="s">
        <v>114</v>
      </c>
      <c r="H1289" t="s">
        <v>75</v>
      </c>
      <c r="I1289" t="s">
        <v>115</v>
      </c>
      <c r="J1289" t="s">
        <v>57</v>
      </c>
      <c r="K1289" t="s">
        <v>81</v>
      </c>
      <c r="L1289" t="s">
        <v>82</v>
      </c>
      <c r="M1289" s="24">
        <v>9</v>
      </c>
      <c r="N1289" s="25">
        <v>91956.97</v>
      </c>
      <c r="O1289" s="25">
        <f t="shared" si="164"/>
        <v>827612.73</v>
      </c>
      <c r="P1289" s="25">
        <v>61807.67</v>
      </c>
      <c r="Q1289" s="25">
        <f t="shared" si="165"/>
        <v>556269.03</v>
      </c>
      <c r="R1289" s="25">
        <f t="shared" si="166"/>
        <v>271343.69999999995</v>
      </c>
      <c r="S1289" s="26">
        <f t="shared" si="167"/>
        <v>0.32786312989651567</v>
      </c>
    </row>
    <row r="1290" spans="1:19" ht="15" x14ac:dyDescent="0.2">
      <c r="A1290" s="23">
        <v>45996</v>
      </c>
      <c r="B1290">
        <f t="shared" si="160"/>
        <v>2025</v>
      </c>
      <c r="C1290">
        <f t="shared" si="161"/>
        <v>12</v>
      </c>
      <c r="D1290" t="str">
        <f t="shared" si="162"/>
        <v>Diciembre</v>
      </c>
      <c r="E1290" t="str">
        <f t="shared" si="163"/>
        <v>T4</v>
      </c>
      <c r="F1290" t="s">
        <v>1415</v>
      </c>
      <c r="G1290" t="s">
        <v>183</v>
      </c>
      <c r="H1290" t="s">
        <v>55</v>
      </c>
      <c r="I1290" t="s">
        <v>184</v>
      </c>
      <c r="J1290" t="s">
        <v>57</v>
      </c>
      <c r="K1290" t="s">
        <v>81</v>
      </c>
      <c r="L1290" t="s">
        <v>129</v>
      </c>
      <c r="M1290" s="24">
        <v>3</v>
      </c>
      <c r="N1290" s="25">
        <v>431329.81</v>
      </c>
      <c r="O1290" s="25">
        <f t="shared" si="164"/>
        <v>1293989.43</v>
      </c>
      <c r="P1290" s="25">
        <v>325978.90999999997</v>
      </c>
      <c r="Q1290" s="25">
        <f t="shared" si="165"/>
        <v>977936.73</v>
      </c>
      <c r="R1290" s="25">
        <f t="shared" si="166"/>
        <v>316052.69999999995</v>
      </c>
      <c r="S1290" s="26">
        <f t="shared" si="167"/>
        <v>0.24424674009895117</v>
      </c>
    </row>
    <row r="1291" spans="1:19" ht="15" x14ac:dyDescent="0.2">
      <c r="A1291" s="23">
        <v>45996</v>
      </c>
      <c r="B1291">
        <f t="shared" si="160"/>
        <v>2025</v>
      </c>
      <c r="C1291">
        <f t="shared" si="161"/>
        <v>12</v>
      </c>
      <c r="D1291" t="str">
        <f t="shared" si="162"/>
        <v>Diciembre</v>
      </c>
      <c r="E1291" t="str">
        <f t="shared" si="163"/>
        <v>T4</v>
      </c>
      <c r="F1291" t="s">
        <v>1416</v>
      </c>
      <c r="G1291" t="s">
        <v>68</v>
      </c>
      <c r="H1291" t="s">
        <v>62</v>
      </c>
      <c r="I1291" t="s">
        <v>69</v>
      </c>
      <c r="J1291" t="s">
        <v>125</v>
      </c>
      <c r="K1291" t="s">
        <v>126</v>
      </c>
      <c r="L1291" t="s">
        <v>131</v>
      </c>
      <c r="M1291" s="24">
        <v>68</v>
      </c>
      <c r="N1291" s="25">
        <v>3181.4</v>
      </c>
      <c r="O1291" s="25">
        <f t="shared" si="164"/>
        <v>216335.2</v>
      </c>
      <c r="P1291" s="25">
        <v>2588.9299999999998</v>
      </c>
      <c r="Q1291" s="25">
        <f t="shared" si="165"/>
        <v>176047.24</v>
      </c>
      <c r="R1291" s="25">
        <f t="shared" si="166"/>
        <v>40287.960000000021</v>
      </c>
      <c r="S1291" s="26">
        <f t="shared" si="167"/>
        <v>0.18622933299805125</v>
      </c>
    </row>
    <row r="1292" spans="1:19" ht="15" x14ac:dyDescent="0.2">
      <c r="A1292" s="23">
        <v>45996</v>
      </c>
      <c r="B1292">
        <f t="shared" si="160"/>
        <v>2025</v>
      </c>
      <c r="C1292">
        <f t="shared" si="161"/>
        <v>12</v>
      </c>
      <c r="D1292" t="str">
        <f t="shared" si="162"/>
        <v>Diciembre</v>
      </c>
      <c r="E1292" t="str">
        <f t="shared" si="163"/>
        <v>T4</v>
      </c>
      <c r="F1292" t="s">
        <v>1417</v>
      </c>
      <c r="G1292" t="s">
        <v>105</v>
      </c>
      <c r="H1292" t="s">
        <v>62</v>
      </c>
      <c r="I1292" t="s">
        <v>106</v>
      </c>
      <c r="J1292" t="s">
        <v>70</v>
      </c>
      <c r="K1292" t="s">
        <v>84</v>
      </c>
      <c r="L1292" t="s">
        <v>85</v>
      </c>
      <c r="M1292" s="24">
        <v>198</v>
      </c>
      <c r="N1292" s="25">
        <v>1769.5</v>
      </c>
      <c r="O1292" s="25">
        <f t="shared" si="164"/>
        <v>350361</v>
      </c>
      <c r="P1292" s="25">
        <v>1498.96</v>
      </c>
      <c r="Q1292" s="25">
        <f t="shared" si="165"/>
        <v>296794.08</v>
      </c>
      <c r="R1292" s="25">
        <f t="shared" si="166"/>
        <v>53566.919999999984</v>
      </c>
      <c r="S1292" s="26">
        <f t="shared" si="167"/>
        <v>0.152890647075445</v>
      </c>
    </row>
    <row r="1293" spans="1:19" ht="15" x14ac:dyDescent="0.2">
      <c r="A1293" s="23">
        <v>45996</v>
      </c>
      <c r="B1293">
        <f t="shared" si="160"/>
        <v>2025</v>
      </c>
      <c r="C1293">
        <f t="shared" si="161"/>
        <v>12</v>
      </c>
      <c r="D1293" t="str">
        <f t="shared" si="162"/>
        <v>Diciembre</v>
      </c>
      <c r="E1293" t="str">
        <f t="shared" si="163"/>
        <v>T4</v>
      </c>
      <c r="F1293" t="s">
        <v>1418</v>
      </c>
      <c r="G1293" t="s">
        <v>114</v>
      </c>
      <c r="H1293" t="s">
        <v>75</v>
      </c>
      <c r="I1293" t="s">
        <v>115</v>
      </c>
      <c r="J1293" t="s">
        <v>77</v>
      </c>
      <c r="K1293" t="s">
        <v>107</v>
      </c>
      <c r="L1293" t="s">
        <v>112</v>
      </c>
      <c r="M1293" s="24">
        <v>7</v>
      </c>
      <c r="N1293" s="25">
        <v>100477.84</v>
      </c>
      <c r="O1293" s="25">
        <f t="shared" si="164"/>
        <v>703344.88</v>
      </c>
      <c r="P1293" s="25">
        <v>64061.26</v>
      </c>
      <c r="Q1293" s="25">
        <f t="shared" si="165"/>
        <v>448428.82</v>
      </c>
      <c r="R1293" s="25">
        <f t="shared" si="166"/>
        <v>254916.06</v>
      </c>
      <c r="S1293" s="26">
        <f t="shared" si="167"/>
        <v>0.36243394563418163</v>
      </c>
    </row>
    <row r="1294" spans="1:19" ht="15" x14ac:dyDescent="0.2">
      <c r="A1294" s="23">
        <v>45996</v>
      </c>
      <c r="B1294">
        <f t="shared" si="160"/>
        <v>2025</v>
      </c>
      <c r="C1294">
        <f t="shared" si="161"/>
        <v>12</v>
      </c>
      <c r="D1294" t="str">
        <f t="shared" si="162"/>
        <v>Diciembre</v>
      </c>
      <c r="E1294" t="str">
        <f t="shared" si="163"/>
        <v>T4</v>
      </c>
      <c r="F1294" t="s">
        <v>1419</v>
      </c>
      <c r="G1294" t="s">
        <v>87</v>
      </c>
      <c r="H1294" t="s">
        <v>88</v>
      </c>
      <c r="I1294" t="s">
        <v>89</v>
      </c>
      <c r="J1294" t="s">
        <v>57</v>
      </c>
      <c r="K1294" t="s">
        <v>81</v>
      </c>
      <c r="L1294" t="s">
        <v>129</v>
      </c>
      <c r="M1294" s="24">
        <v>12</v>
      </c>
      <c r="N1294" s="25">
        <v>57075.62</v>
      </c>
      <c r="O1294" s="25">
        <f t="shared" si="164"/>
        <v>684907.44000000006</v>
      </c>
      <c r="P1294" s="25">
        <v>31895.5</v>
      </c>
      <c r="Q1294" s="25">
        <f t="shared" si="165"/>
        <v>382746</v>
      </c>
      <c r="R1294" s="25">
        <f t="shared" si="166"/>
        <v>302161.44000000006</v>
      </c>
      <c r="S1294" s="26">
        <f t="shared" si="167"/>
        <v>0.44117120409730115</v>
      </c>
    </row>
    <row r="1295" spans="1:19" ht="15" x14ac:dyDescent="0.2">
      <c r="A1295" s="23">
        <v>45997</v>
      </c>
      <c r="B1295">
        <f t="shared" si="160"/>
        <v>2025</v>
      </c>
      <c r="C1295">
        <f t="shared" si="161"/>
        <v>12</v>
      </c>
      <c r="D1295" t="str">
        <f t="shared" si="162"/>
        <v>Diciembre</v>
      </c>
      <c r="E1295" t="str">
        <f t="shared" si="163"/>
        <v>T4</v>
      </c>
      <c r="F1295" t="s">
        <v>1420</v>
      </c>
      <c r="G1295" t="s">
        <v>54</v>
      </c>
      <c r="H1295" t="s">
        <v>55</v>
      </c>
      <c r="I1295" t="s">
        <v>56</v>
      </c>
      <c r="J1295" t="s">
        <v>64</v>
      </c>
      <c r="K1295" t="s">
        <v>65</v>
      </c>
      <c r="L1295" t="s">
        <v>66</v>
      </c>
      <c r="M1295" s="24">
        <v>30</v>
      </c>
      <c r="N1295" s="25">
        <v>54178.35</v>
      </c>
      <c r="O1295" s="25">
        <f t="shared" si="164"/>
        <v>1625350.5</v>
      </c>
      <c r="P1295" s="25">
        <v>41942.14</v>
      </c>
      <c r="Q1295" s="25">
        <f t="shared" si="165"/>
        <v>1258264.2</v>
      </c>
      <c r="R1295" s="25">
        <f t="shared" si="166"/>
        <v>367086.30000000005</v>
      </c>
      <c r="S1295" s="26">
        <f t="shared" si="167"/>
        <v>0.22585054731271811</v>
      </c>
    </row>
    <row r="1296" spans="1:19" ht="15" x14ac:dyDescent="0.2">
      <c r="A1296" s="23">
        <v>45997</v>
      </c>
      <c r="B1296">
        <f t="shared" si="160"/>
        <v>2025</v>
      </c>
      <c r="C1296">
        <f t="shared" si="161"/>
        <v>12</v>
      </c>
      <c r="D1296" t="str">
        <f t="shared" si="162"/>
        <v>Diciembre</v>
      </c>
      <c r="E1296" t="str">
        <f t="shared" si="163"/>
        <v>T4</v>
      </c>
      <c r="F1296" t="s">
        <v>1421</v>
      </c>
      <c r="G1296" t="s">
        <v>282</v>
      </c>
      <c r="H1296" t="s">
        <v>55</v>
      </c>
      <c r="I1296" t="s">
        <v>56</v>
      </c>
      <c r="J1296" t="s">
        <v>64</v>
      </c>
      <c r="K1296" t="s">
        <v>96</v>
      </c>
      <c r="L1296" t="s">
        <v>97</v>
      </c>
      <c r="M1296" s="24">
        <v>6</v>
      </c>
      <c r="N1296" s="25">
        <v>519771.99</v>
      </c>
      <c r="O1296" s="25">
        <f t="shared" si="164"/>
        <v>3118631.94</v>
      </c>
      <c r="P1296" s="25">
        <v>408583.02</v>
      </c>
      <c r="Q1296" s="25">
        <f t="shared" si="165"/>
        <v>2451498.12</v>
      </c>
      <c r="R1296" s="25">
        <f t="shared" si="166"/>
        <v>667133.81999999983</v>
      </c>
      <c r="S1296" s="26">
        <f t="shared" si="167"/>
        <v>0.21391874156204527</v>
      </c>
    </row>
    <row r="1297" spans="1:19" ht="15" x14ac:dyDescent="0.2">
      <c r="A1297" s="23">
        <v>45997</v>
      </c>
      <c r="B1297">
        <f t="shared" si="160"/>
        <v>2025</v>
      </c>
      <c r="C1297">
        <f t="shared" si="161"/>
        <v>12</v>
      </c>
      <c r="D1297" t="str">
        <f t="shared" si="162"/>
        <v>Diciembre</v>
      </c>
      <c r="E1297" t="str">
        <f t="shared" si="163"/>
        <v>T4</v>
      </c>
      <c r="F1297" t="s">
        <v>1422</v>
      </c>
      <c r="G1297" t="s">
        <v>54</v>
      </c>
      <c r="H1297" t="s">
        <v>55</v>
      </c>
      <c r="I1297" t="s">
        <v>56</v>
      </c>
      <c r="J1297" t="s">
        <v>125</v>
      </c>
      <c r="K1297" t="s">
        <v>126</v>
      </c>
      <c r="L1297" t="s">
        <v>127</v>
      </c>
      <c r="M1297" s="24">
        <v>13</v>
      </c>
      <c r="N1297" s="25">
        <v>54624.38</v>
      </c>
      <c r="O1297" s="25">
        <f t="shared" si="164"/>
        <v>710116.94</v>
      </c>
      <c r="P1297" s="25">
        <v>41338.769999999997</v>
      </c>
      <c r="Q1297" s="25">
        <f t="shared" si="165"/>
        <v>537404.01</v>
      </c>
      <c r="R1297" s="25">
        <f t="shared" si="166"/>
        <v>172712.92999999993</v>
      </c>
      <c r="S1297" s="26">
        <f t="shared" si="167"/>
        <v>0.24321758892274833</v>
      </c>
    </row>
    <row r="1298" spans="1:19" ht="15" x14ac:dyDescent="0.2">
      <c r="A1298" s="23">
        <v>45997</v>
      </c>
      <c r="B1298">
        <f t="shared" si="160"/>
        <v>2025</v>
      </c>
      <c r="C1298">
        <f t="shared" si="161"/>
        <v>12</v>
      </c>
      <c r="D1298" t="str">
        <f t="shared" si="162"/>
        <v>Diciembre</v>
      </c>
      <c r="E1298" t="str">
        <f t="shared" si="163"/>
        <v>T4</v>
      </c>
      <c r="F1298" t="s">
        <v>1423</v>
      </c>
      <c r="G1298" t="s">
        <v>61</v>
      </c>
      <c r="H1298" t="s">
        <v>62</v>
      </c>
      <c r="I1298" t="s">
        <v>63</v>
      </c>
      <c r="J1298" t="s">
        <v>64</v>
      </c>
      <c r="K1298" t="s">
        <v>65</v>
      </c>
      <c r="L1298" t="s">
        <v>123</v>
      </c>
      <c r="M1298" s="24">
        <v>278</v>
      </c>
      <c r="N1298" s="25">
        <v>5770.95</v>
      </c>
      <c r="O1298" s="25">
        <f t="shared" si="164"/>
        <v>1604324.0999999999</v>
      </c>
      <c r="P1298" s="25">
        <v>4793.8500000000004</v>
      </c>
      <c r="Q1298" s="25">
        <f t="shared" si="165"/>
        <v>1332690.3</v>
      </c>
      <c r="R1298" s="25">
        <f t="shared" si="166"/>
        <v>271633.79999999981</v>
      </c>
      <c r="S1298" s="26">
        <f t="shared" si="167"/>
        <v>0.16931354456371991</v>
      </c>
    </row>
    <row r="1299" spans="1:19" ht="15" x14ac:dyDescent="0.2">
      <c r="A1299" s="23">
        <v>45997</v>
      </c>
      <c r="B1299">
        <f t="shared" si="160"/>
        <v>2025</v>
      </c>
      <c r="C1299">
        <f t="shared" si="161"/>
        <v>12</v>
      </c>
      <c r="D1299" t="str">
        <f t="shared" si="162"/>
        <v>Diciembre</v>
      </c>
      <c r="E1299" t="str">
        <f t="shared" si="163"/>
        <v>T4</v>
      </c>
      <c r="F1299" t="s">
        <v>1424</v>
      </c>
      <c r="G1299" t="s">
        <v>114</v>
      </c>
      <c r="H1299" t="s">
        <v>75</v>
      </c>
      <c r="I1299" t="s">
        <v>115</v>
      </c>
      <c r="J1299" t="s">
        <v>70</v>
      </c>
      <c r="K1299" t="s">
        <v>84</v>
      </c>
      <c r="L1299" t="s">
        <v>147</v>
      </c>
      <c r="M1299" s="24">
        <v>3</v>
      </c>
      <c r="N1299" s="25">
        <v>84432.71</v>
      </c>
      <c r="O1299" s="25">
        <f t="shared" si="164"/>
        <v>253298.13</v>
      </c>
      <c r="P1299" s="25">
        <v>60519.78</v>
      </c>
      <c r="Q1299" s="25">
        <f t="shared" si="165"/>
        <v>181559.34</v>
      </c>
      <c r="R1299" s="25">
        <f t="shared" si="166"/>
        <v>71738.790000000008</v>
      </c>
      <c r="S1299" s="26">
        <f t="shared" si="167"/>
        <v>0.28321879044270876</v>
      </c>
    </row>
    <row r="1300" spans="1:19" ht="15" x14ac:dyDescent="0.2">
      <c r="A1300" s="23">
        <v>45997</v>
      </c>
      <c r="B1300">
        <f t="shared" si="160"/>
        <v>2025</v>
      </c>
      <c r="C1300">
        <f t="shared" si="161"/>
        <v>12</v>
      </c>
      <c r="D1300" t="str">
        <f t="shared" si="162"/>
        <v>Diciembre</v>
      </c>
      <c r="E1300" t="str">
        <f t="shared" si="163"/>
        <v>T4</v>
      </c>
      <c r="F1300" t="s">
        <v>1425</v>
      </c>
      <c r="G1300" t="s">
        <v>188</v>
      </c>
      <c r="H1300" t="s">
        <v>88</v>
      </c>
      <c r="I1300" t="s">
        <v>189</v>
      </c>
      <c r="J1300" t="s">
        <v>77</v>
      </c>
      <c r="K1300" t="s">
        <v>107</v>
      </c>
      <c r="L1300" t="s">
        <v>108</v>
      </c>
      <c r="M1300" s="24">
        <v>6</v>
      </c>
      <c r="N1300" s="25">
        <v>89268.54</v>
      </c>
      <c r="O1300" s="25">
        <f t="shared" si="164"/>
        <v>535611.24</v>
      </c>
      <c r="P1300" s="25">
        <v>44318.06</v>
      </c>
      <c r="Q1300" s="25">
        <f t="shared" si="165"/>
        <v>265908.36</v>
      </c>
      <c r="R1300" s="25">
        <f t="shared" si="166"/>
        <v>269702.88</v>
      </c>
      <c r="S1300" s="26">
        <f t="shared" si="167"/>
        <v>0.5035422333556705</v>
      </c>
    </row>
    <row r="1301" spans="1:19" ht="15" x14ac:dyDescent="0.2">
      <c r="A1301" s="23">
        <v>45998</v>
      </c>
      <c r="B1301">
        <f t="shared" si="160"/>
        <v>2025</v>
      </c>
      <c r="C1301">
        <f t="shared" si="161"/>
        <v>12</v>
      </c>
      <c r="D1301" t="str">
        <f t="shared" si="162"/>
        <v>Diciembre</v>
      </c>
      <c r="E1301" t="str">
        <f t="shared" si="163"/>
        <v>T4</v>
      </c>
      <c r="F1301" t="s">
        <v>1426</v>
      </c>
      <c r="G1301" t="s">
        <v>100</v>
      </c>
      <c r="H1301" t="s">
        <v>88</v>
      </c>
      <c r="I1301" t="s">
        <v>101</v>
      </c>
      <c r="J1301" t="s">
        <v>64</v>
      </c>
      <c r="K1301" t="s">
        <v>65</v>
      </c>
      <c r="L1301" t="s">
        <v>66</v>
      </c>
      <c r="M1301" s="24">
        <v>24</v>
      </c>
      <c r="N1301" s="25">
        <v>36824.47</v>
      </c>
      <c r="O1301" s="25">
        <f t="shared" si="164"/>
        <v>883787.28</v>
      </c>
      <c r="P1301" s="25">
        <v>20755.599999999999</v>
      </c>
      <c r="Q1301" s="25">
        <f t="shared" si="165"/>
        <v>498134.39999999997</v>
      </c>
      <c r="R1301" s="25">
        <f t="shared" si="166"/>
        <v>385652.88000000006</v>
      </c>
      <c r="S1301" s="26">
        <f t="shared" si="167"/>
        <v>0.43636391779705186</v>
      </c>
    </row>
    <row r="1302" spans="1:19" ht="15" x14ac:dyDescent="0.2">
      <c r="A1302" s="23">
        <v>45998</v>
      </c>
      <c r="B1302">
        <f t="shared" si="160"/>
        <v>2025</v>
      </c>
      <c r="C1302">
        <f t="shared" si="161"/>
        <v>12</v>
      </c>
      <c r="D1302" t="str">
        <f t="shared" si="162"/>
        <v>Diciembre</v>
      </c>
      <c r="E1302" t="str">
        <f t="shared" si="163"/>
        <v>T4</v>
      </c>
      <c r="F1302" t="s">
        <v>1427</v>
      </c>
      <c r="G1302" t="s">
        <v>188</v>
      </c>
      <c r="H1302" t="s">
        <v>88</v>
      </c>
      <c r="I1302" t="s">
        <v>189</v>
      </c>
      <c r="J1302" t="s">
        <v>77</v>
      </c>
      <c r="K1302" t="s">
        <v>78</v>
      </c>
      <c r="L1302" t="s">
        <v>117</v>
      </c>
      <c r="M1302" s="24">
        <v>8</v>
      </c>
      <c r="N1302" s="25">
        <v>79948.850000000006</v>
      </c>
      <c r="O1302" s="25">
        <f t="shared" si="164"/>
        <v>639590.80000000005</v>
      </c>
      <c r="P1302" s="25">
        <v>41595.85</v>
      </c>
      <c r="Q1302" s="25">
        <f t="shared" si="165"/>
        <v>332766.8</v>
      </c>
      <c r="R1302" s="25">
        <f t="shared" si="166"/>
        <v>306824.00000000006</v>
      </c>
      <c r="S1302" s="26">
        <f t="shared" si="167"/>
        <v>0.47971922047659227</v>
      </c>
    </row>
    <row r="1303" spans="1:19" ht="15" x14ac:dyDescent="0.2">
      <c r="A1303" s="23">
        <v>45998</v>
      </c>
      <c r="B1303">
        <f t="shared" si="160"/>
        <v>2025</v>
      </c>
      <c r="C1303">
        <f t="shared" si="161"/>
        <v>12</v>
      </c>
      <c r="D1303" t="str">
        <f t="shared" si="162"/>
        <v>Diciembre</v>
      </c>
      <c r="E1303" t="str">
        <f t="shared" si="163"/>
        <v>T4</v>
      </c>
      <c r="F1303" t="s">
        <v>1428</v>
      </c>
      <c r="G1303" t="s">
        <v>188</v>
      </c>
      <c r="H1303" t="s">
        <v>88</v>
      </c>
      <c r="I1303" t="s">
        <v>189</v>
      </c>
      <c r="J1303" t="s">
        <v>125</v>
      </c>
      <c r="K1303" t="s">
        <v>138</v>
      </c>
      <c r="L1303" t="s">
        <v>139</v>
      </c>
      <c r="M1303" s="24">
        <v>4</v>
      </c>
      <c r="N1303" s="25">
        <v>80416.759999999995</v>
      </c>
      <c r="O1303" s="25">
        <f t="shared" si="164"/>
        <v>321667.03999999998</v>
      </c>
      <c r="P1303" s="25">
        <v>43861.54</v>
      </c>
      <c r="Q1303" s="25">
        <f t="shared" si="165"/>
        <v>175446.16</v>
      </c>
      <c r="R1303" s="25">
        <f t="shared" si="166"/>
        <v>146220.87999999998</v>
      </c>
      <c r="S1303" s="26">
        <f t="shared" si="167"/>
        <v>0.4545721563514869</v>
      </c>
    </row>
    <row r="1304" spans="1:19" ht="15" x14ac:dyDescent="0.2">
      <c r="A1304" s="23">
        <v>45999</v>
      </c>
      <c r="B1304">
        <f t="shared" si="160"/>
        <v>2025</v>
      </c>
      <c r="C1304">
        <f t="shared" si="161"/>
        <v>12</v>
      </c>
      <c r="D1304" t="str">
        <f t="shared" si="162"/>
        <v>Diciembre</v>
      </c>
      <c r="E1304" t="str">
        <f t="shared" si="163"/>
        <v>T4</v>
      </c>
      <c r="F1304" t="s">
        <v>1429</v>
      </c>
      <c r="G1304" t="s">
        <v>54</v>
      </c>
      <c r="H1304" t="s">
        <v>55</v>
      </c>
      <c r="I1304" t="s">
        <v>56</v>
      </c>
      <c r="J1304" t="s">
        <v>70</v>
      </c>
      <c r="K1304" t="s">
        <v>71</v>
      </c>
      <c r="L1304" t="s">
        <v>72</v>
      </c>
      <c r="M1304" s="24">
        <v>7</v>
      </c>
      <c r="N1304" s="25">
        <v>55584.3</v>
      </c>
      <c r="O1304" s="25">
        <f t="shared" si="164"/>
        <v>389090.10000000003</v>
      </c>
      <c r="P1304" s="25">
        <v>44763.83</v>
      </c>
      <c r="Q1304" s="25">
        <f t="shared" si="165"/>
        <v>313346.81</v>
      </c>
      <c r="R1304" s="25">
        <f t="shared" si="166"/>
        <v>75743.290000000037</v>
      </c>
      <c r="S1304" s="26">
        <f t="shared" si="167"/>
        <v>0.19466773891188707</v>
      </c>
    </row>
    <row r="1305" spans="1:19" ht="15" x14ac:dyDescent="0.2">
      <c r="A1305" s="23">
        <v>45999</v>
      </c>
      <c r="B1305">
        <f t="shared" si="160"/>
        <v>2025</v>
      </c>
      <c r="C1305">
        <f t="shared" si="161"/>
        <v>12</v>
      </c>
      <c r="D1305" t="str">
        <f t="shared" si="162"/>
        <v>Diciembre</v>
      </c>
      <c r="E1305" t="str">
        <f t="shared" si="163"/>
        <v>T4</v>
      </c>
      <c r="F1305" t="s">
        <v>1430</v>
      </c>
      <c r="G1305" t="s">
        <v>110</v>
      </c>
      <c r="H1305" t="s">
        <v>62</v>
      </c>
      <c r="I1305" t="s">
        <v>69</v>
      </c>
      <c r="J1305" t="s">
        <v>77</v>
      </c>
      <c r="K1305" t="s">
        <v>78</v>
      </c>
      <c r="L1305" t="s">
        <v>117</v>
      </c>
      <c r="M1305" s="24">
        <v>144</v>
      </c>
      <c r="N1305" s="25">
        <v>6724.51</v>
      </c>
      <c r="O1305" s="25">
        <f t="shared" si="164"/>
        <v>968329.44000000006</v>
      </c>
      <c r="P1305" s="25">
        <v>5402.84</v>
      </c>
      <c r="Q1305" s="25">
        <f t="shared" si="165"/>
        <v>778008.96</v>
      </c>
      <c r="R1305" s="25">
        <f t="shared" si="166"/>
        <v>190320.4800000001</v>
      </c>
      <c r="S1305" s="26">
        <f t="shared" si="167"/>
        <v>0.19654517578232475</v>
      </c>
    </row>
    <row r="1306" spans="1:19" ht="15" x14ac:dyDescent="0.2">
      <c r="A1306" s="23">
        <v>45999</v>
      </c>
      <c r="B1306">
        <f t="shared" si="160"/>
        <v>2025</v>
      </c>
      <c r="C1306">
        <f t="shared" si="161"/>
        <v>12</v>
      </c>
      <c r="D1306" t="str">
        <f t="shared" si="162"/>
        <v>Diciembre</v>
      </c>
      <c r="E1306" t="str">
        <f t="shared" si="163"/>
        <v>T4</v>
      </c>
      <c r="F1306" t="s">
        <v>1431</v>
      </c>
      <c r="G1306" t="s">
        <v>1432</v>
      </c>
      <c r="H1306" t="s">
        <v>75</v>
      </c>
      <c r="I1306" t="s">
        <v>1433</v>
      </c>
      <c r="J1306" t="s">
        <v>64</v>
      </c>
      <c r="K1306" t="s">
        <v>65</v>
      </c>
      <c r="L1306" t="s">
        <v>123</v>
      </c>
      <c r="M1306" s="24">
        <v>2</v>
      </c>
      <c r="N1306" s="25">
        <v>878179.08</v>
      </c>
      <c r="O1306" s="25">
        <f t="shared" si="164"/>
        <v>1756358.16</v>
      </c>
      <c r="P1306" s="25">
        <v>616786.91</v>
      </c>
      <c r="Q1306" s="25">
        <f t="shared" si="165"/>
        <v>1233573.82</v>
      </c>
      <c r="R1306" s="25">
        <f t="shared" si="166"/>
        <v>522784.33999999985</v>
      </c>
      <c r="S1306" s="26">
        <f t="shared" si="167"/>
        <v>0.29765246742156504</v>
      </c>
    </row>
    <row r="1307" spans="1:19" ht="15" x14ac:dyDescent="0.2">
      <c r="A1307" s="23">
        <v>45999</v>
      </c>
      <c r="B1307">
        <f t="shared" si="160"/>
        <v>2025</v>
      </c>
      <c r="C1307">
        <f t="shared" si="161"/>
        <v>12</v>
      </c>
      <c r="D1307" t="str">
        <f t="shared" si="162"/>
        <v>Diciembre</v>
      </c>
      <c r="E1307" t="str">
        <f t="shared" si="163"/>
        <v>T4</v>
      </c>
      <c r="F1307" t="s">
        <v>1434</v>
      </c>
      <c r="G1307" t="s">
        <v>114</v>
      </c>
      <c r="H1307" t="s">
        <v>75</v>
      </c>
      <c r="I1307" t="s">
        <v>115</v>
      </c>
      <c r="J1307" t="s">
        <v>77</v>
      </c>
      <c r="K1307" t="s">
        <v>78</v>
      </c>
      <c r="L1307" t="s">
        <v>117</v>
      </c>
      <c r="M1307" s="24">
        <v>9</v>
      </c>
      <c r="N1307" s="25">
        <v>96801.07</v>
      </c>
      <c r="O1307" s="25">
        <f t="shared" si="164"/>
        <v>871209.63000000012</v>
      </c>
      <c r="P1307" s="25">
        <v>64680.43</v>
      </c>
      <c r="Q1307" s="25">
        <f t="shared" si="165"/>
        <v>582123.87</v>
      </c>
      <c r="R1307" s="25">
        <f t="shared" si="166"/>
        <v>289085.76000000013</v>
      </c>
      <c r="S1307" s="26">
        <f t="shared" si="167"/>
        <v>0.33182112553094723</v>
      </c>
    </row>
    <row r="1308" spans="1:19" ht="15" x14ac:dyDescent="0.2">
      <c r="A1308" s="23">
        <v>45999</v>
      </c>
      <c r="B1308">
        <f t="shared" si="160"/>
        <v>2025</v>
      </c>
      <c r="C1308">
        <f t="shared" si="161"/>
        <v>12</v>
      </c>
      <c r="D1308" t="str">
        <f t="shared" si="162"/>
        <v>Diciembre</v>
      </c>
      <c r="E1308" t="str">
        <f t="shared" si="163"/>
        <v>T4</v>
      </c>
      <c r="F1308" t="s">
        <v>1435</v>
      </c>
      <c r="G1308" t="s">
        <v>74</v>
      </c>
      <c r="H1308" t="s">
        <v>75</v>
      </c>
      <c r="I1308" t="s">
        <v>76</v>
      </c>
      <c r="J1308" t="s">
        <v>70</v>
      </c>
      <c r="K1308" t="s">
        <v>71</v>
      </c>
      <c r="L1308" t="s">
        <v>72</v>
      </c>
      <c r="M1308" s="24">
        <v>5</v>
      </c>
      <c r="N1308" s="25">
        <v>38629.97</v>
      </c>
      <c r="O1308" s="25">
        <f t="shared" si="164"/>
        <v>193149.85</v>
      </c>
      <c r="P1308" s="25">
        <v>27900.59</v>
      </c>
      <c r="Q1308" s="25">
        <f t="shared" si="165"/>
        <v>139502.95000000001</v>
      </c>
      <c r="R1308" s="25">
        <f t="shared" si="166"/>
        <v>53646.899999999994</v>
      </c>
      <c r="S1308" s="26">
        <f t="shared" si="167"/>
        <v>0.27774756232013637</v>
      </c>
    </row>
    <row r="1309" spans="1:19" ht="15" x14ac:dyDescent="0.2">
      <c r="A1309" s="23">
        <v>45999</v>
      </c>
      <c r="B1309">
        <f t="shared" si="160"/>
        <v>2025</v>
      </c>
      <c r="C1309">
        <f t="shared" si="161"/>
        <v>12</v>
      </c>
      <c r="D1309" t="str">
        <f t="shared" si="162"/>
        <v>Diciembre</v>
      </c>
      <c r="E1309" t="str">
        <f t="shared" si="163"/>
        <v>T4</v>
      </c>
      <c r="F1309" t="s">
        <v>1436</v>
      </c>
      <c r="G1309" t="s">
        <v>144</v>
      </c>
      <c r="H1309" t="s">
        <v>88</v>
      </c>
      <c r="I1309" t="s">
        <v>145</v>
      </c>
      <c r="J1309" t="s">
        <v>64</v>
      </c>
      <c r="K1309" t="s">
        <v>65</v>
      </c>
      <c r="L1309" t="s">
        <v>123</v>
      </c>
      <c r="M1309" s="24">
        <v>120</v>
      </c>
      <c r="N1309" s="25">
        <v>12201.65</v>
      </c>
      <c r="O1309" s="25">
        <f t="shared" si="164"/>
        <v>1464198</v>
      </c>
      <c r="P1309" s="25">
        <v>6975.03</v>
      </c>
      <c r="Q1309" s="25">
        <f t="shared" si="165"/>
        <v>837003.6</v>
      </c>
      <c r="R1309" s="25">
        <f t="shared" si="166"/>
        <v>627194.4</v>
      </c>
      <c r="S1309" s="26">
        <f t="shared" si="167"/>
        <v>0.4283535423487807</v>
      </c>
    </row>
    <row r="1310" spans="1:19" ht="15" x14ac:dyDescent="0.2">
      <c r="A1310" s="23">
        <v>46000</v>
      </c>
      <c r="B1310">
        <f t="shared" si="160"/>
        <v>2025</v>
      </c>
      <c r="C1310">
        <f t="shared" si="161"/>
        <v>12</v>
      </c>
      <c r="D1310" t="str">
        <f t="shared" si="162"/>
        <v>Diciembre</v>
      </c>
      <c r="E1310" t="str">
        <f t="shared" si="163"/>
        <v>T4</v>
      </c>
      <c r="F1310" t="s">
        <v>1437</v>
      </c>
      <c r="G1310" t="s">
        <v>183</v>
      </c>
      <c r="H1310" t="s">
        <v>55</v>
      </c>
      <c r="I1310" t="s">
        <v>184</v>
      </c>
      <c r="J1310" t="s">
        <v>57</v>
      </c>
      <c r="K1310" t="s">
        <v>81</v>
      </c>
      <c r="L1310" t="s">
        <v>82</v>
      </c>
      <c r="M1310" s="24">
        <v>4</v>
      </c>
      <c r="N1310" s="25">
        <v>430364.77</v>
      </c>
      <c r="O1310" s="25">
        <f t="shared" si="164"/>
        <v>1721459.08</v>
      </c>
      <c r="P1310" s="25">
        <v>325031.82</v>
      </c>
      <c r="Q1310" s="25">
        <f t="shared" si="165"/>
        <v>1300127.28</v>
      </c>
      <c r="R1310" s="25">
        <f t="shared" si="166"/>
        <v>421331.80000000005</v>
      </c>
      <c r="S1310" s="26">
        <f t="shared" si="167"/>
        <v>0.24475272453179661</v>
      </c>
    </row>
    <row r="1311" spans="1:19" ht="15" x14ac:dyDescent="0.2">
      <c r="A1311" s="23">
        <v>46000</v>
      </c>
      <c r="B1311">
        <f t="shared" si="160"/>
        <v>2025</v>
      </c>
      <c r="C1311">
        <f t="shared" si="161"/>
        <v>12</v>
      </c>
      <c r="D1311" t="str">
        <f t="shared" si="162"/>
        <v>Diciembre</v>
      </c>
      <c r="E1311" t="str">
        <f t="shared" si="163"/>
        <v>T4</v>
      </c>
      <c r="F1311" t="s">
        <v>1438</v>
      </c>
      <c r="G1311" t="s">
        <v>206</v>
      </c>
      <c r="H1311" t="s">
        <v>93</v>
      </c>
      <c r="I1311" t="s">
        <v>207</v>
      </c>
      <c r="J1311" t="s">
        <v>77</v>
      </c>
      <c r="K1311" t="s">
        <v>78</v>
      </c>
      <c r="L1311" t="s">
        <v>79</v>
      </c>
      <c r="M1311" s="24">
        <v>3</v>
      </c>
      <c r="N1311" s="25">
        <v>123388.11</v>
      </c>
      <c r="O1311" s="25">
        <f t="shared" si="164"/>
        <v>370164.33</v>
      </c>
      <c r="P1311" s="25">
        <v>69933.13</v>
      </c>
      <c r="Q1311" s="25">
        <f t="shared" si="165"/>
        <v>209799.39</v>
      </c>
      <c r="R1311" s="25">
        <f t="shared" si="166"/>
        <v>160364.94</v>
      </c>
      <c r="S1311" s="26">
        <f t="shared" si="167"/>
        <v>0.43322634571515845</v>
      </c>
    </row>
    <row r="1312" spans="1:19" ht="15" x14ac:dyDescent="0.2">
      <c r="A1312" s="23">
        <v>46001</v>
      </c>
      <c r="B1312">
        <f t="shared" si="160"/>
        <v>2025</v>
      </c>
      <c r="C1312">
        <f t="shared" si="161"/>
        <v>12</v>
      </c>
      <c r="D1312" t="str">
        <f t="shared" si="162"/>
        <v>Diciembre</v>
      </c>
      <c r="E1312" t="str">
        <f t="shared" si="163"/>
        <v>T4</v>
      </c>
      <c r="F1312" t="s">
        <v>1439</v>
      </c>
      <c r="G1312" t="s">
        <v>1035</v>
      </c>
      <c r="H1312" t="s">
        <v>55</v>
      </c>
      <c r="I1312" t="s">
        <v>1036</v>
      </c>
      <c r="J1312" t="s">
        <v>64</v>
      </c>
      <c r="K1312" t="s">
        <v>96</v>
      </c>
      <c r="L1312" t="s">
        <v>97</v>
      </c>
      <c r="M1312" s="24">
        <v>3</v>
      </c>
      <c r="N1312" s="25">
        <v>675927.75</v>
      </c>
      <c r="O1312" s="25">
        <f t="shared" si="164"/>
        <v>2027783.25</v>
      </c>
      <c r="P1312" s="25">
        <v>521495.03</v>
      </c>
      <c r="Q1312" s="25">
        <f t="shared" si="165"/>
        <v>1564485.09</v>
      </c>
      <c r="R1312" s="25">
        <f t="shared" si="166"/>
        <v>463298.15999999992</v>
      </c>
      <c r="S1312" s="26">
        <f t="shared" si="167"/>
        <v>0.22847518836147795</v>
      </c>
    </row>
    <row r="1313" spans="1:19" ht="15" x14ac:dyDescent="0.2">
      <c r="A1313" s="23">
        <v>46001</v>
      </c>
      <c r="B1313">
        <f t="shared" si="160"/>
        <v>2025</v>
      </c>
      <c r="C1313">
        <f t="shared" si="161"/>
        <v>12</v>
      </c>
      <c r="D1313" t="str">
        <f t="shared" si="162"/>
        <v>Diciembre</v>
      </c>
      <c r="E1313" t="str">
        <f t="shared" si="163"/>
        <v>T4</v>
      </c>
      <c r="F1313" t="s">
        <v>1440</v>
      </c>
      <c r="G1313" t="s">
        <v>54</v>
      </c>
      <c r="H1313" t="s">
        <v>55</v>
      </c>
      <c r="I1313" t="s">
        <v>56</v>
      </c>
      <c r="J1313" t="s">
        <v>125</v>
      </c>
      <c r="K1313" t="s">
        <v>138</v>
      </c>
      <c r="L1313" t="s">
        <v>142</v>
      </c>
      <c r="M1313" s="24">
        <v>9</v>
      </c>
      <c r="N1313" s="25">
        <v>56115.68</v>
      </c>
      <c r="O1313" s="25">
        <f t="shared" si="164"/>
        <v>505041.12</v>
      </c>
      <c r="P1313" s="25">
        <v>42114.09</v>
      </c>
      <c r="Q1313" s="25">
        <f t="shared" si="165"/>
        <v>379026.80999999994</v>
      </c>
      <c r="R1313" s="25">
        <f t="shared" si="166"/>
        <v>126014.31000000006</v>
      </c>
      <c r="S1313" s="26">
        <f t="shared" si="167"/>
        <v>0.24951297034982034</v>
      </c>
    </row>
    <row r="1314" spans="1:19" ht="15" x14ac:dyDescent="0.2">
      <c r="A1314" s="23">
        <v>46001</v>
      </c>
      <c r="B1314">
        <f t="shared" si="160"/>
        <v>2025</v>
      </c>
      <c r="C1314">
        <f t="shared" si="161"/>
        <v>12</v>
      </c>
      <c r="D1314" t="str">
        <f t="shared" si="162"/>
        <v>Diciembre</v>
      </c>
      <c r="E1314" t="str">
        <f t="shared" si="163"/>
        <v>T4</v>
      </c>
      <c r="F1314" t="s">
        <v>1441</v>
      </c>
      <c r="G1314" t="s">
        <v>105</v>
      </c>
      <c r="H1314" t="s">
        <v>62</v>
      </c>
      <c r="I1314" t="s">
        <v>106</v>
      </c>
      <c r="J1314" t="s">
        <v>77</v>
      </c>
      <c r="K1314" t="s">
        <v>107</v>
      </c>
      <c r="L1314" t="s">
        <v>112</v>
      </c>
      <c r="M1314" s="24">
        <v>11</v>
      </c>
      <c r="N1314" s="25">
        <v>1918.19</v>
      </c>
      <c r="O1314" s="25">
        <f t="shared" si="164"/>
        <v>21100.09</v>
      </c>
      <c r="P1314" s="25">
        <v>1485.96</v>
      </c>
      <c r="Q1314" s="25">
        <f t="shared" si="165"/>
        <v>16345.560000000001</v>
      </c>
      <c r="R1314" s="25">
        <f t="shared" si="166"/>
        <v>4754.5299999999988</v>
      </c>
      <c r="S1314" s="26">
        <f t="shared" si="167"/>
        <v>0.22533221422278288</v>
      </c>
    </row>
    <row r="1315" spans="1:19" ht="15" x14ac:dyDescent="0.2">
      <c r="A1315" s="23">
        <v>46001</v>
      </c>
      <c r="B1315">
        <f t="shared" si="160"/>
        <v>2025</v>
      </c>
      <c r="C1315">
        <f t="shared" si="161"/>
        <v>12</v>
      </c>
      <c r="D1315" t="str">
        <f t="shared" si="162"/>
        <v>Diciembre</v>
      </c>
      <c r="E1315" t="str">
        <f t="shared" si="163"/>
        <v>T4</v>
      </c>
      <c r="F1315" t="s">
        <v>1442</v>
      </c>
      <c r="G1315" t="s">
        <v>105</v>
      </c>
      <c r="H1315" t="s">
        <v>62</v>
      </c>
      <c r="I1315" t="s">
        <v>106</v>
      </c>
      <c r="J1315" t="s">
        <v>57</v>
      </c>
      <c r="K1315" t="s">
        <v>58</v>
      </c>
      <c r="L1315" t="s">
        <v>162</v>
      </c>
      <c r="M1315" s="24">
        <v>144</v>
      </c>
      <c r="N1315" s="25">
        <v>1836.38</v>
      </c>
      <c r="O1315" s="25">
        <f t="shared" si="164"/>
        <v>264438.72000000003</v>
      </c>
      <c r="P1315" s="25">
        <v>1500.97</v>
      </c>
      <c r="Q1315" s="25">
        <f t="shared" si="165"/>
        <v>216139.68</v>
      </c>
      <c r="R1315" s="25">
        <f t="shared" si="166"/>
        <v>48299.040000000037</v>
      </c>
      <c r="S1315" s="26">
        <f t="shared" si="167"/>
        <v>0.1826473823500584</v>
      </c>
    </row>
    <row r="1316" spans="1:19" ht="15" x14ac:dyDescent="0.2">
      <c r="A1316" s="23">
        <v>46001</v>
      </c>
      <c r="B1316">
        <f t="shared" si="160"/>
        <v>2025</v>
      </c>
      <c r="C1316">
        <f t="shared" si="161"/>
        <v>12</v>
      </c>
      <c r="D1316" t="str">
        <f t="shared" si="162"/>
        <v>Diciembre</v>
      </c>
      <c r="E1316" t="str">
        <f t="shared" si="163"/>
        <v>T4</v>
      </c>
      <c r="F1316" t="s">
        <v>1443</v>
      </c>
      <c r="G1316" t="s">
        <v>188</v>
      </c>
      <c r="H1316" t="s">
        <v>88</v>
      </c>
      <c r="I1316" t="s">
        <v>189</v>
      </c>
      <c r="J1316" t="s">
        <v>70</v>
      </c>
      <c r="K1316" t="s">
        <v>84</v>
      </c>
      <c r="L1316" t="s">
        <v>147</v>
      </c>
      <c r="M1316" s="24">
        <v>5</v>
      </c>
      <c r="N1316" s="25">
        <v>63864.42</v>
      </c>
      <c r="O1316" s="25">
        <f t="shared" si="164"/>
        <v>319322.09999999998</v>
      </c>
      <c r="P1316" s="25">
        <v>38360.339999999997</v>
      </c>
      <c r="Q1316" s="25">
        <f t="shared" si="165"/>
        <v>191801.69999999998</v>
      </c>
      <c r="R1316" s="25">
        <f t="shared" si="166"/>
        <v>127520.4</v>
      </c>
      <c r="S1316" s="26">
        <f t="shared" si="167"/>
        <v>0.39934724217334161</v>
      </c>
    </row>
    <row r="1317" spans="1:19" ht="15" x14ac:dyDescent="0.2">
      <c r="A1317" s="23">
        <v>46001</v>
      </c>
      <c r="B1317">
        <f t="shared" si="160"/>
        <v>2025</v>
      </c>
      <c r="C1317">
        <f t="shared" si="161"/>
        <v>12</v>
      </c>
      <c r="D1317" t="str">
        <f t="shared" si="162"/>
        <v>Diciembre</v>
      </c>
      <c r="E1317" t="str">
        <f t="shared" si="163"/>
        <v>T4</v>
      </c>
      <c r="F1317" t="s">
        <v>1444</v>
      </c>
      <c r="G1317" t="s">
        <v>87</v>
      </c>
      <c r="H1317" t="s">
        <v>88</v>
      </c>
      <c r="I1317" t="s">
        <v>89</v>
      </c>
      <c r="J1317" t="s">
        <v>70</v>
      </c>
      <c r="K1317" t="s">
        <v>71</v>
      </c>
      <c r="L1317" t="s">
        <v>72</v>
      </c>
      <c r="M1317" s="24">
        <v>4</v>
      </c>
      <c r="N1317" s="25">
        <v>52554.17</v>
      </c>
      <c r="O1317" s="25">
        <f t="shared" si="164"/>
        <v>210216.68</v>
      </c>
      <c r="P1317" s="25">
        <v>31645.72</v>
      </c>
      <c r="Q1317" s="25">
        <f t="shared" si="165"/>
        <v>126582.88</v>
      </c>
      <c r="R1317" s="25">
        <f t="shared" si="166"/>
        <v>83633.799999999988</v>
      </c>
      <c r="S1317" s="26">
        <f t="shared" si="167"/>
        <v>0.39784568950475285</v>
      </c>
    </row>
    <row r="1318" spans="1:19" ht="15" x14ac:dyDescent="0.2">
      <c r="A1318" s="23">
        <v>46001</v>
      </c>
      <c r="B1318">
        <f t="shared" si="160"/>
        <v>2025</v>
      </c>
      <c r="C1318">
        <f t="shared" si="161"/>
        <v>12</v>
      </c>
      <c r="D1318" t="str">
        <f t="shared" si="162"/>
        <v>Diciembre</v>
      </c>
      <c r="E1318" t="str">
        <f t="shared" si="163"/>
        <v>T4</v>
      </c>
      <c r="F1318" t="s">
        <v>1445</v>
      </c>
      <c r="G1318" t="s">
        <v>149</v>
      </c>
      <c r="H1318" t="s">
        <v>93</v>
      </c>
      <c r="I1318" t="s">
        <v>150</v>
      </c>
      <c r="J1318" t="s">
        <v>64</v>
      </c>
      <c r="K1318" t="s">
        <v>65</v>
      </c>
      <c r="L1318" t="s">
        <v>123</v>
      </c>
      <c r="M1318" s="24">
        <v>5</v>
      </c>
      <c r="N1318" s="25">
        <v>43557.03</v>
      </c>
      <c r="O1318" s="25">
        <f t="shared" si="164"/>
        <v>217785.15</v>
      </c>
      <c r="P1318" s="25">
        <v>25775.24</v>
      </c>
      <c r="Q1318" s="25">
        <f t="shared" si="165"/>
        <v>128876.20000000001</v>
      </c>
      <c r="R1318" s="25">
        <f t="shared" si="166"/>
        <v>88908.949999999983</v>
      </c>
      <c r="S1318" s="26">
        <f t="shared" si="167"/>
        <v>0.40824156284301288</v>
      </c>
    </row>
    <row r="1319" spans="1:19" ht="15" x14ac:dyDescent="0.2">
      <c r="A1319" s="23">
        <v>46001</v>
      </c>
      <c r="B1319">
        <f t="shared" si="160"/>
        <v>2025</v>
      </c>
      <c r="C1319">
        <f t="shared" si="161"/>
        <v>12</v>
      </c>
      <c r="D1319" t="str">
        <f t="shared" si="162"/>
        <v>Diciembre</v>
      </c>
      <c r="E1319" t="str">
        <f t="shared" si="163"/>
        <v>T4</v>
      </c>
      <c r="F1319" t="s">
        <v>1446</v>
      </c>
      <c r="G1319" t="s">
        <v>92</v>
      </c>
      <c r="H1319" t="s">
        <v>93</v>
      </c>
      <c r="I1319" t="s">
        <v>94</v>
      </c>
      <c r="J1319" t="s">
        <v>70</v>
      </c>
      <c r="K1319" t="s">
        <v>71</v>
      </c>
      <c r="L1319" t="s">
        <v>72</v>
      </c>
      <c r="M1319" s="24">
        <v>1</v>
      </c>
      <c r="N1319" s="25">
        <v>25420.7</v>
      </c>
      <c r="O1319" s="25">
        <f t="shared" si="164"/>
        <v>25420.7</v>
      </c>
      <c r="P1319" s="25">
        <v>16176.31</v>
      </c>
      <c r="Q1319" s="25">
        <f t="shared" si="165"/>
        <v>16176.31</v>
      </c>
      <c r="R1319" s="25">
        <f t="shared" si="166"/>
        <v>9244.3900000000012</v>
      </c>
      <c r="S1319" s="26">
        <f t="shared" si="167"/>
        <v>0.36365599688442884</v>
      </c>
    </row>
    <row r="1320" spans="1:19" ht="15" x14ac:dyDescent="0.2">
      <c r="A1320" s="23">
        <v>46002</v>
      </c>
      <c r="B1320">
        <f t="shared" si="160"/>
        <v>2025</v>
      </c>
      <c r="C1320">
        <f t="shared" si="161"/>
        <v>12</v>
      </c>
      <c r="D1320" t="str">
        <f t="shared" si="162"/>
        <v>Diciembre</v>
      </c>
      <c r="E1320" t="str">
        <f t="shared" si="163"/>
        <v>T4</v>
      </c>
      <c r="F1320" t="s">
        <v>1447</v>
      </c>
      <c r="G1320" t="s">
        <v>54</v>
      </c>
      <c r="H1320" t="s">
        <v>55</v>
      </c>
      <c r="I1320" t="s">
        <v>56</v>
      </c>
      <c r="J1320" t="s">
        <v>70</v>
      </c>
      <c r="K1320" t="s">
        <v>71</v>
      </c>
      <c r="L1320" t="s">
        <v>72</v>
      </c>
      <c r="M1320" s="24">
        <v>8</v>
      </c>
      <c r="N1320" s="25">
        <v>49876.45</v>
      </c>
      <c r="O1320" s="25">
        <f t="shared" si="164"/>
        <v>399011.6</v>
      </c>
      <c r="P1320" s="25">
        <v>40081.57</v>
      </c>
      <c r="Q1320" s="25">
        <f t="shared" si="165"/>
        <v>320652.56</v>
      </c>
      <c r="R1320" s="25">
        <f t="shared" si="166"/>
        <v>78359.039999999979</v>
      </c>
      <c r="S1320" s="26">
        <f t="shared" si="167"/>
        <v>0.19638286205213076</v>
      </c>
    </row>
    <row r="1321" spans="1:19" ht="15" x14ac:dyDescent="0.2">
      <c r="A1321" s="23">
        <v>46002</v>
      </c>
      <c r="B1321">
        <f t="shared" si="160"/>
        <v>2025</v>
      </c>
      <c r="C1321">
        <f t="shared" si="161"/>
        <v>12</v>
      </c>
      <c r="D1321" t="str">
        <f t="shared" si="162"/>
        <v>Diciembre</v>
      </c>
      <c r="E1321" t="str">
        <f t="shared" si="163"/>
        <v>T4</v>
      </c>
      <c r="F1321" t="s">
        <v>1448</v>
      </c>
      <c r="G1321" t="s">
        <v>105</v>
      </c>
      <c r="H1321" t="s">
        <v>62</v>
      </c>
      <c r="I1321" t="s">
        <v>106</v>
      </c>
      <c r="J1321" t="s">
        <v>64</v>
      </c>
      <c r="K1321" t="s">
        <v>96</v>
      </c>
      <c r="L1321" t="s">
        <v>97</v>
      </c>
      <c r="M1321" s="24">
        <v>938</v>
      </c>
      <c r="N1321" s="25">
        <v>1789.82</v>
      </c>
      <c r="O1321" s="25">
        <f t="shared" si="164"/>
        <v>1678851.16</v>
      </c>
      <c r="P1321" s="25">
        <v>1500.48</v>
      </c>
      <c r="Q1321" s="25">
        <f t="shared" si="165"/>
        <v>1407450.24</v>
      </c>
      <c r="R1321" s="25">
        <f t="shared" si="166"/>
        <v>271400.91999999993</v>
      </c>
      <c r="S1321" s="26">
        <f t="shared" si="167"/>
        <v>0.16165871428411793</v>
      </c>
    </row>
    <row r="1322" spans="1:19" ht="15" x14ac:dyDescent="0.2">
      <c r="A1322" s="23">
        <v>46002</v>
      </c>
      <c r="B1322">
        <f t="shared" si="160"/>
        <v>2025</v>
      </c>
      <c r="C1322">
        <f t="shared" si="161"/>
        <v>12</v>
      </c>
      <c r="D1322" t="str">
        <f t="shared" si="162"/>
        <v>Diciembre</v>
      </c>
      <c r="E1322" t="str">
        <f t="shared" si="163"/>
        <v>T4</v>
      </c>
      <c r="F1322" t="s">
        <v>1449</v>
      </c>
      <c r="G1322" t="s">
        <v>206</v>
      </c>
      <c r="H1322" t="s">
        <v>93</v>
      </c>
      <c r="I1322" t="s">
        <v>207</v>
      </c>
      <c r="J1322" t="s">
        <v>77</v>
      </c>
      <c r="K1322" t="s">
        <v>107</v>
      </c>
      <c r="L1322" t="s">
        <v>108</v>
      </c>
      <c r="M1322" s="24">
        <v>3</v>
      </c>
      <c r="N1322" s="25">
        <v>124114.9</v>
      </c>
      <c r="O1322" s="25">
        <f t="shared" si="164"/>
        <v>372344.69999999995</v>
      </c>
      <c r="P1322" s="25">
        <v>67356.09</v>
      </c>
      <c r="Q1322" s="25">
        <f t="shared" si="165"/>
        <v>202068.27</v>
      </c>
      <c r="R1322" s="25">
        <f t="shared" si="166"/>
        <v>170276.42999999996</v>
      </c>
      <c r="S1322" s="26">
        <f t="shared" si="167"/>
        <v>0.45730859066880764</v>
      </c>
    </row>
    <row r="1323" spans="1:19" ht="15" x14ac:dyDescent="0.2">
      <c r="A1323" s="23">
        <v>46002</v>
      </c>
      <c r="B1323">
        <f t="shared" si="160"/>
        <v>2025</v>
      </c>
      <c r="C1323">
        <f t="shared" si="161"/>
        <v>12</v>
      </c>
      <c r="D1323" t="str">
        <f t="shared" si="162"/>
        <v>Diciembre</v>
      </c>
      <c r="E1323" t="str">
        <f t="shared" si="163"/>
        <v>T4</v>
      </c>
      <c r="F1323" t="s">
        <v>1450</v>
      </c>
      <c r="G1323" t="s">
        <v>149</v>
      </c>
      <c r="H1323" t="s">
        <v>93</v>
      </c>
      <c r="I1323" t="s">
        <v>150</v>
      </c>
      <c r="J1323" t="s">
        <v>77</v>
      </c>
      <c r="K1323" t="s">
        <v>78</v>
      </c>
      <c r="L1323" t="s">
        <v>79</v>
      </c>
      <c r="M1323" s="24">
        <v>6</v>
      </c>
      <c r="N1323" s="25">
        <v>44089.46</v>
      </c>
      <c r="O1323" s="25">
        <f t="shared" si="164"/>
        <v>264536.76</v>
      </c>
      <c r="P1323" s="25">
        <v>24353.42</v>
      </c>
      <c r="Q1323" s="25">
        <f t="shared" si="165"/>
        <v>146120.51999999999</v>
      </c>
      <c r="R1323" s="25">
        <f t="shared" si="166"/>
        <v>118416.24000000002</v>
      </c>
      <c r="S1323" s="26">
        <f t="shared" si="167"/>
        <v>0.44763623777655709</v>
      </c>
    </row>
    <row r="1324" spans="1:19" ht="15" x14ac:dyDescent="0.2">
      <c r="A1324" s="23">
        <v>46003</v>
      </c>
      <c r="B1324">
        <f t="shared" si="160"/>
        <v>2025</v>
      </c>
      <c r="C1324">
        <f t="shared" si="161"/>
        <v>12</v>
      </c>
      <c r="D1324" t="str">
        <f t="shared" si="162"/>
        <v>Diciembre</v>
      </c>
      <c r="E1324" t="str">
        <f t="shared" si="163"/>
        <v>T4</v>
      </c>
      <c r="F1324" t="s">
        <v>1451</v>
      </c>
      <c r="G1324" t="s">
        <v>1035</v>
      </c>
      <c r="H1324" t="s">
        <v>55</v>
      </c>
      <c r="I1324" t="s">
        <v>1036</v>
      </c>
      <c r="J1324" t="s">
        <v>64</v>
      </c>
      <c r="K1324" t="s">
        <v>65</v>
      </c>
      <c r="L1324" t="s">
        <v>123</v>
      </c>
      <c r="M1324" s="24">
        <v>5</v>
      </c>
      <c r="N1324" s="25">
        <v>738677.59</v>
      </c>
      <c r="O1324" s="25">
        <f t="shared" si="164"/>
        <v>3693387.9499999997</v>
      </c>
      <c r="P1324" s="25">
        <v>568608.23</v>
      </c>
      <c r="Q1324" s="25">
        <f t="shared" si="165"/>
        <v>2843041.15</v>
      </c>
      <c r="R1324" s="25">
        <f t="shared" si="166"/>
        <v>850346.79999999981</v>
      </c>
      <c r="S1324" s="26">
        <f t="shared" si="167"/>
        <v>0.23023489855702808</v>
      </c>
    </row>
    <row r="1325" spans="1:19" ht="15" x14ac:dyDescent="0.2">
      <c r="A1325" s="23">
        <v>46003</v>
      </c>
      <c r="B1325">
        <f t="shared" si="160"/>
        <v>2025</v>
      </c>
      <c r="C1325">
        <f t="shared" si="161"/>
        <v>12</v>
      </c>
      <c r="D1325" t="str">
        <f t="shared" si="162"/>
        <v>Diciembre</v>
      </c>
      <c r="E1325" t="str">
        <f t="shared" si="163"/>
        <v>T4</v>
      </c>
      <c r="F1325" t="s">
        <v>1452</v>
      </c>
      <c r="G1325" t="s">
        <v>61</v>
      </c>
      <c r="H1325" t="s">
        <v>62</v>
      </c>
      <c r="I1325" t="s">
        <v>63</v>
      </c>
      <c r="J1325" t="s">
        <v>125</v>
      </c>
      <c r="K1325" t="s">
        <v>138</v>
      </c>
      <c r="L1325" t="s">
        <v>142</v>
      </c>
      <c r="M1325" s="24">
        <v>4</v>
      </c>
      <c r="N1325" s="25">
        <v>6397.54</v>
      </c>
      <c r="O1325" s="25">
        <f t="shared" si="164"/>
        <v>25590.16</v>
      </c>
      <c r="P1325" s="25">
        <v>5178.83</v>
      </c>
      <c r="Q1325" s="25">
        <f t="shared" si="165"/>
        <v>20715.32</v>
      </c>
      <c r="R1325" s="25">
        <f t="shared" si="166"/>
        <v>4874.84</v>
      </c>
      <c r="S1325" s="26">
        <f t="shared" si="167"/>
        <v>0.19049665965355433</v>
      </c>
    </row>
    <row r="1326" spans="1:19" ht="15" x14ac:dyDescent="0.2">
      <c r="A1326" s="23">
        <v>46003</v>
      </c>
      <c r="B1326">
        <f t="shared" si="160"/>
        <v>2025</v>
      </c>
      <c r="C1326">
        <f t="shared" si="161"/>
        <v>12</v>
      </c>
      <c r="D1326" t="str">
        <f t="shared" si="162"/>
        <v>Diciembre</v>
      </c>
      <c r="E1326" t="str">
        <f t="shared" si="163"/>
        <v>T4</v>
      </c>
      <c r="F1326" t="s">
        <v>1453</v>
      </c>
      <c r="G1326" t="s">
        <v>74</v>
      </c>
      <c r="H1326" t="s">
        <v>75</v>
      </c>
      <c r="I1326" t="s">
        <v>76</v>
      </c>
      <c r="J1326" t="s">
        <v>57</v>
      </c>
      <c r="K1326" t="s">
        <v>58</v>
      </c>
      <c r="L1326" t="s">
        <v>59</v>
      </c>
      <c r="M1326" s="24">
        <v>17</v>
      </c>
      <c r="N1326" s="25">
        <v>41007.870000000003</v>
      </c>
      <c r="O1326" s="25">
        <f t="shared" si="164"/>
        <v>697133.79</v>
      </c>
      <c r="P1326" s="25">
        <v>28444.63</v>
      </c>
      <c r="Q1326" s="25">
        <f t="shared" si="165"/>
        <v>483558.71</v>
      </c>
      <c r="R1326" s="25">
        <f t="shared" si="166"/>
        <v>213575.08000000002</v>
      </c>
      <c r="S1326" s="26">
        <f t="shared" si="167"/>
        <v>0.30636168130653946</v>
      </c>
    </row>
    <row r="1327" spans="1:19" ht="15" x14ac:dyDescent="0.2">
      <c r="A1327" s="23">
        <v>46004</v>
      </c>
      <c r="B1327">
        <f t="shared" si="160"/>
        <v>2025</v>
      </c>
      <c r="C1327">
        <f t="shared" si="161"/>
        <v>12</v>
      </c>
      <c r="D1327" t="str">
        <f t="shared" si="162"/>
        <v>Diciembre</v>
      </c>
      <c r="E1327" t="str">
        <f t="shared" si="163"/>
        <v>T4</v>
      </c>
      <c r="F1327" t="s">
        <v>1454</v>
      </c>
      <c r="G1327" t="s">
        <v>74</v>
      </c>
      <c r="H1327" t="s">
        <v>75</v>
      </c>
      <c r="I1327" t="s">
        <v>76</v>
      </c>
      <c r="J1327" t="s">
        <v>70</v>
      </c>
      <c r="K1327" t="s">
        <v>84</v>
      </c>
      <c r="L1327" t="s">
        <v>85</v>
      </c>
      <c r="M1327" s="24">
        <v>11</v>
      </c>
      <c r="N1327" s="25">
        <v>40709.97</v>
      </c>
      <c r="O1327" s="25">
        <f t="shared" si="164"/>
        <v>447809.67000000004</v>
      </c>
      <c r="P1327" s="25">
        <v>29039.119999999999</v>
      </c>
      <c r="Q1327" s="25">
        <f t="shared" si="165"/>
        <v>319430.32</v>
      </c>
      <c r="R1327" s="25">
        <f t="shared" si="166"/>
        <v>128379.35000000003</v>
      </c>
      <c r="S1327" s="26">
        <f t="shared" si="167"/>
        <v>0.28668284452187026</v>
      </c>
    </row>
    <row r="1328" spans="1:19" ht="15" x14ac:dyDescent="0.2">
      <c r="A1328" s="23">
        <v>46005</v>
      </c>
      <c r="B1328">
        <f t="shared" si="160"/>
        <v>2025</v>
      </c>
      <c r="C1328">
        <f t="shared" si="161"/>
        <v>12</v>
      </c>
      <c r="D1328" t="str">
        <f t="shared" si="162"/>
        <v>Diciembre</v>
      </c>
      <c r="E1328" t="str">
        <f t="shared" si="163"/>
        <v>T4</v>
      </c>
      <c r="F1328" t="s">
        <v>1455</v>
      </c>
      <c r="G1328" t="s">
        <v>114</v>
      </c>
      <c r="H1328" t="s">
        <v>75</v>
      </c>
      <c r="I1328" t="s">
        <v>115</v>
      </c>
      <c r="J1328" t="s">
        <v>125</v>
      </c>
      <c r="K1328" t="s">
        <v>138</v>
      </c>
      <c r="L1328" t="s">
        <v>139</v>
      </c>
      <c r="M1328" s="24">
        <v>8</v>
      </c>
      <c r="N1328" s="25">
        <v>95231.62</v>
      </c>
      <c r="O1328" s="25">
        <f t="shared" si="164"/>
        <v>761852.96</v>
      </c>
      <c r="P1328" s="25">
        <v>63401.34</v>
      </c>
      <c r="Q1328" s="25">
        <f t="shared" si="165"/>
        <v>507210.72</v>
      </c>
      <c r="R1328" s="25">
        <f t="shared" si="166"/>
        <v>254642.24</v>
      </c>
      <c r="S1328" s="26">
        <f t="shared" si="167"/>
        <v>0.33424066502281491</v>
      </c>
    </row>
    <row r="1329" spans="1:19" ht="15" x14ac:dyDescent="0.2">
      <c r="A1329" s="23">
        <v>46005</v>
      </c>
      <c r="B1329">
        <f t="shared" si="160"/>
        <v>2025</v>
      </c>
      <c r="C1329">
        <f t="shared" si="161"/>
        <v>12</v>
      </c>
      <c r="D1329" t="str">
        <f t="shared" si="162"/>
        <v>Diciembre</v>
      </c>
      <c r="E1329" t="str">
        <f t="shared" si="163"/>
        <v>T4</v>
      </c>
      <c r="F1329" t="s">
        <v>1456</v>
      </c>
      <c r="G1329" t="s">
        <v>87</v>
      </c>
      <c r="H1329" t="s">
        <v>88</v>
      </c>
      <c r="I1329" t="s">
        <v>89</v>
      </c>
      <c r="J1329" t="s">
        <v>64</v>
      </c>
      <c r="K1329" t="s">
        <v>96</v>
      </c>
      <c r="L1329" t="s">
        <v>103</v>
      </c>
      <c r="M1329" s="24">
        <v>23</v>
      </c>
      <c r="N1329" s="25">
        <v>58176.13</v>
      </c>
      <c r="O1329" s="25">
        <f t="shared" si="164"/>
        <v>1338050.99</v>
      </c>
      <c r="P1329" s="25">
        <v>33002.29</v>
      </c>
      <c r="Q1329" s="25">
        <f t="shared" si="165"/>
        <v>759052.67</v>
      </c>
      <c r="R1329" s="25">
        <f t="shared" si="166"/>
        <v>578998.31999999995</v>
      </c>
      <c r="S1329" s="26">
        <f t="shared" si="167"/>
        <v>0.43271767991442533</v>
      </c>
    </row>
    <row r="1330" spans="1:19" ht="15" x14ac:dyDescent="0.2">
      <c r="A1330" s="23">
        <v>46005</v>
      </c>
      <c r="B1330">
        <f t="shared" si="160"/>
        <v>2025</v>
      </c>
      <c r="C1330">
        <f t="shared" si="161"/>
        <v>12</v>
      </c>
      <c r="D1330" t="str">
        <f t="shared" si="162"/>
        <v>Diciembre</v>
      </c>
      <c r="E1330" t="str">
        <f t="shared" si="163"/>
        <v>T4</v>
      </c>
      <c r="F1330" t="s">
        <v>1457</v>
      </c>
      <c r="G1330" t="s">
        <v>144</v>
      </c>
      <c r="H1330" t="s">
        <v>88</v>
      </c>
      <c r="I1330" t="s">
        <v>145</v>
      </c>
      <c r="J1330" t="s">
        <v>70</v>
      </c>
      <c r="K1330" t="s">
        <v>84</v>
      </c>
      <c r="L1330" t="s">
        <v>147</v>
      </c>
      <c r="M1330" s="24">
        <v>31</v>
      </c>
      <c r="N1330" s="25">
        <v>11883.76</v>
      </c>
      <c r="O1330" s="25">
        <f t="shared" si="164"/>
        <v>368396.56</v>
      </c>
      <c r="P1330" s="25">
        <v>6906</v>
      </c>
      <c r="Q1330" s="25">
        <f t="shared" si="165"/>
        <v>214086</v>
      </c>
      <c r="R1330" s="25">
        <f t="shared" si="166"/>
        <v>154310.56</v>
      </c>
      <c r="S1330" s="26">
        <f t="shared" si="167"/>
        <v>0.41887079510188696</v>
      </c>
    </row>
    <row r="1331" spans="1:19" ht="15" x14ac:dyDescent="0.2">
      <c r="A1331" s="23">
        <v>46005</v>
      </c>
      <c r="B1331">
        <f t="shared" si="160"/>
        <v>2025</v>
      </c>
      <c r="C1331">
        <f t="shared" si="161"/>
        <v>12</v>
      </c>
      <c r="D1331" t="str">
        <f t="shared" si="162"/>
        <v>Diciembre</v>
      </c>
      <c r="E1331" t="str">
        <f t="shared" si="163"/>
        <v>T4</v>
      </c>
      <c r="F1331" t="s">
        <v>1458</v>
      </c>
      <c r="G1331" t="s">
        <v>149</v>
      </c>
      <c r="H1331" t="s">
        <v>93</v>
      </c>
      <c r="I1331" t="s">
        <v>150</v>
      </c>
      <c r="J1331" t="s">
        <v>57</v>
      </c>
      <c r="K1331" t="s">
        <v>81</v>
      </c>
      <c r="L1331" t="s">
        <v>82</v>
      </c>
      <c r="M1331" s="24">
        <v>7</v>
      </c>
      <c r="N1331" s="25">
        <v>45048.52</v>
      </c>
      <c r="O1331" s="25">
        <f t="shared" si="164"/>
        <v>315339.63999999996</v>
      </c>
      <c r="P1331" s="25">
        <v>25855.02</v>
      </c>
      <c r="Q1331" s="25">
        <f t="shared" si="165"/>
        <v>180985.14</v>
      </c>
      <c r="R1331" s="25">
        <f t="shared" si="166"/>
        <v>134354.49999999994</v>
      </c>
      <c r="S1331" s="26">
        <f t="shared" si="167"/>
        <v>0.42606283180890281</v>
      </c>
    </row>
    <row r="1332" spans="1:19" ht="15" x14ac:dyDescent="0.2">
      <c r="A1332" s="23">
        <v>46005</v>
      </c>
      <c r="B1332">
        <f t="shared" si="160"/>
        <v>2025</v>
      </c>
      <c r="C1332">
        <f t="shared" si="161"/>
        <v>12</v>
      </c>
      <c r="D1332" t="str">
        <f t="shared" si="162"/>
        <v>Diciembre</v>
      </c>
      <c r="E1332" t="str">
        <f t="shared" si="163"/>
        <v>T4</v>
      </c>
      <c r="F1332" t="s">
        <v>1459</v>
      </c>
      <c r="G1332" t="s">
        <v>92</v>
      </c>
      <c r="H1332" t="s">
        <v>93</v>
      </c>
      <c r="I1332" t="s">
        <v>94</v>
      </c>
      <c r="J1332" t="s">
        <v>70</v>
      </c>
      <c r="K1332" t="s">
        <v>84</v>
      </c>
      <c r="L1332" t="s">
        <v>147</v>
      </c>
      <c r="M1332" s="24">
        <v>10</v>
      </c>
      <c r="N1332" s="25">
        <v>20505.490000000002</v>
      </c>
      <c r="O1332" s="25">
        <f t="shared" si="164"/>
        <v>205054.90000000002</v>
      </c>
      <c r="P1332" s="25">
        <v>12584.94</v>
      </c>
      <c r="Q1332" s="25">
        <f t="shared" si="165"/>
        <v>125849.40000000001</v>
      </c>
      <c r="R1332" s="25">
        <f t="shared" si="166"/>
        <v>79205.500000000015</v>
      </c>
      <c r="S1332" s="26">
        <f t="shared" si="167"/>
        <v>0.38626484907212655</v>
      </c>
    </row>
    <row r="1333" spans="1:19" ht="15" x14ac:dyDescent="0.2">
      <c r="A1333" s="23">
        <v>46006</v>
      </c>
      <c r="B1333">
        <f t="shared" si="160"/>
        <v>2025</v>
      </c>
      <c r="C1333">
        <f t="shared" si="161"/>
        <v>12</v>
      </c>
      <c r="D1333" t="str">
        <f t="shared" si="162"/>
        <v>Diciembre</v>
      </c>
      <c r="E1333" t="str">
        <f t="shared" si="163"/>
        <v>T4</v>
      </c>
      <c r="F1333" t="s">
        <v>1460</v>
      </c>
      <c r="G1333" t="s">
        <v>1035</v>
      </c>
      <c r="H1333" t="s">
        <v>55</v>
      </c>
      <c r="I1333" t="s">
        <v>1036</v>
      </c>
      <c r="J1333" t="s">
        <v>77</v>
      </c>
      <c r="K1333" t="s">
        <v>107</v>
      </c>
      <c r="L1333" t="s">
        <v>108</v>
      </c>
      <c r="M1333" s="24">
        <v>3</v>
      </c>
      <c r="N1333" s="25">
        <v>726152.29</v>
      </c>
      <c r="O1333" s="25">
        <f t="shared" si="164"/>
        <v>2178456.87</v>
      </c>
      <c r="P1333" s="25">
        <v>526584.30000000005</v>
      </c>
      <c r="Q1333" s="25">
        <f t="shared" si="165"/>
        <v>1579752.9000000001</v>
      </c>
      <c r="R1333" s="25">
        <f t="shared" si="166"/>
        <v>598703.97</v>
      </c>
      <c r="S1333" s="26">
        <f t="shared" si="167"/>
        <v>0.27482938874984469</v>
      </c>
    </row>
    <row r="1334" spans="1:19" ht="15" x14ac:dyDescent="0.2">
      <c r="A1334" s="23">
        <v>46006</v>
      </c>
      <c r="B1334">
        <f t="shared" si="160"/>
        <v>2025</v>
      </c>
      <c r="C1334">
        <f t="shared" si="161"/>
        <v>12</v>
      </c>
      <c r="D1334" t="str">
        <f t="shared" si="162"/>
        <v>Diciembre</v>
      </c>
      <c r="E1334" t="str">
        <f t="shared" si="163"/>
        <v>T4</v>
      </c>
      <c r="F1334" t="s">
        <v>1461</v>
      </c>
      <c r="G1334" t="s">
        <v>54</v>
      </c>
      <c r="H1334" t="s">
        <v>55</v>
      </c>
      <c r="I1334" t="s">
        <v>56</v>
      </c>
      <c r="J1334" t="s">
        <v>70</v>
      </c>
      <c r="K1334" t="s">
        <v>71</v>
      </c>
      <c r="L1334" t="s">
        <v>72</v>
      </c>
      <c r="M1334" s="24">
        <v>8</v>
      </c>
      <c r="N1334" s="25">
        <v>50087.11</v>
      </c>
      <c r="O1334" s="25">
        <f t="shared" si="164"/>
        <v>400696.88</v>
      </c>
      <c r="P1334" s="25">
        <v>40026.78</v>
      </c>
      <c r="Q1334" s="25">
        <f t="shared" si="165"/>
        <v>320214.24</v>
      </c>
      <c r="R1334" s="25">
        <f t="shared" si="166"/>
        <v>80482.640000000014</v>
      </c>
      <c r="S1334" s="26">
        <f t="shared" si="167"/>
        <v>0.20085666751385739</v>
      </c>
    </row>
    <row r="1335" spans="1:19" ht="15" x14ac:dyDescent="0.2">
      <c r="A1335" s="23">
        <v>46006</v>
      </c>
      <c r="B1335">
        <f t="shared" si="160"/>
        <v>2025</v>
      </c>
      <c r="C1335">
        <f t="shared" si="161"/>
        <v>12</v>
      </c>
      <c r="D1335" t="str">
        <f t="shared" si="162"/>
        <v>Diciembre</v>
      </c>
      <c r="E1335" t="str">
        <f t="shared" si="163"/>
        <v>T4</v>
      </c>
      <c r="F1335" t="s">
        <v>1462</v>
      </c>
      <c r="G1335" t="s">
        <v>114</v>
      </c>
      <c r="H1335" t="s">
        <v>75</v>
      </c>
      <c r="I1335" t="s">
        <v>115</v>
      </c>
      <c r="J1335" t="s">
        <v>125</v>
      </c>
      <c r="K1335" t="s">
        <v>126</v>
      </c>
      <c r="L1335" t="s">
        <v>127</v>
      </c>
      <c r="M1335" s="24">
        <v>2</v>
      </c>
      <c r="N1335" s="25">
        <v>100289.57</v>
      </c>
      <c r="O1335" s="25">
        <f t="shared" si="164"/>
        <v>200579.14</v>
      </c>
      <c r="P1335" s="25">
        <v>68997.100000000006</v>
      </c>
      <c r="Q1335" s="25">
        <f t="shared" si="165"/>
        <v>137994.20000000001</v>
      </c>
      <c r="R1335" s="25">
        <f t="shared" si="166"/>
        <v>62584.94</v>
      </c>
      <c r="S1335" s="26">
        <f t="shared" si="167"/>
        <v>0.31202118026829706</v>
      </c>
    </row>
    <row r="1336" spans="1:19" ht="15" x14ac:dyDescent="0.2">
      <c r="A1336" s="23">
        <v>46006</v>
      </c>
      <c r="B1336">
        <f t="shared" si="160"/>
        <v>2025</v>
      </c>
      <c r="C1336">
        <f t="shared" si="161"/>
        <v>12</v>
      </c>
      <c r="D1336" t="str">
        <f t="shared" si="162"/>
        <v>Diciembre</v>
      </c>
      <c r="E1336" t="str">
        <f t="shared" si="163"/>
        <v>T4</v>
      </c>
      <c r="F1336" t="s">
        <v>1463</v>
      </c>
      <c r="G1336" t="s">
        <v>144</v>
      </c>
      <c r="H1336" t="s">
        <v>88</v>
      </c>
      <c r="I1336" t="s">
        <v>145</v>
      </c>
      <c r="J1336" t="s">
        <v>64</v>
      </c>
      <c r="K1336" t="s">
        <v>96</v>
      </c>
      <c r="L1336" t="s">
        <v>103</v>
      </c>
      <c r="M1336" s="24">
        <v>42</v>
      </c>
      <c r="N1336" s="25">
        <v>11975.02</v>
      </c>
      <c r="O1336" s="25">
        <f t="shared" si="164"/>
        <v>502950.84</v>
      </c>
      <c r="P1336" s="25">
        <v>6929.57</v>
      </c>
      <c r="Q1336" s="25">
        <f t="shared" si="165"/>
        <v>291041.94</v>
      </c>
      <c r="R1336" s="25">
        <f t="shared" si="166"/>
        <v>211908.90000000002</v>
      </c>
      <c r="S1336" s="26">
        <f t="shared" si="167"/>
        <v>0.42133123786014554</v>
      </c>
    </row>
    <row r="1337" spans="1:19" ht="15" x14ac:dyDescent="0.2">
      <c r="A1337" s="23">
        <v>46006</v>
      </c>
      <c r="B1337">
        <f t="shared" si="160"/>
        <v>2025</v>
      </c>
      <c r="C1337">
        <f t="shared" si="161"/>
        <v>12</v>
      </c>
      <c r="D1337" t="str">
        <f t="shared" si="162"/>
        <v>Diciembre</v>
      </c>
      <c r="E1337" t="str">
        <f t="shared" si="163"/>
        <v>T4</v>
      </c>
      <c r="F1337" t="s">
        <v>1464</v>
      </c>
      <c r="G1337" t="s">
        <v>144</v>
      </c>
      <c r="H1337" t="s">
        <v>88</v>
      </c>
      <c r="I1337" t="s">
        <v>145</v>
      </c>
      <c r="J1337" t="s">
        <v>77</v>
      </c>
      <c r="K1337" t="s">
        <v>107</v>
      </c>
      <c r="L1337" t="s">
        <v>112</v>
      </c>
      <c r="M1337" s="24">
        <v>73</v>
      </c>
      <c r="N1337" s="25">
        <v>14199.1</v>
      </c>
      <c r="O1337" s="25">
        <f t="shared" si="164"/>
        <v>1036534.3</v>
      </c>
      <c r="P1337" s="25">
        <v>7047.25</v>
      </c>
      <c r="Q1337" s="25">
        <f t="shared" si="165"/>
        <v>514449.25</v>
      </c>
      <c r="R1337" s="25">
        <f t="shared" si="166"/>
        <v>522085.05000000005</v>
      </c>
      <c r="S1337" s="26">
        <f t="shared" si="167"/>
        <v>0.50368333204217175</v>
      </c>
    </row>
    <row r="1338" spans="1:19" ht="15" x14ac:dyDescent="0.2">
      <c r="A1338" s="23">
        <v>46006</v>
      </c>
      <c r="B1338">
        <f t="shared" si="160"/>
        <v>2025</v>
      </c>
      <c r="C1338">
        <f t="shared" si="161"/>
        <v>12</v>
      </c>
      <c r="D1338" t="str">
        <f t="shared" si="162"/>
        <v>Diciembre</v>
      </c>
      <c r="E1338" t="str">
        <f t="shared" si="163"/>
        <v>T4</v>
      </c>
      <c r="F1338" t="s">
        <v>1465</v>
      </c>
      <c r="G1338" t="s">
        <v>87</v>
      </c>
      <c r="H1338" t="s">
        <v>88</v>
      </c>
      <c r="I1338" t="s">
        <v>89</v>
      </c>
      <c r="J1338" t="s">
        <v>125</v>
      </c>
      <c r="K1338" t="s">
        <v>138</v>
      </c>
      <c r="L1338" t="s">
        <v>139</v>
      </c>
      <c r="M1338" s="24">
        <v>13</v>
      </c>
      <c r="N1338" s="25">
        <v>61144.08</v>
      </c>
      <c r="O1338" s="25">
        <f t="shared" si="164"/>
        <v>794873.04</v>
      </c>
      <c r="P1338" s="25">
        <v>34160.5</v>
      </c>
      <c r="Q1338" s="25">
        <f t="shared" si="165"/>
        <v>444086.5</v>
      </c>
      <c r="R1338" s="25">
        <f t="shared" si="166"/>
        <v>350786.54000000004</v>
      </c>
      <c r="S1338" s="26">
        <f t="shared" si="167"/>
        <v>0.44131140741671149</v>
      </c>
    </row>
    <row r="1339" spans="1:19" ht="15" x14ac:dyDescent="0.2">
      <c r="A1339" s="23">
        <v>46006</v>
      </c>
      <c r="B1339">
        <f t="shared" si="160"/>
        <v>2025</v>
      </c>
      <c r="C1339">
        <f t="shared" si="161"/>
        <v>12</v>
      </c>
      <c r="D1339" t="str">
        <f t="shared" si="162"/>
        <v>Diciembre</v>
      </c>
      <c r="E1339" t="str">
        <f t="shared" si="163"/>
        <v>T4</v>
      </c>
      <c r="F1339" t="s">
        <v>1466</v>
      </c>
      <c r="G1339" t="s">
        <v>100</v>
      </c>
      <c r="H1339" t="s">
        <v>88</v>
      </c>
      <c r="I1339" t="s">
        <v>101</v>
      </c>
      <c r="J1339" t="s">
        <v>125</v>
      </c>
      <c r="K1339" t="s">
        <v>126</v>
      </c>
      <c r="L1339" t="s">
        <v>127</v>
      </c>
      <c r="M1339" s="24">
        <v>11</v>
      </c>
      <c r="N1339" s="25">
        <v>38690.31</v>
      </c>
      <c r="O1339" s="25">
        <f t="shared" si="164"/>
        <v>425593.41</v>
      </c>
      <c r="P1339" s="25">
        <v>21011.63</v>
      </c>
      <c r="Q1339" s="25">
        <f t="shared" si="165"/>
        <v>231127.93000000002</v>
      </c>
      <c r="R1339" s="25">
        <f t="shared" si="166"/>
        <v>194465.47999999995</v>
      </c>
      <c r="S1339" s="26">
        <f t="shared" si="167"/>
        <v>0.45692784575776202</v>
      </c>
    </row>
    <row r="1340" spans="1:19" ht="15" x14ac:dyDescent="0.2">
      <c r="A1340" s="23">
        <v>46006</v>
      </c>
      <c r="B1340">
        <f t="shared" si="160"/>
        <v>2025</v>
      </c>
      <c r="C1340">
        <f t="shared" si="161"/>
        <v>12</v>
      </c>
      <c r="D1340" t="str">
        <f t="shared" si="162"/>
        <v>Diciembre</v>
      </c>
      <c r="E1340" t="str">
        <f t="shared" si="163"/>
        <v>T4</v>
      </c>
      <c r="F1340" t="s">
        <v>1467</v>
      </c>
      <c r="G1340" t="s">
        <v>188</v>
      </c>
      <c r="H1340" t="s">
        <v>88</v>
      </c>
      <c r="I1340" t="s">
        <v>189</v>
      </c>
      <c r="J1340" t="s">
        <v>70</v>
      </c>
      <c r="K1340" t="s">
        <v>71</v>
      </c>
      <c r="L1340" t="s">
        <v>90</v>
      </c>
      <c r="M1340" s="24">
        <v>4</v>
      </c>
      <c r="N1340" s="25">
        <v>63181.91</v>
      </c>
      <c r="O1340" s="25">
        <f t="shared" si="164"/>
        <v>252727.64</v>
      </c>
      <c r="P1340" s="25">
        <v>37806.31</v>
      </c>
      <c r="Q1340" s="25">
        <f t="shared" si="165"/>
        <v>151225.24</v>
      </c>
      <c r="R1340" s="25">
        <f t="shared" si="166"/>
        <v>101502.40000000002</v>
      </c>
      <c r="S1340" s="26">
        <f t="shared" si="167"/>
        <v>0.40162761777856992</v>
      </c>
    </row>
    <row r="1341" spans="1:19" ht="15" x14ac:dyDescent="0.2">
      <c r="A1341" s="23">
        <v>46007</v>
      </c>
      <c r="B1341">
        <f t="shared" si="160"/>
        <v>2025</v>
      </c>
      <c r="C1341">
        <f t="shared" si="161"/>
        <v>12</v>
      </c>
      <c r="D1341" t="str">
        <f t="shared" si="162"/>
        <v>Diciembre</v>
      </c>
      <c r="E1341" t="str">
        <f t="shared" si="163"/>
        <v>T4</v>
      </c>
      <c r="F1341" t="s">
        <v>1468</v>
      </c>
      <c r="G1341" t="s">
        <v>54</v>
      </c>
      <c r="H1341" t="s">
        <v>55</v>
      </c>
      <c r="I1341" t="s">
        <v>56</v>
      </c>
      <c r="J1341" t="s">
        <v>125</v>
      </c>
      <c r="K1341" t="s">
        <v>138</v>
      </c>
      <c r="L1341" t="s">
        <v>139</v>
      </c>
      <c r="M1341" s="24">
        <v>20</v>
      </c>
      <c r="N1341" s="25">
        <v>56341.4</v>
      </c>
      <c r="O1341" s="25">
        <f t="shared" si="164"/>
        <v>1126828</v>
      </c>
      <c r="P1341" s="25">
        <v>41812.18</v>
      </c>
      <c r="Q1341" s="25">
        <f t="shared" si="165"/>
        <v>836243.6</v>
      </c>
      <c r="R1341" s="25">
        <f t="shared" si="166"/>
        <v>290584.40000000002</v>
      </c>
      <c r="S1341" s="26">
        <f t="shared" si="167"/>
        <v>0.25787822098847385</v>
      </c>
    </row>
    <row r="1342" spans="1:19" ht="15" x14ac:dyDescent="0.2">
      <c r="A1342" s="23">
        <v>46007</v>
      </c>
      <c r="B1342">
        <f t="shared" si="160"/>
        <v>2025</v>
      </c>
      <c r="C1342">
        <f t="shared" si="161"/>
        <v>12</v>
      </c>
      <c r="D1342" t="str">
        <f t="shared" si="162"/>
        <v>Diciembre</v>
      </c>
      <c r="E1342" t="str">
        <f t="shared" si="163"/>
        <v>T4</v>
      </c>
      <c r="F1342" t="s">
        <v>1469</v>
      </c>
      <c r="G1342" t="s">
        <v>61</v>
      </c>
      <c r="H1342" t="s">
        <v>62</v>
      </c>
      <c r="I1342" t="s">
        <v>63</v>
      </c>
      <c r="J1342" t="s">
        <v>64</v>
      </c>
      <c r="K1342" t="s">
        <v>96</v>
      </c>
      <c r="L1342" t="s">
        <v>97</v>
      </c>
      <c r="M1342" s="24">
        <v>10</v>
      </c>
      <c r="N1342" s="25">
        <v>5952.44</v>
      </c>
      <c r="O1342" s="25">
        <f t="shared" si="164"/>
        <v>59524.399999999994</v>
      </c>
      <c r="P1342" s="25">
        <v>5009.55</v>
      </c>
      <c r="Q1342" s="25">
        <f t="shared" si="165"/>
        <v>50095.5</v>
      </c>
      <c r="R1342" s="25">
        <f t="shared" si="166"/>
        <v>9428.8999999999942</v>
      </c>
      <c r="S1342" s="26">
        <f t="shared" si="167"/>
        <v>0.15840394863282947</v>
      </c>
    </row>
    <row r="1343" spans="1:19" ht="15" x14ac:dyDescent="0.2">
      <c r="A1343" s="23">
        <v>46008</v>
      </c>
      <c r="B1343">
        <f t="shared" si="160"/>
        <v>2025</v>
      </c>
      <c r="C1343">
        <f t="shared" si="161"/>
        <v>12</v>
      </c>
      <c r="D1343" t="str">
        <f t="shared" si="162"/>
        <v>Diciembre</v>
      </c>
      <c r="E1343" t="str">
        <f t="shared" si="163"/>
        <v>T4</v>
      </c>
      <c r="F1343" t="s">
        <v>1470</v>
      </c>
      <c r="G1343" t="s">
        <v>54</v>
      </c>
      <c r="H1343" t="s">
        <v>55</v>
      </c>
      <c r="I1343" t="s">
        <v>56</v>
      </c>
      <c r="J1343" t="s">
        <v>77</v>
      </c>
      <c r="K1343" t="s">
        <v>107</v>
      </c>
      <c r="L1343" t="s">
        <v>108</v>
      </c>
      <c r="M1343" s="24">
        <v>11</v>
      </c>
      <c r="N1343" s="25">
        <v>60005.64</v>
      </c>
      <c r="O1343" s="25">
        <f t="shared" si="164"/>
        <v>660062.04</v>
      </c>
      <c r="P1343" s="25">
        <v>43839.15</v>
      </c>
      <c r="Q1343" s="25">
        <f t="shared" si="165"/>
        <v>482230.65</v>
      </c>
      <c r="R1343" s="25">
        <f t="shared" si="166"/>
        <v>177831.39</v>
      </c>
      <c r="S1343" s="26">
        <f t="shared" si="167"/>
        <v>0.26941617487956132</v>
      </c>
    </row>
    <row r="1344" spans="1:19" ht="15" x14ac:dyDescent="0.2">
      <c r="A1344" s="23">
        <v>46008</v>
      </c>
      <c r="B1344">
        <f t="shared" si="160"/>
        <v>2025</v>
      </c>
      <c r="C1344">
        <f t="shared" si="161"/>
        <v>12</v>
      </c>
      <c r="D1344" t="str">
        <f t="shared" si="162"/>
        <v>Diciembre</v>
      </c>
      <c r="E1344" t="str">
        <f t="shared" si="163"/>
        <v>T4</v>
      </c>
      <c r="F1344" t="s">
        <v>1471</v>
      </c>
      <c r="G1344" t="s">
        <v>68</v>
      </c>
      <c r="H1344" t="s">
        <v>62</v>
      </c>
      <c r="I1344" t="s">
        <v>69</v>
      </c>
      <c r="J1344" t="s">
        <v>77</v>
      </c>
      <c r="K1344" t="s">
        <v>107</v>
      </c>
      <c r="L1344" t="s">
        <v>108</v>
      </c>
      <c r="M1344" s="24">
        <v>270</v>
      </c>
      <c r="N1344" s="25">
        <v>3352.81</v>
      </c>
      <c r="O1344" s="25">
        <f t="shared" si="164"/>
        <v>905258.7</v>
      </c>
      <c r="P1344" s="25">
        <v>2603.1</v>
      </c>
      <c r="Q1344" s="25">
        <f t="shared" si="165"/>
        <v>702837</v>
      </c>
      <c r="R1344" s="25">
        <f t="shared" si="166"/>
        <v>202421.69999999995</v>
      </c>
      <c r="S1344" s="26">
        <f t="shared" si="167"/>
        <v>0.22360646741091797</v>
      </c>
    </row>
    <row r="1345" spans="1:19" ht="15" x14ac:dyDescent="0.2">
      <c r="A1345" s="23">
        <v>46008</v>
      </c>
      <c r="B1345">
        <f t="shared" si="160"/>
        <v>2025</v>
      </c>
      <c r="C1345">
        <f t="shared" si="161"/>
        <v>12</v>
      </c>
      <c r="D1345" t="str">
        <f t="shared" si="162"/>
        <v>Diciembre</v>
      </c>
      <c r="E1345" t="str">
        <f t="shared" si="163"/>
        <v>T4</v>
      </c>
      <c r="F1345" t="s">
        <v>1472</v>
      </c>
      <c r="G1345" t="s">
        <v>61</v>
      </c>
      <c r="H1345" t="s">
        <v>62</v>
      </c>
      <c r="I1345" t="s">
        <v>63</v>
      </c>
      <c r="J1345" t="s">
        <v>57</v>
      </c>
      <c r="K1345" t="s">
        <v>58</v>
      </c>
      <c r="L1345" t="s">
        <v>162</v>
      </c>
      <c r="M1345" s="24">
        <v>80</v>
      </c>
      <c r="N1345" s="25">
        <v>5828.65</v>
      </c>
      <c r="O1345" s="25">
        <f t="shared" si="164"/>
        <v>466292</v>
      </c>
      <c r="P1345" s="25">
        <v>4777.47</v>
      </c>
      <c r="Q1345" s="25">
        <f t="shared" si="165"/>
        <v>382197.60000000003</v>
      </c>
      <c r="R1345" s="25">
        <f t="shared" si="166"/>
        <v>84094.399999999965</v>
      </c>
      <c r="S1345" s="26">
        <f t="shared" si="167"/>
        <v>0.18034707865457689</v>
      </c>
    </row>
    <row r="1346" spans="1:19" ht="15" x14ac:dyDescent="0.2">
      <c r="A1346" s="23">
        <v>46008</v>
      </c>
      <c r="B1346">
        <f t="shared" ref="B1346:B1409" si="168">YEAR($A1346)</f>
        <v>2025</v>
      </c>
      <c r="C1346">
        <f t="shared" ref="C1346:C1409" si="169">MONTH($A1346)</f>
        <v>12</v>
      </c>
      <c r="D1346" t="str">
        <f t="shared" ref="D1346:D1409" si="170">INDEX(lst_Meses,MONTH($A1346))</f>
        <v>Diciembre</v>
      </c>
      <c r="E1346" t="str">
        <f t="shared" ref="E1346:E1409" si="171">"T"&amp;ROUNDUP(MONTH($A1346)/3,0)</f>
        <v>T4</v>
      </c>
      <c r="F1346" t="s">
        <v>1473</v>
      </c>
      <c r="G1346" t="s">
        <v>114</v>
      </c>
      <c r="H1346" t="s">
        <v>75</v>
      </c>
      <c r="I1346" t="s">
        <v>115</v>
      </c>
      <c r="J1346" t="s">
        <v>125</v>
      </c>
      <c r="K1346" t="s">
        <v>138</v>
      </c>
      <c r="L1346" t="s">
        <v>139</v>
      </c>
      <c r="M1346" s="24">
        <v>5</v>
      </c>
      <c r="N1346" s="25">
        <v>105463.89</v>
      </c>
      <c r="O1346" s="25">
        <f t="shared" ref="O1346:O1409" si="172">$M1346*$N1346</f>
        <v>527319.44999999995</v>
      </c>
      <c r="P1346" s="25">
        <v>70356.899999999994</v>
      </c>
      <c r="Q1346" s="25">
        <f t="shared" ref="Q1346:Q1409" si="173">$M1346*$P1346</f>
        <v>351784.5</v>
      </c>
      <c r="R1346" s="25">
        <f t="shared" ref="R1346:R1409" si="174">$O1346-$Q1346</f>
        <v>175534.94999999995</v>
      </c>
      <c r="S1346" s="26">
        <f t="shared" ref="S1346:S1409" si="175">IFERROR($R1346/$O1346,0)</f>
        <v>0.33288161474036271</v>
      </c>
    </row>
    <row r="1347" spans="1:19" ht="15" x14ac:dyDescent="0.2">
      <c r="A1347" s="23">
        <v>46008</v>
      </c>
      <c r="B1347">
        <f t="shared" si="168"/>
        <v>2025</v>
      </c>
      <c r="C1347">
        <f t="shared" si="169"/>
        <v>12</v>
      </c>
      <c r="D1347" t="str">
        <f t="shared" si="170"/>
        <v>Diciembre</v>
      </c>
      <c r="E1347" t="str">
        <f t="shared" si="171"/>
        <v>T4</v>
      </c>
      <c r="F1347" t="s">
        <v>1474</v>
      </c>
      <c r="G1347" t="s">
        <v>92</v>
      </c>
      <c r="H1347" t="s">
        <v>93</v>
      </c>
      <c r="I1347" t="s">
        <v>94</v>
      </c>
      <c r="J1347" t="s">
        <v>70</v>
      </c>
      <c r="K1347" t="s">
        <v>84</v>
      </c>
      <c r="L1347" t="s">
        <v>85</v>
      </c>
      <c r="M1347" s="24">
        <v>9</v>
      </c>
      <c r="N1347" s="25">
        <v>20556.060000000001</v>
      </c>
      <c r="O1347" s="25">
        <f t="shared" si="172"/>
        <v>185004.54</v>
      </c>
      <c r="P1347" s="25">
        <v>12413.56</v>
      </c>
      <c r="Q1347" s="25">
        <f t="shared" si="173"/>
        <v>111722.04</v>
      </c>
      <c r="R1347" s="25">
        <f t="shared" si="174"/>
        <v>73282.500000000015</v>
      </c>
      <c r="S1347" s="26">
        <f t="shared" si="175"/>
        <v>0.39611190082146097</v>
      </c>
    </row>
    <row r="1348" spans="1:19" ht="15" x14ac:dyDescent="0.2">
      <c r="A1348" s="23">
        <v>46009</v>
      </c>
      <c r="B1348">
        <f t="shared" si="168"/>
        <v>2025</v>
      </c>
      <c r="C1348">
        <f t="shared" si="169"/>
        <v>12</v>
      </c>
      <c r="D1348" t="str">
        <f t="shared" si="170"/>
        <v>Diciembre</v>
      </c>
      <c r="E1348" t="str">
        <f t="shared" si="171"/>
        <v>T4</v>
      </c>
      <c r="F1348" t="s">
        <v>1475</v>
      </c>
      <c r="G1348" t="s">
        <v>54</v>
      </c>
      <c r="H1348" t="s">
        <v>55</v>
      </c>
      <c r="I1348" t="s">
        <v>56</v>
      </c>
      <c r="J1348" t="s">
        <v>77</v>
      </c>
      <c r="K1348" t="s">
        <v>107</v>
      </c>
      <c r="L1348" t="s">
        <v>112</v>
      </c>
      <c r="M1348" s="24">
        <v>17</v>
      </c>
      <c r="N1348" s="25">
        <v>57183.82</v>
      </c>
      <c r="O1348" s="25">
        <f t="shared" si="172"/>
        <v>972124.94</v>
      </c>
      <c r="P1348" s="25">
        <v>41321.64</v>
      </c>
      <c r="Q1348" s="25">
        <f t="shared" si="173"/>
        <v>702467.88</v>
      </c>
      <c r="R1348" s="25">
        <f t="shared" si="174"/>
        <v>269657.05999999994</v>
      </c>
      <c r="S1348" s="26">
        <f t="shared" si="175"/>
        <v>0.27738930347780189</v>
      </c>
    </row>
    <row r="1349" spans="1:19" ht="15" x14ac:dyDescent="0.2">
      <c r="A1349" s="23">
        <v>46009</v>
      </c>
      <c r="B1349">
        <f t="shared" si="168"/>
        <v>2025</v>
      </c>
      <c r="C1349">
        <f t="shared" si="169"/>
        <v>12</v>
      </c>
      <c r="D1349" t="str">
        <f t="shared" si="170"/>
        <v>Diciembre</v>
      </c>
      <c r="E1349" t="str">
        <f t="shared" si="171"/>
        <v>T4</v>
      </c>
      <c r="F1349" t="s">
        <v>1476</v>
      </c>
      <c r="G1349" t="s">
        <v>68</v>
      </c>
      <c r="H1349" t="s">
        <v>62</v>
      </c>
      <c r="I1349" t="s">
        <v>69</v>
      </c>
      <c r="J1349" t="s">
        <v>77</v>
      </c>
      <c r="K1349" t="s">
        <v>107</v>
      </c>
      <c r="L1349" t="s">
        <v>108</v>
      </c>
      <c r="M1349" s="24">
        <v>437</v>
      </c>
      <c r="N1349" s="25">
        <v>3334.95</v>
      </c>
      <c r="O1349" s="25">
        <f t="shared" si="172"/>
        <v>1457373.15</v>
      </c>
      <c r="P1349" s="25">
        <v>2599.59</v>
      </c>
      <c r="Q1349" s="25">
        <f t="shared" si="173"/>
        <v>1136020.83</v>
      </c>
      <c r="R1349" s="25">
        <f t="shared" si="174"/>
        <v>321352.31999999983</v>
      </c>
      <c r="S1349" s="26">
        <f t="shared" si="175"/>
        <v>0.22050105698736103</v>
      </c>
    </row>
    <row r="1350" spans="1:19" ht="15" x14ac:dyDescent="0.2">
      <c r="A1350" s="23">
        <v>46009</v>
      </c>
      <c r="B1350">
        <f t="shared" si="168"/>
        <v>2025</v>
      </c>
      <c r="C1350">
        <f t="shared" si="169"/>
        <v>12</v>
      </c>
      <c r="D1350" t="str">
        <f t="shared" si="170"/>
        <v>Diciembre</v>
      </c>
      <c r="E1350" t="str">
        <f t="shared" si="171"/>
        <v>T4</v>
      </c>
      <c r="F1350" t="s">
        <v>1477</v>
      </c>
      <c r="G1350" t="s">
        <v>110</v>
      </c>
      <c r="H1350" t="s">
        <v>62</v>
      </c>
      <c r="I1350" t="s">
        <v>69</v>
      </c>
      <c r="J1350" t="s">
        <v>77</v>
      </c>
      <c r="K1350" t="s">
        <v>78</v>
      </c>
      <c r="L1350" t="s">
        <v>117</v>
      </c>
      <c r="M1350" s="24">
        <v>68</v>
      </c>
      <c r="N1350" s="25">
        <v>6690.08</v>
      </c>
      <c r="O1350" s="25">
        <f t="shared" si="172"/>
        <v>454925.44</v>
      </c>
      <c r="P1350" s="25">
        <v>5390.25</v>
      </c>
      <c r="Q1350" s="25">
        <f t="shared" si="173"/>
        <v>366537</v>
      </c>
      <c r="R1350" s="25">
        <f t="shared" si="174"/>
        <v>88388.44</v>
      </c>
      <c r="S1350" s="26">
        <f t="shared" si="175"/>
        <v>0.19429214598330663</v>
      </c>
    </row>
    <row r="1351" spans="1:19" ht="15" x14ac:dyDescent="0.2">
      <c r="A1351" s="23">
        <v>46009</v>
      </c>
      <c r="B1351">
        <f t="shared" si="168"/>
        <v>2025</v>
      </c>
      <c r="C1351">
        <f t="shared" si="169"/>
        <v>12</v>
      </c>
      <c r="D1351" t="str">
        <f t="shared" si="170"/>
        <v>Diciembre</v>
      </c>
      <c r="E1351" t="str">
        <f t="shared" si="171"/>
        <v>T4</v>
      </c>
      <c r="F1351" t="s">
        <v>1478</v>
      </c>
      <c r="G1351" t="s">
        <v>74</v>
      </c>
      <c r="H1351" t="s">
        <v>75</v>
      </c>
      <c r="I1351" t="s">
        <v>76</v>
      </c>
      <c r="J1351" t="s">
        <v>70</v>
      </c>
      <c r="K1351" t="s">
        <v>71</v>
      </c>
      <c r="L1351" t="s">
        <v>72</v>
      </c>
      <c r="M1351" s="24">
        <v>10</v>
      </c>
      <c r="N1351" s="25">
        <v>37837.46</v>
      </c>
      <c r="O1351" s="25">
        <f t="shared" si="172"/>
        <v>378374.6</v>
      </c>
      <c r="P1351" s="25">
        <v>27150.85</v>
      </c>
      <c r="Q1351" s="25">
        <f t="shared" si="173"/>
        <v>271508.5</v>
      </c>
      <c r="R1351" s="25">
        <f t="shared" si="174"/>
        <v>106866.09999999998</v>
      </c>
      <c r="S1351" s="26">
        <f t="shared" si="175"/>
        <v>0.28243465602606516</v>
      </c>
    </row>
    <row r="1352" spans="1:19" ht="15" x14ac:dyDescent="0.2">
      <c r="A1352" s="23">
        <v>46010</v>
      </c>
      <c r="B1352">
        <f t="shared" si="168"/>
        <v>2025</v>
      </c>
      <c r="C1352">
        <f t="shared" si="169"/>
        <v>12</v>
      </c>
      <c r="D1352" t="str">
        <f t="shared" si="170"/>
        <v>Diciembre</v>
      </c>
      <c r="E1352" t="str">
        <f t="shared" si="171"/>
        <v>T4</v>
      </c>
      <c r="F1352" t="s">
        <v>1479</v>
      </c>
      <c r="G1352" t="s">
        <v>149</v>
      </c>
      <c r="H1352" t="s">
        <v>93</v>
      </c>
      <c r="I1352" t="s">
        <v>150</v>
      </c>
      <c r="J1352" t="s">
        <v>57</v>
      </c>
      <c r="K1352" t="s">
        <v>58</v>
      </c>
      <c r="L1352" t="s">
        <v>162</v>
      </c>
      <c r="M1352" s="24">
        <v>7</v>
      </c>
      <c r="N1352" s="25">
        <v>46765.97</v>
      </c>
      <c r="O1352" s="25">
        <f t="shared" si="172"/>
        <v>327361.79000000004</v>
      </c>
      <c r="P1352" s="25">
        <v>27405.73</v>
      </c>
      <c r="Q1352" s="25">
        <f t="shared" si="173"/>
        <v>191840.11</v>
      </c>
      <c r="R1352" s="25">
        <f t="shared" si="174"/>
        <v>135521.68000000005</v>
      </c>
      <c r="S1352" s="26">
        <f t="shared" si="175"/>
        <v>0.41398136294403826</v>
      </c>
    </row>
    <row r="1353" spans="1:19" ht="15" x14ac:dyDescent="0.2">
      <c r="A1353" s="23">
        <v>46010</v>
      </c>
      <c r="B1353">
        <f t="shared" si="168"/>
        <v>2025</v>
      </c>
      <c r="C1353">
        <f t="shared" si="169"/>
        <v>12</v>
      </c>
      <c r="D1353" t="str">
        <f t="shared" si="170"/>
        <v>Diciembre</v>
      </c>
      <c r="E1353" t="str">
        <f t="shared" si="171"/>
        <v>T4</v>
      </c>
      <c r="F1353" t="s">
        <v>1480</v>
      </c>
      <c r="G1353" t="s">
        <v>149</v>
      </c>
      <c r="H1353" t="s">
        <v>93</v>
      </c>
      <c r="I1353" t="s">
        <v>150</v>
      </c>
      <c r="J1353" t="s">
        <v>125</v>
      </c>
      <c r="K1353" t="s">
        <v>138</v>
      </c>
      <c r="L1353" t="s">
        <v>139</v>
      </c>
      <c r="M1353" s="24">
        <v>3</v>
      </c>
      <c r="N1353" s="25">
        <v>47266.61</v>
      </c>
      <c r="O1353" s="25">
        <f t="shared" si="172"/>
        <v>141799.83000000002</v>
      </c>
      <c r="P1353" s="25">
        <v>27199.74</v>
      </c>
      <c r="Q1353" s="25">
        <f t="shared" si="173"/>
        <v>81599.22</v>
      </c>
      <c r="R1353" s="25">
        <f t="shared" si="174"/>
        <v>60200.610000000015</v>
      </c>
      <c r="S1353" s="26">
        <f t="shared" si="175"/>
        <v>0.42454641870868259</v>
      </c>
    </row>
    <row r="1354" spans="1:19" ht="15" x14ac:dyDescent="0.2">
      <c r="A1354" s="23">
        <v>46011</v>
      </c>
      <c r="B1354">
        <f t="shared" si="168"/>
        <v>2025</v>
      </c>
      <c r="C1354">
        <f t="shared" si="169"/>
        <v>12</v>
      </c>
      <c r="D1354" t="str">
        <f t="shared" si="170"/>
        <v>Diciembre</v>
      </c>
      <c r="E1354" t="str">
        <f t="shared" si="171"/>
        <v>T4</v>
      </c>
      <c r="F1354" t="s">
        <v>1481</v>
      </c>
      <c r="G1354" t="s">
        <v>105</v>
      </c>
      <c r="H1354" t="s">
        <v>62</v>
      </c>
      <c r="I1354" t="s">
        <v>106</v>
      </c>
      <c r="J1354" t="s">
        <v>57</v>
      </c>
      <c r="K1354" t="s">
        <v>81</v>
      </c>
      <c r="L1354" t="s">
        <v>82</v>
      </c>
      <c r="M1354" s="24">
        <v>224</v>
      </c>
      <c r="N1354" s="25">
        <v>1834.38</v>
      </c>
      <c r="O1354" s="25">
        <f t="shared" si="172"/>
        <v>410901.12</v>
      </c>
      <c r="P1354" s="25">
        <v>1499.68</v>
      </c>
      <c r="Q1354" s="25">
        <f t="shared" si="173"/>
        <v>335928.32000000001</v>
      </c>
      <c r="R1354" s="25">
        <f t="shared" si="174"/>
        <v>74972.799999999988</v>
      </c>
      <c r="S1354" s="26">
        <f t="shared" si="175"/>
        <v>0.18245946859429341</v>
      </c>
    </row>
    <row r="1355" spans="1:19" ht="15" x14ac:dyDescent="0.2">
      <c r="A1355" s="23">
        <v>46011</v>
      </c>
      <c r="B1355">
        <f t="shared" si="168"/>
        <v>2025</v>
      </c>
      <c r="C1355">
        <f t="shared" si="169"/>
        <v>12</v>
      </c>
      <c r="D1355" t="str">
        <f t="shared" si="170"/>
        <v>Diciembre</v>
      </c>
      <c r="E1355" t="str">
        <f t="shared" si="171"/>
        <v>T4</v>
      </c>
      <c r="F1355" t="s">
        <v>1482</v>
      </c>
      <c r="G1355" t="s">
        <v>68</v>
      </c>
      <c r="H1355" t="s">
        <v>62</v>
      </c>
      <c r="I1355" t="s">
        <v>69</v>
      </c>
      <c r="J1355" t="s">
        <v>125</v>
      </c>
      <c r="K1355" t="s">
        <v>138</v>
      </c>
      <c r="L1355" t="s">
        <v>142</v>
      </c>
      <c r="M1355" s="24">
        <v>217</v>
      </c>
      <c r="N1355" s="25">
        <v>3229.17</v>
      </c>
      <c r="O1355" s="25">
        <f t="shared" si="172"/>
        <v>700729.89</v>
      </c>
      <c r="P1355" s="25">
        <v>2601.2199999999998</v>
      </c>
      <c r="Q1355" s="25">
        <f t="shared" si="173"/>
        <v>564464.74</v>
      </c>
      <c r="R1355" s="25">
        <f t="shared" si="174"/>
        <v>136265.15000000002</v>
      </c>
      <c r="S1355" s="26">
        <f t="shared" si="175"/>
        <v>0.19446173474917705</v>
      </c>
    </row>
    <row r="1356" spans="1:19" ht="15" x14ac:dyDescent="0.2">
      <c r="A1356" s="23">
        <v>46011</v>
      </c>
      <c r="B1356">
        <f t="shared" si="168"/>
        <v>2025</v>
      </c>
      <c r="C1356">
        <f t="shared" si="169"/>
        <v>12</v>
      </c>
      <c r="D1356" t="str">
        <f t="shared" si="170"/>
        <v>Diciembre</v>
      </c>
      <c r="E1356" t="str">
        <f t="shared" si="171"/>
        <v>T4</v>
      </c>
      <c r="F1356" t="s">
        <v>1483</v>
      </c>
      <c r="G1356" t="s">
        <v>114</v>
      </c>
      <c r="H1356" t="s">
        <v>75</v>
      </c>
      <c r="I1356" t="s">
        <v>115</v>
      </c>
      <c r="J1356" t="s">
        <v>64</v>
      </c>
      <c r="K1356" t="s">
        <v>96</v>
      </c>
      <c r="L1356" t="s">
        <v>103</v>
      </c>
      <c r="M1356" s="24">
        <v>10</v>
      </c>
      <c r="N1356" s="25">
        <v>87576.73</v>
      </c>
      <c r="O1356" s="25">
        <f t="shared" si="172"/>
        <v>875767.29999999993</v>
      </c>
      <c r="P1356" s="25">
        <v>62240.02</v>
      </c>
      <c r="Q1356" s="25">
        <f t="shared" si="173"/>
        <v>622400.19999999995</v>
      </c>
      <c r="R1356" s="25">
        <f t="shared" si="174"/>
        <v>253367.09999999998</v>
      </c>
      <c r="S1356" s="26">
        <f t="shared" si="175"/>
        <v>0.28930870106705286</v>
      </c>
    </row>
    <row r="1357" spans="1:19" ht="15" x14ac:dyDescent="0.2">
      <c r="A1357" s="23">
        <v>46011</v>
      </c>
      <c r="B1357">
        <f t="shared" si="168"/>
        <v>2025</v>
      </c>
      <c r="C1357">
        <f t="shared" si="169"/>
        <v>12</v>
      </c>
      <c r="D1357" t="str">
        <f t="shared" si="170"/>
        <v>Diciembre</v>
      </c>
      <c r="E1357" t="str">
        <f t="shared" si="171"/>
        <v>T4</v>
      </c>
      <c r="F1357" t="s">
        <v>1484</v>
      </c>
      <c r="G1357" t="s">
        <v>121</v>
      </c>
      <c r="H1357" t="s">
        <v>75</v>
      </c>
      <c r="I1357" t="s">
        <v>122</v>
      </c>
      <c r="J1357" t="s">
        <v>64</v>
      </c>
      <c r="K1357" t="s">
        <v>96</v>
      </c>
      <c r="L1357" t="s">
        <v>103</v>
      </c>
      <c r="M1357" s="24">
        <v>4</v>
      </c>
      <c r="N1357" s="25">
        <v>395448.55</v>
      </c>
      <c r="O1357" s="25">
        <f t="shared" si="172"/>
        <v>1581794.2</v>
      </c>
      <c r="P1357" s="25">
        <v>272360.84000000003</v>
      </c>
      <c r="Q1357" s="25">
        <f t="shared" si="173"/>
        <v>1089443.3600000001</v>
      </c>
      <c r="R1357" s="25">
        <f t="shared" si="174"/>
        <v>492350.83999999985</v>
      </c>
      <c r="S1357" s="26">
        <f t="shared" si="175"/>
        <v>0.31126099716385347</v>
      </c>
    </row>
    <row r="1358" spans="1:19" ht="15" x14ac:dyDescent="0.2">
      <c r="A1358" s="23">
        <v>46011</v>
      </c>
      <c r="B1358">
        <f t="shared" si="168"/>
        <v>2025</v>
      </c>
      <c r="C1358">
        <f t="shared" si="169"/>
        <v>12</v>
      </c>
      <c r="D1358" t="str">
        <f t="shared" si="170"/>
        <v>Diciembre</v>
      </c>
      <c r="E1358" t="str">
        <f t="shared" si="171"/>
        <v>T4</v>
      </c>
      <c r="F1358" t="s">
        <v>1485</v>
      </c>
      <c r="G1358" t="s">
        <v>114</v>
      </c>
      <c r="H1358" t="s">
        <v>75</v>
      </c>
      <c r="I1358" t="s">
        <v>115</v>
      </c>
      <c r="J1358" t="s">
        <v>57</v>
      </c>
      <c r="K1358" t="s">
        <v>58</v>
      </c>
      <c r="L1358" t="s">
        <v>59</v>
      </c>
      <c r="M1358" s="24">
        <v>2</v>
      </c>
      <c r="N1358" s="25">
        <v>117819.5</v>
      </c>
      <c r="O1358" s="25">
        <f t="shared" si="172"/>
        <v>235639</v>
      </c>
      <c r="P1358" s="25">
        <v>79742.2</v>
      </c>
      <c r="Q1358" s="25">
        <f t="shared" si="173"/>
        <v>159484.4</v>
      </c>
      <c r="R1358" s="25">
        <f t="shared" si="174"/>
        <v>76154.600000000006</v>
      </c>
      <c r="S1358" s="26">
        <f t="shared" si="175"/>
        <v>0.32318334401351223</v>
      </c>
    </row>
    <row r="1359" spans="1:19" ht="15" x14ac:dyDescent="0.2">
      <c r="A1359" s="23">
        <v>46011</v>
      </c>
      <c r="B1359">
        <f t="shared" si="168"/>
        <v>2025</v>
      </c>
      <c r="C1359">
        <f t="shared" si="169"/>
        <v>12</v>
      </c>
      <c r="D1359" t="str">
        <f t="shared" si="170"/>
        <v>Diciembre</v>
      </c>
      <c r="E1359" t="str">
        <f t="shared" si="171"/>
        <v>T4</v>
      </c>
      <c r="F1359" t="s">
        <v>1486</v>
      </c>
      <c r="G1359" t="s">
        <v>206</v>
      </c>
      <c r="H1359" t="s">
        <v>93</v>
      </c>
      <c r="I1359" t="s">
        <v>207</v>
      </c>
      <c r="J1359" t="s">
        <v>64</v>
      </c>
      <c r="K1359" t="s">
        <v>65</v>
      </c>
      <c r="L1359" t="s">
        <v>66</v>
      </c>
      <c r="M1359" s="24">
        <v>6</v>
      </c>
      <c r="N1359" s="25">
        <v>120586.31</v>
      </c>
      <c r="O1359" s="25">
        <f t="shared" si="172"/>
        <v>723517.86</v>
      </c>
      <c r="P1359" s="25">
        <v>73342.960000000006</v>
      </c>
      <c r="Q1359" s="25">
        <f t="shared" si="173"/>
        <v>440057.76</v>
      </c>
      <c r="R1359" s="25">
        <f t="shared" si="174"/>
        <v>283460.09999999998</v>
      </c>
      <c r="S1359" s="26">
        <f t="shared" si="175"/>
        <v>0.3917803770593859</v>
      </c>
    </row>
    <row r="1360" spans="1:19" ht="15" x14ac:dyDescent="0.2">
      <c r="A1360" s="23">
        <v>46011</v>
      </c>
      <c r="B1360">
        <f t="shared" si="168"/>
        <v>2025</v>
      </c>
      <c r="C1360">
        <f t="shared" si="169"/>
        <v>12</v>
      </c>
      <c r="D1360" t="str">
        <f t="shared" si="170"/>
        <v>Diciembre</v>
      </c>
      <c r="E1360" t="str">
        <f t="shared" si="171"/>
        <v>T4</v>
      </c>
      <c r="F1360" t="s">
        <v>1487</v>
      </c>
      <c r="G1360" t="s">
        <v>92</v>
      </c>
      <c r="H1360" t="s">
        <v>93</v>
      </c>
      <c r="I1360" t="s">
        <v>94</v>
      </c>
      <c r="J1360" t="s">
        <v>64</v>
      </c>
      <c r="K1360" t="s">
        <v>96</v>
      </c>
      <c r="L1360" t="s">
        <v>97</v>
      </c>
      <c r="M1360" s="24">
        <v>7</v>
      </c>
      <c r="N1360" s="25">
        <v>21505.54</v>
      </c>
      <c r="O1360" s="25">
        <f t="shared" si="172"/>
        <v>150538.78</v>
      </c>
      <c r="P1360" s="25">
        <v>12588.12</v>
      </c>
      <c r="Q1360" s="25">
        <f t="shared" si="173"/>
        <v>88116.840000000011</v>
      </c>
      <c r="R1360" s="25">
        <f t="shared" si="174"/>
        <v>62421.939999999988</v>
      </c>
      <c r="S1360" s="26">
        <f t="shared" si="175"/>
        <v>0.41465687446118527</v>
      </c>
    </row>
    <row r="1361" spans="1:19" ht="15" x14ac:dyDescent="0.2">
      <c r="A1361" s="23">
        <v>46012</v>
      </c>
      <c r="B1361">
        <f t="shared" si="168"/>
        <v>2025</v>
      </c>
      <c r="C1361">
        <f t="shared" si="169"/>
        <v>12</v>
      </c>
      <c r="D1361" t="str">
        <f t="shared" si="170"/>
        <v>Diciembre</v>
      </c>
      <c r="E1361" t="str">
        <f t="shared" si="171"/>
        <v>T4</v>
      </c>
      <c r="F1361" t="s">
        <v>1488</v>
      </c>
      <c r="G1361" t="s">
        <v>282</v>
      </c>
      <c r="H1361" t="s">
        <v>55</v>
      </c>
      <c r="I1361" t="s">
        <v>56</v>
      </c>
      <c r="J1361" t="s">
        <v>57</v>
      </c>
      <c r="K1361" t="s">
        <v>58</v>
      </c>
      <c r="L1361" t="s">
        <v>162</v>
      </c>
      <c r="M1361" s="24">
        <v>2</v>
      </c>
      <c r="N1361" s="25">
        <v>579874.86</v>
      </c>
      <c r="O1361" s="25">
        <f t="shared" si="172"/>
        <v>1159749.72</v>
      </c>
      <c r="P1361" s="25">
        <v>446744.81</v>
      </c>
      <c r="Q1361" s="25">
        <f t="shared" si="173"/>
        <v>893489.62</v>
      </c>
      <c r="R1361" s="25">
        <f t="shared" si="174"/>
        <v>266260.09999999998</v>
      </c>
      <c r="S1361" s="26">
        <f t="shared" si="175"/>
        <v>0.22958410371506707</v>
      </c>
    </row>
    <row r="1362" spans="1:19" ht="15" x14ac:dyDescent="0.2">
      <c r="A1362" s="23">
        <v>46012</v>
      </c>
      <c r="B1362">
        <f t="shared" si="168"/>
        <v>2025</v>
      </c>
      <c r="C1362">
        <f t="shared" si="169"/>
        <v>12</v>
      </c>
      <c r="D1362" t="str">
        <f t="shared" si="170"/>
        <v>Diciembre</v>
      </c>
      <c r="E1362" t="str">
        <f t="shared" si="171"/>
        <v>T4</v>
      </c>
      <c r="F1362" t="s">
        <v>1489</v>
      </c>
      <c r="G1362" t="s">
        <v>105</v>
      </c>
      <c r="H1362" t="s">
        <v>62</v>
      </c>
      <c r="I1362" t="s">
        <v>106</v>
      </c>
      <c r="J1362" t="s">
        <v>57</v>
      </c>
      <c r="K1362" t="s">
        <v>81</v>
      </c>
      <c r="L1362" t="s">
        <v>129</v>
      </c>
      <c r="M1362" s="24">
        <v>286</v>
      </c>
      <c r="N1362" s="25">
        <v>1837.53</v>
      </c>
      <c r="O1362" s="25">
        <f t="shared" si="172"/>
        <v>525533.57999999996</v>
      </c>
      <c r="P1362" s="25">
        <v>1500.89</v>
      </c>
      <c r="Q1362" s="25">
        <f t="shared" si="173"/>
        <v>429254.54000000004</v>
      </c>
      <c r="R1362" s="25">
        <f t="shared" si="174"/>
        <v>96279.039999999921</v>
      </c>
      <c r="S1362" s="26">
        <f t="shared" si="175"/>
        <v>0.18320245111644423</v>
      </c>
    </row>
    <row r="1363" spans="1:19" ht="15" x14ac:dyDescent="0.2">
      <c r="A1363" s="23">
        <v>46012</v>
      </c>
      <c r="B1363">
        <f t="shared" si="168"/>
        <v>2025</v>
      </c>
      <c r="C1363">
        <f t="shared" si="169"/>
        <v>12</v>
      </c>
      <c r="D1363" t="str">
        <f t="shared" si="170"/>
        <v>Diciembre</v>
      </c>
      <c r="E1363" t="str">
        <f t="shared" si="171"/>
        <v>T4</v>
      </c>
      <c r="F1363" t="s">
        <v>1490</v>
      </c>
      <c r="G1363" t="s">
        <v>110</v>
      </c>
      <c r="H1363" t="s">
        <v>62</v>
      </c>
      <c r="I1363" t="s">
        <v>69</v>
      </c>
      <c r="J1363" t="s">
        <v>125</v>
      </c>
      <c r="K1363" t="s">
        <v>126</v>
      </c>
      <c r="L1363" t="s">
        <v>127</v>
      </c>
      <c r="M1363" s="24">
        <v>9</v>
      </c>
      <c r="N1363" s="25">
        <v>6815.47</v>
      </c>
      <c r="O1363" s="25">
        <f t="shared" si="172"/>
        <v>61339.23</v>
      </c>
      <c r="P1363" s="25">
        <v>5518.63</v>
      </c>
      <c r="Q1363" s="25">
        <f t="shared" si="173"/>
        <v>49667.67</v>
      </c>
      <c r="R1363" s="25">
        <f t="shared" si="174"/>
        <v>11671.560000000005</v>
      </c>
      <c r="S1363" s="26">
        <f t="shared" si="175"/>
        <v>0.19027888025330617</v>
      </c>
    </row>
    <row r="1364" spans="1:19" ht="15" x14ac:dyDescent="0.2">
      <c r="A1364" s="23">
        <v>46012</v>
      </c>
      <c r="B1364">
        <f t="shared" si="168"/>
        <v>2025</v>
      </c>
      <c r="C1364">
        <f t="shared" si="169"/>
        <v>12</v>
      </c>
      <c r="D1364" t="str">
        <f t="shared" si="170"/>
        <v>Diciembre</v>
      </c>
      <c r="E1364" t="str">
        <f t="shared" si="171"/>
        <v>T4</v>
      </c>
      <c r="F1364" t="s">
        <v>1491</v>
      </c>
      <c r="G1364" t="s">
        <v>74</v>
      </c>
      <c r="H1364" t="s">
        <v>75</v>
      </c>
      <c r="I1364" t="s">
        <v>76</v>
      </c>
      <c r="J1364" t="s">
        <v>64</v>
      </c>
      <c r="K1364" t="s">
        <v>65</v>
      </c>
      <c r="L1364" t="s">
        <v>123</v>
      </c>
      <c r="M1364" s="24">
        <v>32</v>
      </c>
      <c r="N1364" s="25">
        <v>41027.370000000003</v>
      </c>
      <c r="O1364" s="25">
        <f t="shared" si="172"/>
        <v>1312875.8400000001</v>
      </c>
      <c r="P1364" s="25">
        <v>28268.37</v>
      </c>
      <c r="Q1364" s="25">
        <f t="shared" si="173"/>
        <v>904587.84</v>
      </c>
      <c r="R1364" s="25">
        <f t="shared" si="174"/>
        <v>408288.00000000012</v>
      </c>
      <c r="S1364" s="26">
        <f t="shared" si="175"/>
        <v>0.31098751881975378</v>
      </c>
    </row>
    <row r="1365" spans="1:19" ht="15" x14ac:dyDescent="0.2">
      <c r="A1365" s="23">
        <v>46012</v>
      </c>
      <c r="B1365">
        <f t="shared" si="168"/>
        <v>2025</v>
      </c>
      <c r="C1365">
        <f t="shared" si="169"/>
        <v>12</v>
      </c>
      <c r="D1365" t="str">
        <f t="shared" si="170"/>
        <v>Diciembre</v>
      </c>
      <c r="E1365" t="str">
        <f t="shared" si="171"/>
        <v>T4</v>
      </c>
      <c r="F1365" t="s">
        <v>1492</v>
      </c>
      <c r="G1365" t="s">
        <v>87</v>
      </c>
      <c r="H1365" t="s">
        <v>88</v>
      </c>
      <c r="I1365" t="s">
        <v>89</v>
      </c>
      <c r="J1365" t="s">
        <v>57</v>
      </c>
      <c r="K1365" t="s">
        <v>58</v>
      </c>
      <c r="L1365" t="s">
        <v>162</v>
      </c>
      <c r="M1365" s="24">
        <v>6</v>
      </c>
      <c r="N1365" s="25">
        <v>64684.83</v>
      </c>
      <c r="O1365" s="25">
        <f t="shared" si="172"/>
        <v>388108.98</v>
      </c>
      <c r="P1365" s="25">
        <v>35120.07</v>
      </c>
      <c r="Q1365" s="25">
        <f t="shared" si="173"/>
        <v>210720.41999999998</v>
      </c>
      <c r="R1365" s="25">
        <f t="shared" si="174"/>
        <v>177388.56</v>
      </c>
      <c r="S1365" s="26">
        <f t="shared" si="175"/>
        <v>0.4570586333766356</v>
      </c>
    </row>
    <row r="1366" spans="1:19" ht="15" x14ac:dyDescent="0.2">
      <c r="A1366" s="23">
        <v>46012</v>
      </c>
      <c r="B1366">
        <f t="shared" si="168"/>
        <v>2025</v>
      </c>
      <c r="C1366">
        <f t="shared" si="169"/>
        <v>12</v>
      </c>
      <c r="D1366" t="str">
        <f t="shared" si="170"/>
        <v>Diciembre</v>
      </c>
      <c r="E1366" t="str">
        <f t="shared" si="171"/>
        <v>T4</v>
      </c>
      <c r="F1366" t="s">
        <v>1493</v>
      </c>
      <c r="G1366" t="s">
        <v>144</v>
      </c>
      <c r="H1366" t="s">
        <v>88</v>
      </c>
      <c r="I1366" t="s">
        <v>145</v>
      </c>
      <c r="J1366" t="s">
        <v>125</v>
      </c>
      <c r="K1366" t="s">
        <v>126</v>
      </c>
      <c r="L1366" t="s">
        <v>131</v>
      </c>
      <c r="M1366" s="24">
        <v>12</v>
      </c>
      <c r="N1366" s="25">
        <v>12327.63</v>
      </c>
      <c r="O1366" s="25">
        <f t="shared" si="172"/>
        <v>147931.56</v>
      </c>
      <c r="P1366" s="25">
        <v>6754.84</v>
      </c>
      <c r="Q1366" s="25">
        <f t="shared" si="173"/>
        <v>81058.080000000002</v>
      </c>
      <c r="R1366" s="25">
        <f t="shared" si="174"/>
        <v>66873.48</v>
      </c>
      <c r="S1366" s="26">
        <f t="shared" si="175"/>
        <v>0.45205688360211976</v>
      </c>
    </row>
    <row r="1367" spans="1:19" ht="15" x14ac:dyDescent="0.2">
      <c r="A1367" s="23">
        <v>46012</v>
      </c>
      <c r="B1367">
        <f t="shared" si="168"/>
        <v>2025</v>
      </c>
      <c r="C1367">
        <f t="shared" si="169"/>
        <v>12</v>
      </c>
      <c r="D1367" t="str">
        <f t="shared" si="170"/>
        <v>Diciembre</v>
      </c>
      <c r="E1367" t="str">
        <f t="shared" si="171"/>
        <v>T4</v>
      </c>
      <c r="F1367" t="s">
        <v>1494</v>
      </c>
      <c r="G1367" t="s">
        <v>92</v>
      </c>
      <c r="H1367" t="s">
        <v>93</v>
      </c>
      <c r="I1367" t="s">
        <v>94</v>
      </c>
      <c r="J1367" t="s">
        <v>125</v>
      </c>
      <c r="K1367" t="s">
        <v>126</v>
      </c>
      <c r="L1367" t="s">
        <v>131</v>
      </c>
      <c r="M1367" s="24">
        <v>6</v>
      </c>
      <c r="N1367" s="25">
        <v>19438.759999999998</v>
      </c>
      <c r="O1367" s="25">
        <f t="shared" si="172"/>
        <v>116632.56</v>
      </c>
      <c r="P1367" s="25">
        <v>11200.94</v>
      </c>
      <c r="Q1367" s="25">
        <f t="shared" si="173"/>
        <v>67205.64</v>
      </c>
      <c r="R1367" s="25">
        <f t="shared" si="174"/>
        <v>49426.92</v>
      </c>
      <c r="S1367" s="26">
        <f t="shared" si="175"/>
        <v>0.42378320427846222</v>
      </c>
    </row>
    <row r="1368" spans="1:19" ht="15" x14ac:dyDescent="0.2">
      <c r="A1368" s="23">
        <v>46013</v>
      </c>
      <c r="B1368">
        <f t="shared" si="168"/>
        <v>2025</v>
      </c>
      <c r="C1368">
        <f t="shared" si="169"/>
        <v>12</v>
      </c>
      <c r="D1368" t="str">
        <f t="shared" si="170"/>
        <v>Diciembre</v>
      </c>
      <c r="E1368" t="str">
        <f t="shared" si="171"/>
        <v>T4</v>
      </c>
      <c r="F1368" t="s">
        <v>1495</v>
      </c>
      <c r="G1368" t="s">
        <v>54</v>
      </c>
      <c r="H1368" t="s">
        <v>55</v>
      </c>
      <c r="I1368" t="s">
        <v>56</v>
      </c>
      <c r="J1368" t="s">
        <v>125</v>
      </c>
      <c r="K1368" t="s">
        <v>126</v>
      </c>
      <c r="L1368" t="s">
        <v>131</v>
      </c>
      <c r="M1368" s="24">
        <v>8</v>
      </c>
      <c r="N1368" s="25">
        <v>53079.09</v>
      </c>
      <c r="O1368" s="25">
        <f t="shared" si="172"/>
        <v>424632.72</v>
      </c>
      <c r="P1368" s="25">
        <v>39877.99</v>
      </c>
      <c r="Q1368" s="25">
        <f t="shared" si="173"/>
        <v>319023.92</v>
      </c>
      <c r="R1368" s="25">
        <f t="shared" si="174"/>
        <v>105608.79999999999</v>
      </c>
      <c r="S1368" s="26">
        <f t="shared" si="175"/>
        <v>0.24870622310970289</v>
      </c>
    </row>
    <row r="1369" spans="1:19" ht="15" x14ac:dyDescent="0.2">
      <c r="A1369" s="23">
        <v>46013</v>
      </c>
      <c r="B1369">
        <f t="shared" si="168"/>
        <v>2025</v>
      </c>
      <c r="C1369">
        <f t="shared" si="169"/>
        <v>12</v>
      </c>
      <c r="D1369" t="str">
        <f t="shared" si="170"/>
        <v>Diciembre</v>
      </c>
      <c r="E1369" t="str">
        <f t="shared" si="171"/>
        <v>T4</v>
      </c>
      <c r="F1369" t="s">
        <v>1496</v>
      </c>
      <c r="G1369" t="s">
        <v>54</v>
      </c>
      <c r="H1369" t="s">
        <v>55</v>
      </c>
      <c r="I1369" t="s">
        <v>56</v>
      </c>
      <c r="J1369" t="s">
        <v>70</v>
      </c>
      <c r="K1369" t="s">
        <v>84</v>
      </c>
      <c r="L1369" t="s">
        <v>147</v>
      </c>
      <c r="M1369" s="24">
        <v>12</v>
      </c>
      <c r="N1369" s="25">
        <v>53123.83</v>
      </c>
      <c r="O1369" s="25">
        <f t="shared" si="172"/>
        <v>637485.96</v>
      </c>
      <c r="P1369" s="25">
        <v>42019.12</v>
      </c>
      <c r="Q1369" s="25">
        <f t="shared" si="173"/>
        <v>504229.44000000006</v>
      </c>
      <c r="R1369" s="25">
        <f t="shared" si="174"/>
        <v>133256.5199999999</v>
      </c>
      <c r="S1369" s="26">
        <f t="shared" si="175"/>
        <v>0.20903443897023224</v>
      </c>
    </row>
    <row r="1370" spans="1:19" ht="15" x14ac:dyDescent="0.2">
      <c r="A1370" s="23">
        <v>46013</v>
      </c>
      <c r="B1370">
        <f t="shared" si="168"/>
        <v>2025</v>
      </c>
      <c r="C1370">
        <f t="shared" si="169"/>
        <v>12</v>
      </c>
      <c r="D1370" t="str">
        <f t="shared" si="170"/>
        <v>Diciembre</v>
      </c>
      <c r="E1370" t="str">
        <f t="shared" si="171"/>
        <v>T4</v>
      </c>
      <c r="F1370" t="s">
        <v>1497</v>
      </c>
      <c r="G1370" t="s">
        <v>61</v>
      </c>
      <c r="H1370" t="s">
        <v>62</v>
      </c>
      <c r="I1370" t="s">
        <v>63</v>
      </c>
      <c r="J1370" t="s">
        <v>57</v>
      </c>
      <c r="K1370" t="s">
        <v>58</v>
      </c>
      <c r="L1370" t="s">
        <v>162</v>
      </c>
      <c r="M1370" s="24">
        <v>55</v>
      </c>
      <c r="N1370" s="25">
        <v>5863.43</v>
      </c>
      <c r="O1370" s="25">
        <f t="shared" si="172"/>
        <v>322488.65000000002</v>
      </c>
      <c r="P1370" s="25">
        <v>4822.43</v>
      </c>
      <c r="Q1370" s="25">
        <f t="shared" si="173"/>
        <v>265233.65000000002</v>
      </c>
      <c r="R1370" s="25">
        <f t="shared" si="174"/>
        <v>57255</v>
      </c>
      <c r="S1370" s="26">
        <f t="shared" si="175"/>
        <v>0.17754113206774874</v>
      </c>
    </row>
    <row r="1371" spans="1:19" ht="15" x14ac:dyDescent="0.2">
      <c r="A1371" s="23">
        <v>46013</v>
      </c>
      <c r="B1371">
        <f t="shared" si="168"/>
        <v>2025</v>
      </c>
      <c r="C1371">
        <f t="shared" si="169"/>
        <v>12</v>
      </c>
      <c r="D1371" t="str">
        <f t="shared" si="170"/>
        <v>Diciembre</v>
      </c>
      <c r="E1371" t="str">
        <f t="shared" si="171"/>
        <v>T4</v>
      </c>
      <c r="F1371" t="s">
        <v>1498</v>
      </c>
      <c r="G1371" t="s">
        <v>68</v>
      </c>
      <c r="H1371" t="s">
        <v>62</v>
      </c>
      <c r="I1371" t="s">
        <v>69</v>
      </c>
      <c r="J1371" t="s">
        <v>125</v>
      </c>
      <c r="K1371" t="s">
        <v>126</v>
      </c>
      <c r="L1371" t="s">
        <v>131</v>
      </c>
      <c r="M1371" s="24">
        <v>126</v>
      </c>
      <c r="N1371" s="25">
        <v>3186.72</v>
      </c>
      <c r="O1371" s="25">
        <f t="shared" si="172"/>
        <v>401526.72</v>
      </c>
      <c r="P1371" s="25">
        <v>2604.86</v>
      </c>
      <c r="Q1371" s="25">
        <f t="shared" si="173"/>
        <v>328212.36000000004</v>
      </c>
      <c r="R1371" s="25">
        <f t="shared" si="174"/>
        <v>73314.359999999928</v>
      </c>
      <c r="S1371" s="26">
        <f t="shared" si="175"/>
        <v>0.18258899432645462</v>
      </c>
    </row>
    <row r="1372" spans="1:19" ht="15" x14ac:dyDescent="0.2">
      <c r="A1372" s="23">
        <v>46013</v>
      </c>
      <c r="B1372">
        <f t="shared" si="168"/>
        <v>2025</v>
      </c>
      <c r="C1372">
        <f t="shared" si="169"/>
        <v>12</v>
      </c>
      <c r="D1372" t="str">
        <f t="shared" si="170"/>
        <v>Diciembre</v>
      </c>
      <c r="E1372" t="str">
        <f t="shared" si="171"/>
        <v>T4</v>
      </c>
      <c r="F1372" t="s">
        <v>1499</v>
      </c>
      <c r="G1372" t="s">
        <v>68</v>
      </c>
      <c r="H1372" t="s">
        <v>62</v>
      </c>
      <c r="I1372" t="s">
        <v>69</v>
      </c>
      <c r="J1372" t="s">
        <v>70</v>
      </c>
      <c r="K1372" t="s">
        <v>71</v>
      </c>
      <c r="L1372" t="s">
        <v>72</v>
      </c>
      <c r="M1372" s="24">
        <v>169</v>
      </c>
      <c r="N1372" s="25">
        <v>3018.11</v>
      </c>
      <c r="O1372" s="25">
        <f t="shared" si="172"/>
        <v>510060.59</v>
      </c>
      <c r="P1372" s="25">
        <v>2601.66</v>
      </c>
      <c r="Q1372" s="25">
        <f t="shared" si="173"/>
        <v>439680.54</v>
      </c>
      <c r="R1372" s="25">
        <f t="shared" si="174"/>
        <v>70380.050000000047</v>
      </c>
      <c r="S1372" s="26">
        <f t="shared" si="175"/>
        <v>0.13798370503394516</v>
      </c>
    </row>
    <row r="1373" spans="1:19" ht="15" x14ac:dyDescent="0.2">
      <c r="A1373" s="23">
        <v>46013</v>
      </c>
      <c r="B1373">
        <f t="shared" si="168"/>
        <v>2025</v>
      </c>
      <c r="C1373">
        <f t="shared" si="169"/>
        <v>12</v>
      </c>
      <c r="D1373" t="str">
        <f t="shared" si="170"/>
        <v>Diciembre</v>
      </c>
      <c r="E1373" t="str">
        <f t="shared" si="171"/>
        <v>T4</v>
      </c>
      <c r="F1373" t="s">
        <v>1500</v>
      </c>
      <c r="G1373" t="s">
        <v>188</v>
      </c>
      <c r="H1373" t="s">
        <v>88</v>
      </c>
      <c r="I1373" t="s">
        <v>189</v>
      </c>
      <c r="J1373" t="s">
        <v>77</v>
      </c>
      <c r="K1373" t="s">
        <v>78</v>
      </c>
      <c r="L1373" t="s">
        <v>117</v>
      </c>
      <c r="M1373" s="24">
        <v>5</v>
      </c>
      <c r="N1373" s="25">
        <v>88481.1</v>
      </c>
      <c r="O1373" s="25">
        <f t="shared" si="172"/>
        <v>442405.5</v>
      </c>
      <c r="P1373" s="25">
        <v>46183.18</v>
      </c>
      <c r="Q1373" s="25">
        <f t="shared" si="173"/>
        <v>230915.9</v>
      </c>
      <c r="R1373" s="25">
        <f t="shared" si="174"/>
        <v>211489.6</v>
      </c>
      <c r="S1373" s="26">
        <f t="shared" si="175"/>
        <v>0.47804468976990566</v>
      </c>
    </row>
    <row r="1374" spans="1:19" ht="15" x14ac:dyDescent="0.2">
      <c r="A1374" s="23">
        <v>46013</v>
      </c>
      <c r="B1374">
        <f t="shared" si="168"/>
        <v>2025</v>
      </c>
      <c r="C1374">
        <f t="shared" si="169"/>
        <v>12</v>
      </c>
      <c r="D1374" t="str">
        <f t="shared" si="170"/>
        <v>Diciembre</v>
      </c>
      <c r="E1374" t="str">
        <f t="shared" si="171"/>
        <v>T4</v>
      </c>
      <c r="F1374" t="s">
        <v>1501</v>
      </c>
      <c r="G1374" t="s">
        <v>144</v>
      </c>
      <c r="H1374" t="s">
        <v>88</v>
      </c>
      <c r="I1374" t="s">
        <v>145</v>
      </c>
      <c r="J1374" t="s">
        <v>57</v>
      </c>
      <c r="K1374" t="s">
        <v>81</v>
      </c>
      <c r="L1374" t="s">
        <v>129</v>
      </c>
      <c r="M1374" s="24">
        <v>56</v>
      </c>
      <c r="N1374" s="25">
        <v>12937.03</v>
      </c>
      <c r="O1374" s="25">
        <f t="shared" si="172"/>
        <v>724473.68</v>
      </c>
      <c r="P1374" s="25">
        <v>7047.96</v>
      </c>
      <c r="Q1374" s="25">
        <f t="shared" si="173"/>
        <v>394685.76</v>
      </c>
      <c r="R1374" s="25">
        <f t="shared" si="174"/>
        <v>329787.92000000004</v>
      </c>
      <c r="S1374" s="26">
        <f t="shared" si="175"/>
        <v>0.45521035353554878</v>
      </c>
    </row>
    <row r="1375" spans="1:19" ht="15" x14ac:dyDescent="0.2">
      <c r="A1375" s="23">
        <v>46013</v>
      </c>
      <c r="B1375">
        <f t="shared" si="168"/>
        <v>2025</v>
      </c>
      <c r="C1375">
        <f t="shared" si="169"/>
        <v>12</v>
      </c>
      <c r="D1375" t="str">
        <f t="shared" si="170"/>
        <v>Diciembre</v>
      </c>
      <c r="E1375" t="str">
        <f t="shared" si="171"/>
        <v>T4</v>
      </c>
      <c r="F1375" t="s">
        <v>1502</v>
      </c>
      <c r="G1375" t="s">
        <v>92</v>
      </c>
      <c r="H1375" t="s">
        <v>93</v>
      </c>
      <c r="I1375" t="s">
        <v>94</v>
      </c>
      <c r="J1375" t="s">
        <v>64</v>
      </c>
      <c r="K1375" t="s">
        <v>96</v>
      </c>
      <c r="L1375" t="s">
        <v>97</v>
      </c>
      <c r="M1375" s="24">
        <v>16</v>
      </c>
      <c r="N1375" s="25">
        <v>20199.88</v>
      </c>
      <c r="O1375" s="25">
        <f t="shared" si="172"/>
        <v>323198.08000000002</v>
      </c>
      <c r="P1375" s="25">
        <v>12289.2</v>
      </c>
      <c r="Q1375" s="25">
        <f t="shared" si="173"/>
        <v>196627.20000000001</v>
      </c>
      <c r="R1375" s="25">
        <f t="shared" si="174"/>
        <v>126570.88</v>
      </c>
      <c r="S1375" s="26">
        <f t="shared" si="175"/>
        <v>0.39162014823850438</v>
      </c>
    </row>
    <row r="1376" spans="1:19" ht="15" x14ac:dyDescent="0.2">
      <c r="A1376" s="23">
        <v>46014</v>
      </c>
      <c r="B1376">
        <f t="shared" si="168"/>
        <v>2025</v>
      </c>
      <c r="C1376">
        <f t="shared" si="169"/>
        <v>12</v>
      </c>
      <c r="D1376" t="str">
        <f t="shared" si="170"/>
        <v>Diciembre</v>
      </c>
      <c r="E1376" t="str">
        <f t="shared" si="171"/>
        <v>T4</v>
      </c>
      <c r="F1376" t="s">
        <v>1503</v>
      </c>
      <c r="G1376" t="s">
        <v>54</v>
      </c>
      <c r="H1376" t="s">
        <v>55</v>
      </c>
      <c r="I1376" t="s">
        <v>56</v>
      </c>
      <c r="J1376" t="s">
        <v>125</v>
      </c>
      <c r="K1376" t="s">
        <v>138</v>
      </c>
      <c r="L1376" t="s">
        <v>139</v>
      </c>
      <c r="M1376" s="24">
        <v>11</v>
      </c>
      <c r="N1376" s="25">
        <v>53601.43</v>
      </c>
      <c r="O1376" s="25">
        <f t="shared" si="172"/>
        <v>589615.73</v>
      </c>
      <c r="P1376" s="25">
        <v>40291.4</v>
      </c>
      <c r="Q1376" s="25">
        <f t="shared" si="173"/>
        <v>443205.4</v>
      </c>
      <c r="R1376" s="25">
        <f t="shared" si="174"/>
        <v>146410.32999999996</v>
      </c>
      <c r="S1376" s="26">
        <f t="shared" si="175"/>
        <v>0.24831483040657679</v>
      </c>
    </row>
    <row r="1377" spans="1:19" ht="15" x14ac:dyDescent="0.2">
      <c r="A1377" s="23">
        <v>46014</v>
      </c>
      <c r="B1377">
        <f t="shared" si="168"/>
        <v>2025</v>
      </c>
      <c r="C1377">
        <f t="shared" si="169"/>
        <v>12</v>
      </c>
      <c r="D1377" t="str">
        <f t="shared" si="170"/>
        <v>Diciembre</v>
      </c>
      <c r="E1377" t="str">
        <f t="shared" si="171"/>
        <v>T4</v>
      </c>
      <c r="F1377" t="s">
        <v>1504</v>
      </c>
      <c r="G1377" t="s">
        <v>54</v>
      </c>
      <c r="H1377" t="s">
        <v>55</v>
      </c>
      <c r="I1377" t="s">
        <v>56</v>
      </c>
      <c r="J1377" t="s">
        <v>70</v>
      </c>
      <c r="K1377" t="s">
        <v>84</v>
      </c>
      <c r="L1377" t="s">
        <v>147</v>
      </c>
      <c r="M1377" s="24">
        <v>21</v>
      </c>
      <c r="N1377" s="25">
        <v>52685.41</v>
      </c>
      <c r="O1377" s="25">
        <f t="shared" si="172"/>
        <v>1106393.6100000001</v>
      </c>
      <c r="P1377" s="25">
        <v>42008.4</v>
      </c>
      <c r="Q1377" s="25">
        <f t="shared" si="173"/>
        <v>882176.4</v>
      </c>
      <c r="R1377" s="25">
        <f t="shared" si="174"/>
        <v>224217.21000000008</v>
      </c>
      <c r="S1377" s="26">
        <f t="shared" si="175"/>
        <v>0.20265591555612841</v>
      </c>
    </row>
    <row r="1378" spans="1:19" ht="15" x14ac:dyDescent="0.2">
      <c r="A1378" s="23">
        <v>46014</v>
      </c>
      <c r="B1378">
        <f t="shared" si="168"/>
        <v>2025</v>
      </c>
      <c r="C1378">
        <f t="shared" si="169"/>
        <v>12</v>
      </c>
      <c r="D1378" t="str">
        <f t="shared" si="170"/>
        <v>Diciembre</v>
      </c>
      <c r="E1378" t="str">
        <f t="shared" si="171"/>
        <v>T4</v>
      </c>
      <c r="F1378" t="s">
        <v>1505</v>
      </c>
      <c r="G1378" t="s">
        <v>114</v>
      </c>
      <c r="H1378" t="s">
        <v>75</v>
      </c>
      <c r="I1378" t="s">
        <v>115</v>
      </c>
      <c r="J1378" t="s">
        <v>125</v>
      </c>
      <c r="K1378" t="s">
        <v>126</v>
      </c>
      <c r="L1378" t="s">
        <v>131</v>
      </c>
      <c r="M1378" s="24">
        <v>5</v>
      </c>
      <c r="N1378" s="25">
        <v>93955.73</v>
      </c>
      <c r="O1378" s="25">
        <f t="shared" si="172"/>
        <v>469778.64999999997</v>
      </c>
      <c r="P1378" s="25">
        <v>64816.4</v>
      </c>
      <c r="Q1378" s="25">
        <f t="shared" si="173"/>
        <v>324082</v>
      </c>
      <c r="R1378" s="25">
        <f t="shared" si="174"/>
        <v>145696.64999999997</v>
      </c>
      <c r="S1378" s="26">
        <f t="shared" si="175"/>
        <v>0.31013893458121178</v>
      </c>
    </row>
    <row r="1379" spans="1:19" ht="15" x14ac:dyDescent="0.2">
      <c r="A1379" s="23">
        <v>46015</v>
      </c>
      <c r="B1379">
        <f t="shared" si="168"/>
        <v>2025</v>
      </c>
      <c r="C1379">
        <f t="shared" si="169"/>
        <v>12</v>
      </c>
      <c r="D1379" t="str">
        <f t="shared" si="170"/>
        <v>Diciembre</v>
      </c>
      <c r="E1379" t="str">
        <f t="shared" si="171"/>
        <v>T4</v>
      </c>
      <c r="F1379" t="s">
        <v>1506</v>
      </c>
      <c r="G1379" t="s">
        <v>54</v>
      </c>
      <c r="H1379" t="s">
        <v>55</v>
      </c>
      <c r="I1379" t="s">
        <v>56</v>
      </c>
      <c r="J1379" t="s">
        <v>64</v>
      </c>
      <c r="K1379" t="s">
        <v>65</v>
      </c>
      <c r="L1379" t="s">
        <v>66</v>
      </c>
      <c r="M1379" s="24">
        <v>8</v>
      </c>
      <c r="N1379" s="25">
        <v>55894.73</v>
      </c>
      <c r="O1379" s="25">
        <f t="shared" si="172"/>
        <v>447157.84</v>
      </c>
      <c r="P1379" s="25">
        <v>43726.59</v>
      </c>
      <c r="Q1379" s="25">
        <f t="shared" si="173"/>
        <v>349812.72</v>
      </c>
      <c r="R1379" s="25">
        <f t="shared" si="174"/>
        <v>97345.120000000054</v>
      </c>
      <c r="S1379" s="26">
        <f t="shared" si="175"/>
        <v>0.21769744661079865</v>
      </c>
    </row>
    <row r="1380" spans="1:19" ht="15" x14ac:dyDescent="0.2">
      <c r="A1380" s="23">
        <v>46015</v>
      </c>
      <c r="B1380">
        <f t="shared" si="168"/>
        <v>2025</v>
      </c>
      <c r="C1380">
        <f t="shared" si="169"/>
        <v>12</v>
      </c>
      <c r="D1380" t="str">
        <f t="shared" si="170"/>
        <v>Diciembre</v>
      </c>
      <c r="E1380" t="str">
        <f t="shared" si="171"/>
        <v>T4</v>
      </c>
      <c r="F1380" t="s">
        <v>1507</v>
      </c>
      <c r="G1380" t="s">
        <v>206</v>
      </c>
      <c r="H1380" t="s">
        <v>93</v>
      </c>
      <c r="I1380" t="s">
        <v>207</v>
      </c>
      <c r="J1380" t="s">
        <v>64</v>
      </c>
      <c r="K1380" t="s">
        <v>65</v>
      </c>
      <c r="L1380" t="s">
        <v>123</v>
      </c>
      <c r="M1380" s="24">
        <v>4</v>
      </c>
      <c r="N1380" s="25">
        <v>101909.85</v>
      </c>
      <c r="O1380" s="25">
        <f t="shared" si="172"/>
        <v>407639.4</v>
      </c>
      <c r="P1380" s="25">
        <v>61770.01</v>
      </c>
      <c r="Q1380" s="25">
        <f t="shared" si="173"/>
        <v>247080.04</v>
      </c>
      <c r="R1380" s="25">
        <f t="shared" si="174"/>
        <v>160559.36000000002</v>
      </c>
      <c r="S1380" s="26">
        <f t="shared" si="175"/>
        <v>0.39387595997835345</v>
      </c>
    </row>
    <row r="1381" spans="1:19" ht="15" x14ac:dyDescent="0.2">
      <c r="A1381" s="23">
        <v>46015</v>
      </c>
      <c r="B1381">
        <f t="shared" si="168"/>
        <v>2025</v>
      </c>
      <c r="C1381">
        <f t="shared" si="169"/>
        <v>12</v>
      </c>
      <c r="D1381" t="str">
        <f t="shared" si="170"/>
        <v>Diciembre</v>
      </c>
      <c r="E1381" t="str">
        <f t="shared" si="171"/>
        <v>T4</v>
      </c>
      <c r="F1381" t="s">
        <v>1508</v>
      </c>
      <c r="G1381" t="s">
        <v>149</v>
      </c>
      <c r="H1381" t="s">
        <v>93</v>
      </c>
      <c r="I1381" t="s">
        <v>150</v>
      </c>
      <c r="J1381" t="s">
        <v>57</v>
      </c>
      <c r="K1381" t="s">
        <v>81</v>
      </c>
      <c r="L1381" t="s">
        <v>82</v>
      </c>
      <c r="M1381" s="24">
        <v>9</v>
      </c>
      <c r="N1381" s="25">
        <v>46787.78</v>
      </c>
      <c r="O1381" s="25">
        <f t="shared" si="172"/>
        <v>421090.02</v>
      </c>
      <c r="P1381" s="25">
        <v>26567.040000000001</v>
      </c>
      <c r="Q1381" s="25">
        <f t="shared" si="173"/>
        <v>239103.36000000002</v>
      </c>
      <c r="R1381" s="25">
        <f t="shared" si="174"/>
        <v>181986.66</v>
      </c>
      <c r="S1381" s="26">
        <f t="shared" si="175"/>
        <v>0.43217994100168888</v>
      </c>
    </row>
    <row r="1382" spans="1:19" ht="15" x14ac:dyDescent="0.2">
      <c r="A1382" s="23">
        <v>46015</v>
      </c>
      <c r="B1382">
        <f t="shared" si="168"/>
        <v>2025</v>
      </c>
      <c r="C1382">
        <f t="shared" si="169"/>
        <v>12</v>
      </c>
      <c r="D1382" t="str">
        <f t="shared" si="170"/>
        <v>Diciembre</v>
      </c>
      <c r="E1382" t="str">
        <f t="shared" si="171"/>
        <v>T4</v>
      </c>
      <c r="F1382" t="s">
        <v>1509</v>
      </c>
      <c r="G1382" t="s">
        <v>149</v>
      </c>
      <c r="H1382" t="s">
        <v>93</v>
      </c>
      <c r="I1382" t="s">
        <v>150</v>
      </c>
      <c r="J1382" t="s">
        <v>57</v>
      </c>
      <c r="K1382" t="s">
        <v>58</v>
      </c>
      <c r="L1382" t="s">
        <v>59</v>
      </c>
      <c r="M1382" s="24">
        <v>3</v>
      </c>
      <c r="N1382" s="25">
        <v>43148.57</v>
      </c>
      <c r="O1382" s="25">
        <f t="shared" si="172"/>
        <v>129445.70999999999</v>
      </c>
      <c r="P1382" s="25">
        <v>25571.200000000001</v>
      </c>
      <c r="Q1382" s="25">
        <f t="shared" si="173"/>
        <v>76713.600000000006</v>
      </c>
      <c r="R1382" s="25">
        <f t="shared" si="174"/>
        <v>52732.109999999986</v>
      </c>
      <c r="S1382" s="26">
        <f t="shared" si="175"/>
        <v>0.40736854083460927</v>
      </c>
    </row>
    <row r="1383" spans="1:19" ht="15" x14ac:dyDescent="0.2">
      <c r="A1383" s="23">
        <v>46016</v>
      </c>
      <c r="B1383">
        <f t="shared" si="168"/>
        <v>2025</v>
      </c>
      <c r="C1383">
        <f t="shared" si="169"/>
        <v>12</v>
      </c>
      <c r="D1383" t="str">
        <f t="shared" si="170"/>
        <v>Diciembre</v>
      </c>
      <c r="E1383" t="str">
        <f t="shared" si="171"/>
        <v>T4</v>
      </c>
      <c r="F1383" t="s">
        <v>1510</v>
      </c>
      <c r="G1383" t="s">
        <v>54</v>
      </c>
      <c r="H1383" t="s">
        <v>55</v>
      </c>
      <c r="I1383" t="s">
        <v>56</v>
      </c>
      <c r="J1383" t="s">
        <v>77</v>
      </c>
      <c r="K1383" t="s">
        <v>78</v>
      </c>
      <c r="L1383" t="s">
        <v>79</v>
      </c>
      <c r="M1383" s="24">
        <v>20</v>
      </c>
      <c r="N1383" s="25">
        <v>57098.98</v>
      </c>
      <c r="O1383" s="25">
        <f t="shared" si="172"/>
        <v>1141979.6000000001</v>
      </c>
      <c r="P1383" s="25">
        <v>42028.33</v>
      </c>
      <c r="Q1383" s="25">
        <f t="shared" si="173"/>
        <v>840566.60000000009</v>
      </c>
      <c r="R1383" s="25">
        <f t="shared" si="174"/>
        <v>301413</v>
      </c>
      <c r="S1383" s="26">
        <f t="shared" si="175"/>
        <v>0.26393904059231876</v>
      </c>
    </row>
    <row r="1384" spans="1:19" ht="15" x14ac:dyDescent="0.2">
      <c r="A1384" s="23">
        <v>46016</v>
      </c>
      <c r="B1384">
        <f t="shared" si="168"/>
        <v>2025</v>
      </c>
      <c r="C1384">
        <f t="shared" si="169"/>
        <v>12</v>
      </c>
      <c r="D1384" t="str">
        <f t="shared" si="170"/>
        <v>Diciembre</v>
      </c>
      <c r="E1384" t="str">
        <f t="shared" si="171"/>
        <v>T4</v>
      </c>
      <c r="F1384" t="s">
        <v>1511</v>
      </c>
      <c r="G1384" t="s">
        <v>110</v>
      </c>
      <c r="H1384" t="s">
        <v>62</v>
      </c>
      <c r="I1384" t="s">
        <v>69</v>
      </c>
      <c r="J1384" t="s">
        <v>64</v>
      </c>
      <c r="K1384" t="s">
        <v>96</v>
      </c>
      <c r="L1384" t="s">
        <v>97</v>
      </c>
      <c r="M1384" s="24">
        <v>96</v>
      </c>
      <c r="N1384" s="25">
        <v>6475.29</v>
      </c>
      <c r="O1384" s="25">
        <f t="shared" si="172"/>
        <v>621627.84</v>
      </c>
      <c r="P1384" s="25">
        <v>5377.64</v>
      </c>
      <c r="Q1384" s="25">
        <f t="shared" si="173"/>
        <v>516253.44000000006</v>
      </c>
      <c r="R1384" s="25">
        <f t="shared" si="174"/>
        <v>105374.39999999991</v>
      </c>
      <c r="S1384" s="26">
        <f t="shared" si="175"/>
        <v>0.16951364340438793</v>
      </c>
    </row>
    <row r="1385" spans="1:19" ht="15" x14ac:dyDescent="0.2">
      <c r="A1385" s="23">
        <v>46016</v>
      </c>
      <c r="B1385">
        <f t="shared" si="168"/>
        <v>2025</v>
      </c>
      <c r="C1385">
        <f t="shared" si="169"/>
        <v>12</v>
      </c>
      <c r="D1385" t="str">
        <f t="shared" si="170"/>
        <v>Diciembre</v>
      </c>
      <c r="E1385" t="str">
        <f t="shared" si="171"/>
        <v>T4</v>
      </c>
      <c r="F1385" t="s">
        <v>1512</v>
      </c>
      <c r="G1385" t="s">
        <v>92</v>
      </c>
      <c r="H1385" t="s">
        <v>93</v>
      </c>
      <c r="I1385" t="s">
        <v>94</v>
      </c>
      <c r="J1385" t="s">
        <v>70</v>
      </c>
      <c r="K1385" t="s">
        <v>71</v>
      </c>
      <c r="L1385" t="s">
        <v>72</v>
      </c>
      <c r="M1385" s="24">
        <v>6</v>
      </c>
      <c r="N1385" s="25">
        <v>18018.23</v>
      </c>
      <c r="O1385" s="25">
        <f t="shared" si="172"/>
        <v>108109.38</v>
      </c>
      <c r="P1385" s="25">
        <v>11019.48</v>
      </c>
      <c r="Q1385" s="25">
        <f t="shared" si="173"/>
        <v>66116.88</v>
      </c>
      <c r="R1385" s="25">
        <f t="shared" si="174"/>
        <v>41992.5</v>
      </c>
      <c r="S1385" s="26">
        <f t="shared" si="175"/>
        <v>0.38842605516746093</v>
      </c>
    </row>
    <row r="1386" spans="1:19" ht="15" x14ac:dyDescent="0.2">
      <c r="A1386" s="23">
        <v>46017</v>
      </c>
      <c r="B1386">
        <f t="shared" si="168"/>
        <v>2025</v>
      </c>
      <c r="C1386">
        <f t="shared" si="169"/>
        <v>12</v>
      </c>
      <c r="D1386" t="str">
        <f t="shared" si="170"/>
        <v>Diciembre</v>
      </c>
      <c r="E1386" t="str">
        <f t="shared" si="171"/>
        <v>T4</v>
      </c>
      <c r="F1386" t="s">
        <v>1513</v>
      </c>
      <c r="G1386" t="s">
        <v>183</v>
      </c>
      <c r="H1386" t="s">
        <v>55</v>
      </c>
      <c r="I1386" t="s">
        <v>184</v>
      </c>
      <c r="J1386" t="s">
        <v>57</v>
      </c>
      <c r="K1386" t="s">
        <v>58</v>
      </c>
      <c r="L1386" t="s">
        <v>59</v>
      </c>
      <c r="M1386" s="24">
        <v>2</v>
      </c>
      <c r="N1386" s="25">
        <v>405588.35</v>
      </c>
      <c r="O1386" s="25">
        <f t="shared" si="172"/>
        <v>811176.7</v>
      </c>
      <c r="P1386" s="25">
        <v>309009.19</v>
      </c>
      <c r="Q1386" s="25">
        <f t="shared" si="173"/>
        <v>618018.38</v>
      </c>
      <c r="R1386" s="25">
        <f t="shared" si="174"/>
        <v>193158.31999999995</v>
      </c>
      <c r="S1386" s="26">
        <f t="shared" si="175"/>
        <v>0.23812113932759651</v>
      </c>
    </row>
    <row r="1387" spans="1:19" ht="15" x14ac:dyDescent="0.2">
      <c r="A1387" s="23">
        <v>46017</v>
      </c>
      <c r="B1387">
        <f t="shared" si="168"/>
        <v>2025</v>
      </c>
      <c r="C1387">
        <f t="shared" si="169"/>
        <v>12</v>
      </c>
      <c r="D1387" t="str">
        <f t="shared" si="170"/>
        <v>Diciembre</v>
      </c>
      <c r="E1387" t="str">
        <f t="shared" si="171"/>
        <v>T4</v>
      </c>
      <c r="F1387" t="s">
        <v>1514</v>
      </c>
      <c r="G1387" t="s">
        <v>61</v>
      </c>
      <c r="H1387" t="s">
        <v>62</v>
      </c>
      <c r="I1387" t="s">
        <v>63</v>
      </c>
      <c r="J1387" t="s">
        <v>64</v>
      </c>
      <c r="K1387" t="s">
        <v>65</v>
      </c>
      <c r="L1387" t="s">
        <v>123</v>
      </c>
      <c r="M1387" s="24">
        <v>253</v>
      </c>
      <c r="N1387" s="25">
        <v>5747.48</v>
      </c>
      <c r="O1387" s="25">
        <f t="shared" si="172"/>
        <v>1454112.44</v>
      </c>
      <c r="P1387" s="25">
        <v>4806.5600000000004</v>
      </c>
      <c r="Q1387" s="25">
        <f t="shared" si="173"/>
        <v>1216059.6800000002</v>
      </c>
      <c r="R1387" s="25">
        <f t="shared" si="174"/>
        <v>238052.75999999978</v>
      </c>
      <c r="S1387" s="26">
        <f t="shared" si="175"/>
        <v>0.16371000856027323</v>
      </c>
    </row>
    <row r="1388" spans="1:19" ht="15" x14ac:dyDescent="0.2">
      <c r="A1388" s="23">
        <v>46018</v>
      </c>
      <c r="B1388">
        <f t="shared" si="168"/>
        <v>2025</v>
      </c>
      <c r="C1388">
        <f t="shared" si="169"/>
        <v>12</v>
      </c>
      <c r="D1388" t="str">
        <f t="shared" si="170"/>
        <v>Diciembre</v>
      </c>
      <c r="E1388" t="str">
        <f t="shared" si="171"/>
        <v>T4</v>
      </c>
      <c r="F1388" t="s">
        <v>1515</v>
      </c>
      <c r="G1388" t="s">
        <v>149</v>
      </c>
      <c r="H1388" t="s">
        <v>93</v>
      </c>
      <c r="I1388" t="s">
        <v>150</v>
      </c>
      <c r="J1388" t="s">
        <v>125</v>
      </c>
      <c r="K1388" t="s">
        <v>126</v>
      </c>
      <c r="L1388" t="s">
        <v>127</v>
      </c>
      <c r="M1388" s="24">
        <v>2</v>
      </c>
      <c r="N1388" s="25">
        <v>49395.76</v>
      </c>
      <c r="O1388" s="25">
        <f t="shared" si="172"/>
        <v>98791.52</v>
      </c>
      <c r="P1388" s="25">
        <v>28976.639999999999</v>
      </c>
      <c r="Q1388" s="25">
        <f t="shared" si="173"/>
        <v>57953.279999999999</v>
      </c>
      <c r="R1388" s="25">
        <f t="shared" si="174"/>
        <v>40838.240000000005</v>
      </c>
      <c r="S1388" s="26">
        <f t="shared" si="175"/>
        <v>0.41337799033763223</v>
      </c>
    </row>
    <row r="1389" spans="1:19" ht="15" x14ac:dyDescent="0.2">
      <c r="A1389" s="23">
        <v>46018</v>
      </c>
      <c r="B1389">
        <f t="shared" si="168"/>
        <v>2025</v>
      </c>
      <c r="C1389">
        <f t="shared" si="169"/>
        <v>12</v>
      </c>
      <c r="D1389" t="str">
        <f t="shared" si="170"/>
        <v>Diciembre</v>
      </c>
      <c r="E1389" t="str">
        <f t="shared" si="171"/>
        <v>T4</v>
      </c>
      <c r="F1389" t="s">
        <v>1516</v>
      </c>
      <c r="G1389" t="s">
        <v>92</v>
      </c>
      <c r="H1389" t="s">
        <v>93</v>
      </c>
      <c r="I1389" t="s">
        <v>94</v>
      </c>
      <c r="J1389" t="s">
        <v>70</v>
      </c>
      <c r="K1389" t="s">
        <v>71</v>
      </c>
      <c r="L1389" t="s">
        <v>72</v>
      </c>
      <c r="M1389" s="24">
        <v>9</v>
      </c>
      <c r="N1389" s="25">
        <v>18638.14</v>
      </c>
      <c r="O1389" s="25">
        <f t="shared" si="172"/>
        <v>167743.26</v>
      </c>
      <c r="P1389" s="25">
        <v>11437.05</v>
      </c>
      <c r="Q1389" s="25">
        <f t="shared" si="173"/>
        <v>102933.45</v>
      </c>
      <c r="R1389" s="25">
        <f t="shared" si="174"/>
        <v>64809.810000000012</v>
      </c>
      <c r="S1389" s="26">
        <f t="shared" si="175"/>
        <v>0.38636312421733077</v>
      </c>
    </row>
    <row r="1390" spans="1:19" ht="15" x14ac:dyDescent="0.2">
      <c r="A1390" s="23">
        <v>46019</v>
      </c>
      <c r="B1390">
        <f t="shared" si="168"/>
        <v>2025</v>
      </c>
      <c r="C1390">
        <f t="shared" si="169"/>
        <v>12</v>
      </c>
      <c r="D1390" t="str">
        <f t="shared" si="170"/>
        <v>Diciembre</v>
      </c>
      <c r="E1390" t="str">
        <f t="shared" si="171"/>
        <v>T4</v>
      </c>
      <c r="F1390" t="s">
        <v>1517</v>
      </c>
      <c r="G1390" t="s">
        <v>92</v>
      </c>
      <c r="H1390" t="s">
        <v>93</v>
      </c>
      <c r="I1390" t="s">
        <v>94</v>
      </c>
      <c r="J1390" t="s">
        <v>64</v>
      </c>
      <c r="K1390" t="s">
        <v>96</v>
      </c>
      <c r="L1390" t="s">
        <v>97</v>
      </c>
      <c r="M1390" s="24">
        <v>29</v>
      </c>
      <c r="N1390" s="25">
        <v>20263.52</v>
      </c>
      <c r="O1390" s="25">
        <f t="shared" si="172"/>
        <v>587642.07999999996</v>
      </c>
      <c r="P1390" s="25">
        <v>12168.7</v>
      </c>
      <c r="Q1390" s="25">
        <f t="shared" si="173"/>
        <v>352892.30000000005</v>
      </c>
      <c r="R1390" s="25">
        <f t="shared" si="174"/>
        <v>234749.77999999991</v>
      </c>
      <c r="S1390" s="26">
        <f t="shared" si="175"/>
        <v>0.39947748466209215</v>
      </c>
    </row>
    <row r="1391" spans="1:19" ht="15" x14ac:dyDescent="0.2">
      <c r="A1391" s="23">
        <v>46023</v>
      </c>
      <c r="B1391">
        <f t="shared" si="168"/>
        <v>2026</v>
      </c>
      <c r="C1391">
        <f t="shared" si="169"/>
        <v>1</v>
      </c>
      <c r="D1391" t="str">
        <f t="shared" si="170"/>
        <v>Enero</v>
      </c>
      <c r="E1391" t="str">
        <f t="shared" si="171"/>
        <v>T1</v>
      </c>
      <c r="F1391" t="s">
        <v>1518</v>
      </c>
      <c r="G1391" t="s">
        <v>54</v>
      </c>
      <c r="H1391" t="s">
        <v>55</v>
      </c>
      <c r="I1391" t="s">
        <v>56</v>
      </c>
      <c r="J1391" t="s">
        <v>77</v>
      </c>
      <c r="K1391" t="s">
        <v>107</v>
      </c>
      <c r="L1391" t="s">
        <v>112</v>
      </c>
      <c r="M1391" s="24">
        <v>8</v>
      </c>
      <c r="N1391" s="25">
        <v>61150.41</v>
      </c>
      <c r="O1391" s="25">
        <f t="shared" si="172"/>
        <v>489203.28</v>
      </c>
      <c r="P1391" s="25">
        <v>44232.62</v>
      </c>
      <c r="Q1391" s="25">
        <f t="shared" si="173"/>
        <v>353860.96</v>
      </c>
      <c r="R1391" s="25">
        <f t="shared" si="174"/>
        <v>135342.32</v>
      </c>
      <c r="S1391" s="26">
        <f t="shared" si="175"/>
        <v>0.27665865200249679</v>
      </c>
    </row>
    <row r="1392" spans="1:19" ht="15" x14ac:dyDescent="0.2">
      <c r="A1392" s="23">
        <v>46023</v>
      </c>
      <c r="B1392">
        <f t="shared" si="168"/>
        <v>2026</v>
      </c>
      <c r="C1392">
        <f t="shared" si="169"/>
        <v>1</v>
      </c>
      <c r="D1392" t="str">
        <f t="shared" si="170"/>
        <v>Enero</v>
      </c>
      <c r="E1392" t="str">
        <f t="shared" si="171"/>
        <v>T1</v>
      </c>
      <c r="F1392" t="s">
        <v>1519</v>
      </c>
      <c r="G1392" t="s">
        <v>68</v>
      </c>
      <c r="H1392" t="s">
        <v>62</v>
      </c>
      <c r="I1392" t="s">
        <v>69</v>
      </c>
      <c r="J1392" t="s">
        <v>57</v>
      </c>
      <c r="K1392" t="s">
        <v>58</v>
      </c>
      <c r="L1392" t="s">
        <v>59</v>
      </c>
      <c r="M1392" s="24">
        <v>140</v>
      </c>
      <c r="N1392" s="25">
        <v>3173.78</v>
      </c>
      <c r="O1392" s="25">
        <f t="shared" si="172"/>
        <v>444329.2</v>
      </c>
      <c r="P1392" s="25">
        <v>2604.64</v>
      </c>
      <c r="Q1392" s="25">
        <f t="shared" si="173"/>
        <v>364649.6</v>
      </c>
      <c r="R1392" s="25">
        <f t="shared" si="174"/>
        <v>79679.600000000035</v>
      </c>
      <c r="S1392" s="26">
        <f t="shared" si="175"/>
        <v>0.17932559912785392</v>
      </c>
    </row>
    <row r="1393" spans="1:19" ht="15" x14ac:dyDescent="0.2">
      <c r="A1393" s="23">
        <v>46023</v>
      </c>
      <c r="B1393">
        <f t="shared" si="168"/>
        <v>2026</v>
      </c>
      <c r="C1393">
        <f t="shared" si="169"/>
        <v>1</v>
      </c>
      <c r="D1393" t="str">
        <f t="shared" si="170"/>
        <v>Enero</v>
      </c>
      <c r="E1393" t="str">
        <f t="shared" si="171"/>
        <v>T1</v>
      </c>
      <c r="F1393" t="s">
        <v>1520</v>
      </c>
      <c r="G1393" t="s">
        <v>68</v>
      </c>
      <c r="H1393" t="s">
        <v>62</v>
      </c>
      <c r="I1393" t="s">
        <v>69</v>
      </c>
      <c r="J1393" t="s">
        <v>70</v>
      </c>
      <c r="K1393" t="s">
        <v>71</v>
      </c>
      <c r="L1393" t="s">
        <v>90</v>
      </c>
      <c r="M1393" s="24">
        <v>91</v>
      </c>
      <c r="N1393" s="25">
        <v>3007.76</v>
      </c>
      <c r="O1393" s="25">
        <f t="shared" si="172"/>
        <v>273706.16000000003</v>
      </c>
      <c r="P1393" s="25">
        <v>2596.69</v>
      </c>
      <c r="Q1393" s="25">
        <f t="shared" si="173"/>
        <v>236298.79</v>
      </c>
      <c r="R1393" s="25">
        <f t="shared" si="174"/>
        <v>37407.370000000024</v>
      </c>
      <c r="S1393" s="26">
        <f t="shared" si="175"/>
        <v>0.13666981408091078</v>
      </c>
    </row>
    <row r="1394" spans="1:19" ht="15" x14ac:dyDescent="0.2">
      <c r="A1394" s="23">
        <v>46023</v>
      </c>
      <c r="B1394">
        <f t="shared" si="168"/>
        <v>2026</v>
      </c>
      <c r="C1394">
        <f t="shared" si="169"/>
        <v>1</v>
      </c>
      <c r="D1394" t="str">
        <f t="shared" si="170"/>
        <v>Enero</v>
      </c>
      <c r="E1394" t="str">
        <f t="shared" si="171"/>
        <v>T1</v>
      </c>
      <c r="F1394" t="s">
        <v>1521</v>
      </c>
      <c r="G1394" t="s">
        <v>114</v>
      </c>
      <c r="H1394" t="s">
        <v>75</v>
      </c>
      <c r="I1394" t="s">
        <v>115</v>
      </c>
      <c r="J1394" t="s">
        <v>57</v>
      </c>
      <c r="K1394" t="s">
        <v>81</v>
      </c>
      <c r="L1394" t="s">
        <v>82</v>
      </c>
      <c r="M1394" s="24">
        <v>3</v>
      </c>
      <c r="N1394" s="25">
        <v>95197.26</v>
      </c>
      <c r="O1394" s="25">
        <f t="shared" si="172"/>
        <v>285591.77999999997</v>
      </c>
      <c r="P1394" s="25">
        <v>65580.899999999994</v>
      </c>
      <c r="Q1394" s="25">
        <f t="shared" si="173"/>
        <v>196742.69999999998</v>
      </c>
      <c r="R1394" s="25">
        <f t="shared" si="174"/>
        <v>88849.079999999987</v>
      </c>
      <c r="S1394" s="26">
        <f t="shared" si="175"/>
        <v>0.3111051725648406</v>
      </c>
    </row>
    <row r="1395" spans="1:19" ht="15" x14ac:dyDescent="0.2">
      <c r="A1395" s="23">
        <v>46023</v>
      </c>
      <c r="B1395">
        <f t="shared" si="168"/>
        <v>2026</v>
      </c>
      <c r="C1395">
        <f t="shared" si="169"/>
        <v>1</v>
      </c>
      <c r="D1395" t="str">
        <f t="shared" si="170"/>
        <v>Enero</v>
      </c>
      <c r="E1395" t="str">
        <f t="shared" si="171"/>
        <v>T1</v>
      </c>
      <c r="F1395" t="s">
        <v>1522</v>
      </c>
      <c r="G1395" t="s">
        <v>74</v>
      </c>
      <c r="H1395" t="s">
        <v>75</v>
      </c>
      <c r="I1395" t="s">
        <v>76</v>
      </c>
      <c r="J1395" t="s">
        <v>70</v>
      </c>
      <c r="K1395" t="s">
        <v>71</v>
      </c>
      <c r="L1395" t="s">
        <v>90</v>
      </c>
      <c r="M1395" s="24">
        <v>5</v>
      </c>
      <c r="N1395" s="25">
        <v>37839.370000000003</v>
      </c>
      <c r="O1395" s="25">
        <f t="shared" si="172"/>
        <v>189196.85</v>
      </c>
      <c r="P1395" s="25">
        <v>27465.46</v>
      </c>
      <c r="Q1395" s="25">
        <f t="shared" si="173"/>
        <v>137327.29999999999</v>
      </c>
      <c r="R1395" s="25">
        <f t="shared" si="174"/>
        <v>51869.550000000017</v>
      </c>
      <c r="S1395" s="26">
        <f t="shared" si="175"/>
        <v>0.27415652004777041</v>
      </c>
    </row>
    <row r="1396" spans="1:19" ht="15" x14ac:dyDescent="0.2">
      <c r="A1396" s="23">
        <v>46023</v>
      </c>
      <c r="B1396">
        <f t="shared" si="168"/>
        <v>2026</v>
      </c>
      <c r="C1396">
        <f t="shared" si="169"/>
        <v>1</v>
      </c>
      <c r="D1396" t="str">
        <f t="shared" si="170"/>
        <v>Enero</v>
      </c>
      <c r="E1396" t="str">
        <f t="shared" si="171"/>
        <v>T1</v>
      </c>
      <c r="F1396" t="s">
        <v>1523</v>
      </c>
      <c r="G1396" t="s">
        <v>100</v>
      </c>
      <c r="H1396" t="s">
        <v>88</v>
      </c>
      <c r="I1396" t="s">
        <v>101</v>
      </c>
      <c r="J1396" t="s">
        <v>125</v>
      </c>
      <c r="K1396" t="s">
        <v>126</v>
      </c>
      <c r="L1396" t="s">
        <v>127</v>
      </c>
      <c r="M1396" s="24">
        <v>4</v>
      </c>
      <c r="N1396" s="25">
        <v>33190.89</v>
      </c>
      <c r="O1396" s="25">
        <f t="shared" si="172"/>
        <v>132763.56</v>
      </c>
      <c r="P1396" s="25">
        <v>18534.2</v>
      </c>
      <c r="Q1396" s="25">
        <f t="shared" si="173"/>
        <v>74136.800000000003</v>
      </c>
      <c r="R1396" s="25">
        <f t="shared" si="174"/>
        <v>58626.759999999995</v>
      </c>
      <c r="S1396" s="26">
        <f t="shared" si="175"/>
        <v>0.44158773687599212</v>
      </c>
    </row>
    <row r="1397" spans="1:19" ht="15" x14ac:dyDescent="0.2">
      <c r="A1397" s="23">
        <v>46024</v>
      </c>
      <c r="B1397">
        <f t="shared" si="168"/>
        <v>2026</v>
      </c>
      <c r="C1397">
        <f t="shared" si="169"/>
        <v>1</v>
      </c>
      <c r="D1397" t="str">
        <f t="shared" si="170"/>
        <v>Enero</v>
      </c>
      <c r="E1397" t="str">
        <f t="shared" si="171"/>
        <v>T1</v>
      </c>
      <c r="F1397" t="s">
        <v>1524</v>
      </c>
      <c r="G1397" t="s">
        <v>54</v>
      </c>
      <c r="H1397" t="s">
        <v>55</v>
      </c>
      <c r="I1397" t="s">
        <v>56</v>
      </c>
      <c r="J1397" t="s">
        <v>57</v>
      </c>
      <c r="K1397" t="s">
        <v>58</v>
      </c>
      <c r="L1397" t="s">
        <v>162</v>
      </c>
      <c r="M1397" s="24">
        <v>11</v>
      </c>
      <c r="N1397" s="25">
        <v>53160.28</v>
      </c>
      <c r="O1397" s="25">
        <f t="shared" si="172"/>
        <v>584763.07999999996</v>
      </c>
      <c r="P1397" s="25">
        <v>41013.879999999997</v>
      </c>
      <c r="Q1397" s="25">
        <f t="shared" si="173"/>
        <v>451152.68</v>
      </c>
      <c r="R1397" s="25">
        <f t="shared" si="174"/>
        <v>133610.39999999997</v>
      </c>
      <c r="S1397" s="26">
        <f t="shared" si="175"/>
        <v>0.22848638118535111</v>
      </c>
    </row>
    <row r="1398" spans="1:19" ht="15" x14ac:dyDescent="0.2">
      <c r="A1398" s="23">
        <v>46024</v>
      </c>
      <c r="B1398">
        <f t="shared" si="168"/>
        <v>2026</v>
      </c>
      <c r="C1398">
        <f t="shared" si="169"/>
        <v>1</v>
      </c>
      <c r="D1398" t="str">
        <f t="shared" si="170"/>
        <v>Enero</v>
      </c>
      <c r="E1398" t="str">
        <f t="shared" si="171"/>
        <v>T1</v>
      </c>
      <c r="F1398" t="s">
        <v>1525</v>
      </c>
      <c r="G1398" t="s">
        <v>114</v>
      </c>
      <c r="H1398" t="s">
        <v>75</v>
      </c>
      <c r="I1398" t="s">
        <v>115</v>
      </c>
      <c r="J1398" t="s">
        <v>57</v>
      </c>
      <c r="K1398" t="s">
        <v>81</v>
      </c>
      <c r="L1398" t="s">
        <v>129</v>
      </c>
      <c r="M1398" s="24">
        <v>3</v>
      </c>
      <c r="N1398" s="25">
        <v>96921.34</v>
      </c>
      <c r="O1398" s="25">
        <f t="shared" si="172"/>
        <v>290764.02</v>
      </c>
      <c r="P1398" s="25">
        <v>66445.279999999999</v>
      </c>
      <c r="Q1398" s="25">
        <f t="shared" si="173"/>
        <v>199335.84</v>
      </c>
      <c r="R1398" s="25">
        <f t="shared" si="174"/>
        <v>91428.180000000022</v>
      </c>
      <c r="S1398" s="26">
        <f t="shared" si="175"/>
        <v>0.31444117466803501</v>
      </c>
    </row>
    <row r="1399" spans="1:19" ht="15" x14ac:dyDescent="0.2">
      <c r="A1399" s="23">
        <v>46024</v>
      </c>
      <c r="B1399">
        <f t="shared" si="168"/>
        <v>2026</v>
      </c>
      <c r="C1399">
        <f t="shared" si="169"/>
        <v>1</v>
      </c>
      <c r="D1399" t="str">
        <f t="shared" si="170"/>
        <v>Enero</v>
      </c>
      <c r="E1399" t="str">
        <f t="shared" si="171"/>
        <v>T1</v>
      </c>
      <c r="F1399" t="s">
        <v>1526</v>
      </c>
      <c r="G1399" t="s">
        <v>74</v>
      </c>
      <c r="H1399" t="s">
        <v>75</v>
      </c>
      <c r="I1399" t="s">
        <v>76</v>
      </c>
      <c r="J1399" t="s">
        <v>70</v>
      </c>
      <c r="K1399" t="s">
        <v>84</v>
      </c>
      <c r="L1399" t="s">
        <v>147</v>
      </c>
      <c r="M1399" s="24">
        <v>1</v>
      </c>
      <c r="N1399" s="25">
        <v>19599.04</v>
      </c>
      <c r="O1399" s="25">
        <f t="shared" si="172"/>
        <v>19599.04</v>
      </c>
      <c r="P1399" s="25">
        <v>13963.67</v>
      </c>
      <c r="Q1399" s="25">
        <f t="shared" si="173"/>
        <v>13963.67</v>
      </c>
      <c r="R1399" s="25">
        <f t="shared" si="174"/>
        <v>5635.3700000000008</v>
      </c>
      <c r="S1399" s="26">
        <f t="shared" si="175"/>
        <v>0.28753296079807994</v>
      </c>
    </row>
    <row r="1400" spans="1:19" ht="15" x14ac:dyDescent="0.2">
      <c r="A1400" s="23">
        <v>46024</v>
      </c>
      <c r="B1400">
        <f t="shared" si="168"/>
        <v>2026</v>
      </c>
      <c r="C1400">
        <f t="shared" si="169"/>
        <v>1</v>
      </c>
      <c r="D1400" t="str">
        <f t="shared" si="170"/>
        <v>Enero</v>
      </c>
      <c r="E1400" t="str">
        <f t="shared" si="171"/>
        <v>T1</v>
      </c>
      <c r="F1400" t="s">
        <v>1527</v>
      </c>
      <c r="G1400" t="s">
        <v>74</v>
      </c>
      <c r="H1400" t="s">
        <v>75</v>
      </c>
      <c r="I1400" t="s">
        <v>76</v>
      </c>
      <c r="J1400" t="s">
        <v>70</v>
      </c>
      <c r="K1400" t="s">
        <v>71</v>
      </c>
      <c r="L1400" t="s">
        <v>72</v>
      </c>
      <c r="M1400" s="24">
        <v>1</v>
      </c>
      <c r="N1400" s="25">
        <v>44695.48</v>
      </c>
      <c r="O1400" s="25">
        <f t="shared" si="172"/>
        <v>44695.48</v>
      </c>
      <c r="P1400" s="25">
        <v>32701.51</v>
      </c>
      <c r="Q1400" s="25">
        <f t="shared" si="173"/>
        <v>32701.51</v>
      </c>
      <c r="R1400" s="25">
        <f t="shared" si="174"/>
        <v>11993.970000000005</v>
      </c>
      <c r="S1400" s="26">
        <f t="shared" si="175"/>
        <v>0.2683486115374531</v>
      </c>
    </row>
    <row r="1401" spans="1:19" ht="15" x14ac:dyDescent="0.2">
      <c r="A1401" s="23">
        <v>46024</v>
      </c>
      <c r="B1401">
        <f t="shared" si="168"/>
        <v>2026</v>
      </c>
      <c r="C1401">
        <f t="shared" si="169"/>
        <v>1</v>
      </c>
      <c r="D1401" t="str">
        <f t="shared" si="170"/>
        <v>Enero</v>
      </c>
      <c r="E1401" t="str">
        <f t="shared" si="171"/>
        <v>T1</v>
      </c>
      <c r="F1401" t="s">
        <v>1528</v>
      </c>
      <c r="G1401" t="s">
        <v>100</v>
      </c>
      <c r="H1401" t="s">
        <v>88</v>
      </c>
      <c r="I1401" t="s">
        <v>101</v>
      </c>
      <c r="J1401" t="s">
        <v>64</v>
      </c>
      <c r="K1401" t="s">
        <v>96</v>
      </c>
      <c r="L1401" t="s">
        <v>103</v>
      </c>
      <c r="M1401" s="24">
        <v>18</v>
      </c>
      <c r="N1401" s="25">
        <v>37003.9</v>
      </c>
      <c r="O1401" s="25">
        <f t="shared" si="172"/>
        <v>666070.20000000007</v>
      </c>
      <c r="P1401" s="25">
        <v>20597.86</v>
      </c>
      <c r="Q1401" s="25">
        <f t="shared" si="173"/>
        <v>370761.48</v>
      </c>
      <c r="R1401" s="25">
        <f t="shared" si="174"/>
        <v>295308.72000000009</v>
      </c>
      <c r="S1401" s="26">
        <f t="shared" si="175"/>
        <v>0.44335975397187871</v>
      </c>
    </row>
    <row r="1402" spans="1:19" ht="15" x14ac:dyDescent="0.2">
      <c r="A1402" s="23">
        <v>46024</v>
      </c>
      <c r="B1402">
        <f t="shared" si="168"/>
        <v>2026</v>
      </c>
      <c r="C1402">
        <f t="shared" si="169"/>
        <v>1</v>
      </c>
      <c r="D1402" t="str">
        <f t="shared" si="170"/>
        <v>Enero</v>
      </c>
      <c r="E1402" t="str">
        <f t="shared" si="171"/>
        <v>T1</v>
      </c>
      <c r="F1402" t="s">
        <v>1529</v>
      </c>
      <c r="G1402" t="s">
        <v>206</v>
      </c>
      <c r="H1402" t="s">
        <v>93</v>
      </c>
      <c r="I1402" t="s">
        <v>207</v>
      </c>
      <c r="J1402" t="s">
        <v>57</v>
      </c>
      <c r="K1402" t="s">
        <v>81</v>
      </c>
      <c r="L1402" t="s">
        <v>129</v>
      </c>
      <c r="M1402" s="24">
        <v>3</v>
      </c>
      <c r="N1402" s="25">
        <v>107088.77</v>
      </c>
      <c r="O1402" s="25">
        <f t="shared" si="172"/>
        <v>321266.31</v>
      </c>
      <c r="P1402" s="25">
        <v>60878.06</v>
      </c>
      <c r="Q1402" s="25">
        <f t="shared" si="173"/>
        <v>182634.18</v>
      </c>
      <c r="R1402" s="25">
        <f t="shared" si="174"/>
        <v>138632.13</v>
      </c>
      <c r="S1402" s="26">
        <f t="shared" si="175"/>
        <v>0.4315177959369596</v>
      </c>
    </row>
    <row r="1403" spans="1:19" ht="15" x14ac:dyDescent="0.2">
      <c r="A1403" s="23">
        <v>46024</v>
      </c>
      <c r="B1403">
        <f t="shared" si="168"/>
        <v>2026</v>
      </c>
      <c r="C1403">
        <f t="shared" si="169"/>
        <v>1</v>
      </c>
      <c r="D1403" t="str">
        <f t="shared" si="170"/>
        <v>Enero</v>
      </c>
      <c r="E1403" t="str">
        <f t="shared" si="171"/>
        <v>T1</v>
      </c>
      <c r="F1403" t="s">
        <v>1530</v>
      </c>
      <c r="G1403" t="s">
        <v>92</v>
      </c>
      <c r="H1403" t="s">
        <v>93</v>
      </c>
      <c r="I1403" t="s">
        <v>94</v>
      </c>
      <c r="J1403" t="s">
        <v>70</v>
      </c>
      <c r="K1403" t="s">
        <v>84</v>
      </c>
      <c r="L1403" t="s">
        <v>85</v>
      </c>
      <c r="M1403" s="24">
        <v>3</v>
      </c>
      <c r="N1403" s="25">
        <v>17348.080000000002</v>
      </c>
      <c r="O1403" s="25">
        <f t="shared" si="172"/>
        <v>52044.240000000005</v>
      </c>
      <c r="P1403" s="25">
        <v>10465.66</v>
      </c>
      <c r="Q1403" s="25">
        <f t="shared" si="173"/>
        <v>31396.98</v>
      </c>
      <c r="R1403" s="25">
        <f t="shared" si="174"/>
        <v>20647.260000000006</v>
      </c>
      <c r="S1403" s="26">
        <f t="shared" si="175"/>
        <v>0.39672517073935565</v>
      </c>
    </row>
    <row r="1404" spans="1:19" ht="15" x14ac:dyDescent="0.2">
      <c r="A1404" s="23">
        <v>46025</v>
      </c>
      <c r="B1404">
        <f t="shared" si="168"/>
        <v>2026</v>
      </c>
      <c r="C1404">
        <f t="shared" si="169"/>
        <v>1</v>
      </c>
      <c r="D1404" t="str">
        <f t="shared" si="170"/>
        <v>Enero</v>
      </c>
      <c r="E1404" t="str">
        <f t="shared" si="171"/>
        <v>T1</v>
      </c>
      <c r="F1404" t="s">
        <v>1531</v>
      </c>
      <c r="G1404" t="s">
        <v>87</v>
      </c>
      <c r="H1404" t="s">
        <v>88</v>
      </c>
      <c r="I1404" t="s">
        <v>89</v>
      </c>
      <c r="J1404" t="s">
        <v>125</v>
      </c>
      <c r="K1404" t="s">
        <v>138</v>
      </c>
      <c r="L1404" t="s">
        <v>139</v>
      </c>
      <c r="M1404" s="24">
        <v>7</v>
      </c>
      <c r="N1404" s="25">
        <v>58381.25</v>
      </c>
      <c r="O1404" s="25">
        <f t="shared" si="172"/>
        <v>408668.75</v>
      </c>
      <c r="P1404" s="25">
        <v>32700.68</v>
      </c>
      <c r="Q1404" s="25">
        <f t="shared" si="173"/>
        <v>228904.76</v>
      </c>
      <c r="R1404" s="25">
        <f t="shared" si="174"/>
        <v>179763.99</v>
      </c>
      <c r="S1404" s="26">
        <f t="shared" si="175"/>
        <v>0.43987701530885343</v>
      </c>
    </row>
    <row r="1405" spans="1:19" ht="15" x14ac:dyDescent="0.2">
      <c r="A1405" s="23">
        <v>46026</v>
      </c>
      <c r="B1405">
        <f t="shared" si="168"/>
        <v>2026</v>
      </c>
      <c r="C1405">
        <f t="shared" si="169"/>
        <v>1</v>
      </c>
      <c r="D1405" t="str">
        <f t="shared" si="170"/>
        <v>Enero</v>
      </c>
      <c r="E1405" t="str">
        <f t="shared" si="171"/>
        <v>T1</v>
      </c>
      <c r="F1405" t="s">
        <v>1532</v>
      </c>
      <c r="G1405" t="s">
        <v>144</v>
      </c>
      <c r="H1405" t="s">
        <v>88</v>
      </c>
      <c r="I1405" t="s">
        <v>145</v>
      </c>
      <c r="J1405" t="s">
        <v>77</v>
      </c>
      <c r="K1405" t="s">
        <v>78</v>
      </c>
      <c r="L1405" t="s">
        <v>79</v>
      </c>
      <c r="M1405" s="24">
        <v>13</v>
      </c>
      <c r="N1405" s="25">
        <v>12748.8</v>
      </c>
      <c r="O1405" s="25">
        <f t="shared" si="172"/>
        <v>165734.39999999999</v>
      </c>
      <c r="P1405" s="25">
        <v>6905.22</v>
      </c>
      <c r="Q1405" s="25">
        <f t="shared" si="173"/>
        <v>89767.86</v>
      </c>
      <c r="R1405" s="25">
        <f t="shared" si="174"/>
        <v>75966.539999999994</v>
      </c>
      <c r="S1405" s="26">
        <f t="shared" si="175"/>
        <v>0.45836314006024093</v>
      </c>
    </row>
    <row r="1406" spans="1:19" ht="15" x14ac:dyDescent="0.2">
      <c r="A1406" s="23">
        <v>46027</v>
      </c>
      <c r="B1406">
        <f t="shared" si="168"/>
        <v>2026</v>
      </c>
      <c r="C1406">
        <f t="shared" si="169"/>
        <v>1</v>
      </c>
      <c r="D1406" t="str">
        <f t="shared" si="170"/>
        <v>Enero</v>
      </c>
      <c r="E1406" t="str">
        <f t="shared" si="171"/>
        <v>T1</v>
      </c>
      <c r="F1406" t="s">
        <v>1533</v>
      </c>
      <c r="G1406" t="s">
        <v>54</v>
      </c>
      <c r="H1406" t="s">
        <v>55</v>
      </c>
      <c r="I1406" t="s">
        <v>56</v>
      </c>
      <c r="J1406" t="s">
        <v>64</v>
      </c>
      <c r="K1406" t="s">
        <v>65</v>
      </c>
      <c r="L1406" t="s">
        <v>123</v>
      </c>
      <c r="M1406" s="24">
        <v>20</v>
      </c>
      <c r="N1406" s="25">
        <v>54409.21</v>
      </c>
      <c r="O1406" s="25">
        <f t="shared" si="172"/>
        <v>1088184.2</v>
      </c>
      <c r="P1406" s="25">
        <v>42949.1</v>
      </c>
      <c r="Q1406" s="25">
        <f t="shared" si="173"/>
        <v>858982</v>
      </c>
      <c r="R1406" s="25">
        <f t="shared" si="174"/>
        <v>229202.19999999995</v>
      </c>
      <c r="S1406" s="26">
        <f t="shared" si="175"/>
        <v>0.21062812711303835</v>
      </c>
    </row>
    <row r="1407" spans="1:19" ht="15" x14ac:dyDescent="0.2">
      <c r="A1407" s="23">
        <v>46027</v>
      </c>
      <c r="B1407">
        <f t="shared" si="168"/>
        <v>2026</v>
      </c>
      <c r="C1407">
        <f t="shared" si="169"/>
        <v>1</v>
      </c>
      <c r="D1407" t="str">
        <f t="shared" si="170"/>
        <v>Enero</v>
      </c>
      <c r="E1407" t="str">
        <f t="shared" si="171"/>
        <v>T1</v>
      </c>
      <c r="F1407" t="s">
        <v>1534</v>
      </c>
      <c r="G1407" t="s">
        <v>183</v>
      </c>
      <c r="H1407" t="s">
        <v>55</v>
      </c>
      <c r="I1407" t="s">
        <v>184</v>
      </c>
      <c r="J1407" t="s">
        <v>57</v>
      </c>
      <c r="K1407" t="s">
        <v>81</v>
      </c>
      <c r="L1407" t="s">
        <v>82</v>
      </c>
      <c r="M1407" s="24">
        <v>3</v>
      </c>
      <c r="N1407" s="25">
        <v>431046.75</v>
      </c>
      <c r="O1407" s="25">
        <f t="shared" si="172"/>
        <v>1293140.25</v>
      </c>
      <c r="P1407" s="25">
        <v>332084.12</v>
      </c>
      <c r="Q1407" s="25">
        <f t="shared" si="173"/>
        <v>996252.36</v>
      </c>
      <c r="R1407" s="25">
        <f t="shared" si="174"/>
        <v>296887.89</v>
      </c>
      <c r="S1407" s="26">
        <f t="shared" si="175"/>
        <v>0.22958676756059523</v>
      </c>
    </row>
    <row r="1408" spans="1:19" ht="15" x14ac:dyDescent="0.2">
      <c r="A1408" s="23">
        <v>46027</v>
      </c>
      <c r="B1408">
        <f t="shared" si="168"/>
        <v>2026</v>
      </c>
      <c r="C1408">
        <f t="shared" si="169"/>
        <v>1</v>
      </c>
      <c r="D1408" t="str">
        <f t="shared" si="170"/>
        <v>Enero</v>
      </c>
      <c r="E1408" t="str">
        <f t="shared" si="171"/>
        <v>T1</v>
      </c>
      <c r="F1408" t="s">
        <v>1535</v>
      </c>
      <c r="G1408" t="s">
        <v>54</v>
      </c>
      <c r="H1408" t="s">
        <v>55</v>
      </c>
      <c r="I1408" t="s">
        <v>56</v>
      </c>
      <c r="J1408" t="s">
        <v>70</v>
      </c>
      <c r="K1408" t="s">
        <v>84</v>
      </c>
      <c r="L1408" t="s">
        <v>85</v>
      </c>
      <c r="M1408" s="24">
        <v>2</v>
      </c>
      <c r="N1408" s="25">
        <v>59218.239999999998</v>
      </c>
      <c r="O1408" s="25">
        <f t="shared" si="172"/>
        <v>118436.48</v>
      </c>
      <c r="P1408" s="25">
        <v>47302.09</v>
      </c>
      <c r="Q1408" s="25">
        <f t="shared" si="173"/>
        <v>94604.18</v>
      </c>
      <c r="R1408" s="25">
        <f t="shared" si="174"/>
        <v>23832.300000000003</v>
      </c>
      <c r="S1408" s="26">
        <f t="shared" si="175"/>
        <v>0.20122431872342039</v>
      </c>
    </row>
    <row r="1409" spans="1:19" ht="15" x14ac:dyDescent="0.2">
      <c r="A1409" s="23">
        <v>46027</v>
      </c>
      <c r="B1409">
        <f t="shared" si="168"/>
        <v>2026</v>
      </c>
      <c r="C1409">
        <f t="shared" si="169"/>
        <v>1</v>
      </c>
      <c r="D1409" t="str">
        <f t="shared" si="170"/>
        <v>Enero</v>
      </c>
      <c r="E1409" t="str">
        <f t="shared" si="171"/>
        <v>T1</v>
      </c>
      <c r="F1409" t="s">
        <v>1536</v>
      </c>
      <c r="G1409" t="s">
        <v>54</v>
      </c>
      <c r="H1409" t="s">
        <v>55</v>
      </c>
      <c r="I1409" t="s">
        <v>56</v>
      </c>
      <c r="J1409" t="s">
        <v>70</v>
      </c>
      <c r="K1409" t="s">
        <v>71</v>
      </c>
      <c r="L1409" t="s">
        <v>90</v>
      </c>
      <c r="M1409" s="24">
        <v>9</v>
      </c>
      <c r="N1409" s="25">
        <v>49033.01</v>
      </c>
      <c r="O1409" s="25">
        <f t="shared" si="172"/>
        <v>441297.09</v>
      </c>
      <c r="P1409" s="25">
        <v>39735.370000000003</v>
      </c>
      <c r="Q1409" s="25">
        <f t="shared" si="173"/>
        <v>357618.33</v>
      </c>
      <c r="R1409" s="25">
        <f t="shared" si="174"/>
        <v>83678.760000000009</v>
      </c>
      <c r="S1409" s="26">
        <f t="shared" si="175"/>
        <v>0.18962001312993024</v>
      </c>
    </row>
    <row r="1410" spans="1:19" ht="15" x14ac:dyDescent="0.2">
      <c r="A1410" s="23">
        <v>46027</v>
      </c>
      <c r="B1410">
        <f t="shared" ref="B1410:B1473" si="176">YEAR($A1410)</f>
        <v>2026</v>
      </c>
      <c r="C1410">
        <f t="shared" ref="C1410:C1473" si="177">MONTH($A1410)</f>
        <v>1</v>
      </c>
      <c r="D1410" t="str">
        <f t="shared" ref="D1410:D1473" si="178">INDEX(lst_Meses,MONTH($A1410))</f>
        <v>Enero</v>
      </c>
      <c r="E1410" t="str">
        <f t="shared" ref="E1410:E1473" si="179">"T"&amp;ROUNDUP(MONTH($A1410)/3,0)</f>
        <v>T1</v>
      </c>
      <c r="F1410" t="s">
        <v>1537</v>
      </c>
      <c r="G1410" t="s">
        <v>105</v>
      </c>
      <c r="H1410" t="s">
        <v>62</v>
      </c>
      <c r="I1410" t="s">
        <v>106</v>
      </c>
      <c r="J1410" t="s">
        <v>77</v>
      </c>
      <c r="K1410" t="s">
        <v>78</v>
      </c>
      <c r="L1410" t="s">
        <v>117</v>
      </c>
      <c r="M1410" s="24">
        <v>324</v>
      </c>
      <c r="N1410" s="25">
        <v>1865.74</v>
      </c>
      <c r="O1410" s="25">
        <f t="shared" ref="O1410:O1473" si="180">$M1410*$N1410</f>
        <v>604499.76</v>
      </c>
      <c r="P1410" s="25">
        <v>1497.72</v>
      </c>
      <c r="Q1410" s="25">
        <f t="shared" ref="Q1410:Q1473" si="181">$M1410*$P1410</f>
        <v>485261.28</v>
      </c>
      <c r="R1410" s="25">
        <f t="shared" ref="R1410:R1473" si="182">$O1410-$Q1410</f>
        <v>119238.47999999998</v>
      </c>
      <c r="S1410" s="26">
        <f t="shared" ref="S1410:S1473" si="183">IFERROR($R1410/$O1410,0)</f>
        <v>0.19725149270530726</v>
      </c>
    </row>
    <row r="1411" spans="1:19" ht="15" x14ac:dyDescent="0.2">
      <c r="A1411" s="23">
        <v>46027</v>
      </c>
      <c r="B1411">
        <f t="shared" si="176"/>
        <v>2026</v>
      </c>
      <c r="C1411">
        <f t="shared" si="177"/>
        <v>1</v>
      </c>
      <c r="D1411" t="str">
        <f t="shared" si="178"/>
        <v>Enero</v>
      </c>
      <c r="E1411" t="str">
        <f t="shared" si="179"/>
        <v>T1</v>
      </c>
      <c r="F1411" t="s">
        <v>1538</v>
      </c>
      <c r="G1411" t="s">
        <v>68</v>
      </c>
      <c r="H1411" t="s">
        <v>62</v>
      </c>
      <c r="I1411" t="s">
        <v>69</v>
      </c>
      <c r="J1411" t="s">
        <v>57</v>
      </c>
      <c r="K1411" t="s">
        <v>81</v>
      </c>
      <c r="L1411" t="s">
        <v>82</v>
      </c>
      <c r="M1411" s="24">
        <v>266</v>
      </c>
      <c r="N1411" s="25">
        <v>3191.09</v>
      </c>
      <c r="O1411" s="25">
        <f t="shared" si="180"/>
        <v>848829.94000000006</v>
      </c>
      <c r="P1411" s="25">
        <v>2600.56</v>
      </c>
      <c r="Q1411" s="25">
        <f t="shared" si="181"/>
        <v>691748.96</v>
      </c>
      <c r="R1411" s="25">
        <f t="shared" si="182"/>
        <v>157080.9800000001</v>
      </c>
      <c r="S1411" s="26">
        <f t="shared" si="183"/>
        <v>0.18505588999370132</v>
      </c>
    </row>
    <row r="1412" spans="1:19" ht="15" x14ac:dyDescent="0.2">
      <c r="A1412" s="23">
        <v>46027</v>
      </c>
      <c r="B1412">
        <f t="shared" si="176"/>
        <v>2026</v>
      </c>
      <c r="C1412">
        <f t="shared" si="177"/>
        <v>1</v>
      </c>
      <c r="D1412" t="str">
        <f t="shared" si="178"/>
        <v>Enero</v>
      </c>
      <c r="E1412" t="str">
        <f t="shared" si="179"/>
        <v>T1</v>
      </c>
      <c r="F1412" t="s">
        <v>1539</v>
      </c>
      <c r="G1412" t="s">
        <v>61</v>
      </c>
      <c r="H1412" t="s">
        <v>62</v>
      </c>
      <c r="I1412" t="s">
        <v>63</v>
      </c>
      <c r="J1412" t="s">
        <v>57</v>
      </c>
      <c r="K1412" t="s">
        <v>81</v>
      </c>
      <c r="L1412" t="s">
        <v>129</v>
      </c>
      <c r="M1412" s="24">
        <v>79</v>
      </c>
      <c r="N1412" s="25">
        <v>5852.4</v>
      </c>
      <c r="O1412" s="25">
        <f t="shared" si="180"/>
        <v>462339.6</v>
      </c>
      <c r="P1412" s="25">
        <v>4808.04</v>
      </c>
      <c r="Q1412" s="25">
        <f t="shared" si="181"/>
        <v>379835.16</v>
      </c>
      <c r="R1412" s="25">
        <f t="shared" si="182"/>
        <v>82504.44</v>
      </c>
      <c r="S1412" s="26">
        <f t="shared" si="183"/>
        <v>0.17844986672134511</v>
      </c>
    </row>
    <row r="1413" spans="1:19" ht="15" x14ac:dyDescent="0.2">
      <c r="A1413" s="23">
        <v>46027</v>
      </c>
      <c r="B1413">
        <f t="shared" si="176"/>
        <v>2026</v>
      </c>
      <c r="C1413">
        <f t="shared" si="177"/>
        <v>1</v>
      </c>
      <c r="D1413" t="str">
        <f t="shared" si="178"/>
        <v>Enero</v>
      </c>
      <c r="E1413" t="str">
        <f t="shared" si="179"/>
        <v>T1</v>
      </c>
      <c r="F1413" t="s">
        <v>1540</v>
      </c>
      <c r="G1413" t="s">
        <v>74</v>
      </c>
      <c r="H1413" t="s">
        <v>75</v>
      </c>
      <c r="I1413" t="s">
        <v>76</v>
      </c>
      <c r="J1413" t="s">
        <v>64</v>
      </c>
      <c r="K1413" t="s">
        <v>96</v>
      </c>
      <c r="L1413" t="s">
        <v>97</v>
      </c>
      <c r="M1413" s="24">
        <v>11</v>
      </c>
      <c r="N1413" s="25">
        <v>40776.99</v>
      </c>
      <c r="O1413" s="25">
        <f t="shared" si="180"/>
        <v>448546.88999999996</v>
      </c>
      <c r="P1413" s="25">
        <v>28954.28</v>
      </c>
      <c r="Q1413" s="25">
        <f t="shared" si="181"/>
        <v>318497.07999999996</v>
      </c>
      <c r="R1413" s="25">
        <f t="shared" si="182"/>
        <v>130049.81</v>
      </c>
      <c r="S1413" s="26">
        <f t="shared" si="183"/>
        <v>0.28993581919607114</v>
      </c>
    </row>
    <row r="1414" spans="1:19" ht="15" x14ac:dyDescent="0.2">
      <c r="A1414" s="23">
        <v>46027</v>
      </c>
      <c r="B1414">
        <f t="shared" si="176"/>
        <v>2026</v>
      </c>
      <c r="C1414">
        <f t="shared" si="177"/>
        <v>1</v>
      </c>
      <c r="D1414" t="str">
        <f t="shared" si="178"/>
        <v>Enero</v>
      </c>
      <c r="E1414" t="str">
        <f t="shared" si="179"/>
        <v>T1</v>
      </c>
      <c r="F1414" t="s">
        <v>1541</v>
      </c>
      <c r="G1414" t="s">
        <v>114</v>
      </c>
      <c r="H1414" t="s">
        <v>75</v>
      </c>
      <c r="I1414" t="s">
        <v>115</v>
      </c>
      <c r="J1414" t="s">
        <v>77</v>
      </c>
      <c r="K1414" t="s">
        <v>78</v>
      </c>
      <c r="L1414" t="s">
        <v>117</v>
      </c>
      <c r="M1414" s="24">
        <v>3</v>
      </c>
      <c r="N1414" s="25">
        <v>104964.33</v>
      </c>
      <c r="O1414" s="25">
        <f t="shared" si="180"/>
        <v>314892.99</v>
      </c>
      <c r="P1414" s="25">
        <v>71044.63</v>
      </c>
      <c r="Q1414" s="25">
        <f t="shared" si="181"/>
        <v>213133.89</v>
      </c>
      <c r="R1414" s="25">
        <f t="shared" si="182"/>
        <v>101759.09999999998</v>
      </c>
      <c r="S1414" s="26">
        <f t="shared" si="183"/>
        <v>0.32315454211921318</v>
      </c>
    </row>
    <row r="1415" spans="1:19" ht="15" x14ac:dyDescent="0.2">
      <c r="A1415" s="23">
        <v>46027</v>
      </c>
      <c r="B1415">
        <f t="shared" si="176"/>
        <v>2026</v>
      </c>
      <c r="C1415">
        <f t="shared" si="177"/>
        <v>1</v>
      </c>
      <c r="D1415" t="str">
        <f t="shared" si="178"/>
        <v>Enero</v>
      </c>
      <c r="E1415" t="str">
        <f t="shared" si="179"/>
        <v>T1</v>
      </c>
      <c r="F1415" t="s">
        <v>1542</v>
      </c>
      <c r="G1415" t="s">
        <v>206</v>
      </c>
      <c r="H1415" t="s">
        <v>93</v>
      </c>
      <c r="I1415" t="s">
        <v>207</v>
      </c>
      <c r="J1415" t="s">
        <v>64</v>
      </c>
      <c r="K1415" t="s">
        <v>96</v>
      </c>
      <c r="L1415" t="s">
        <v>97</v>
      </c>
      <c r="M1415" s="24">
        <v>2</v>
      </c>
      <c r="N1415" s="25">
        <v>119077.62</v>
      </c>
      <c r="O1415" s="25">
        <f t="shared" si="180"/>
        <v>238155.24</v>
      </c>
      <c r="P1415" s="25">
        <v>70401.490000000005</v>
      </c>
      <c r="Q1415" s="25">
        <f t="shared" si="181"/>
        <v>140802.98000000001</v>
      </c>
      <c r="R1415" s="25">
        <f t="shared" si="182"/>
        <v>97352.25999999998</v>
      </c>
      <c r="S1415" s="26">
        <f t="shared" si="183"/>
        <v>0.40877647705756959</v>
      </c>
    </row>
    <row r="1416" spans="1:19" ht="15" x14ac:dyDescent="0.2">
      <c r="A1416" s="23">
        <v>46027</v>
      </c>
      <c r="B1416">
        <f t="shared" si="176"/>
        <v>2026</v>
      </c>
      <c r="C1416">
        <f t="shared" si="177"/>
        <v>1</v>
      </c>
      <c r="D1416" t="str">
        <f t="shared" si="178"/>
        <v>Enero</v>
      </c>
      <c r="E1416" t="str">
        <f t="shared" si="179"/>
        <v>T1</v>
      </c>
      <c r="F1416" t="s">
        <v>1543</v>
      </c>
      <c r="G1416" t="s">
        <v>149</v>
      </c>
      <c r="H1416" t="s">
        <v>93</v>
      </c>
      <c r="I1416" t="s">
        <v>150</v>
      </c>
      <c r="J1416" t="s">
        <v>77</v>
      </c>
      <c r="K1416" t="s">
        <v>78</v>
      </c>
      <c r="L1416" t="s">
        <v>79</v>
      </c>
      <c r="M1416" s="24">
        <v>4</v>
      </c>
      <c r="N1416" s="25">
        <v>39883.06</v>
      </c>
      <c r="O1416" s="25">
        <f t="shared" si="180"/>
        <v>159532.24</v>
      </c>
      <c r="P1416" s="25">
        <v>23110.61</v>
      </c>
      <c r="Q1416" s="25">
        <f t="shared" si="181"/>
        <v>92442.44</v>
      </c>
      <c r="R1416" s="25">
        <f t="shared" si="182"/>
        <v>67089.799999999988</v>
      </c>
      <c r="S1416" s="26">
        <f t="shared" si="183"/>
        <v>0.42054070073860927</v>
      </c>
    </row>
    <row r="1417" spans="1:19" ht="15" x14ac:dyDescent="0.2">
      <c r="A1417" s="23">
        <v>46028</v>
      </c>
      <c r="B1417">
        <f t="shared" si="176"/>
        <v>2026</v>
      </c>
      <c r="C1417">
        <f t="shared" si="177"/>
        <v>1</v>
      </c>
      <c r="D1417" t="str">
        <f t="shared" si="178"/>
        <v>Enero</v>
      </c>
      <c r="E1417" t="str">
        <f t="shared" si="179"/>
        <v>T1</v>
      </c>
      <c r="F1417" t="s">
        <v>1544</v>
      </c>
      <c r="G1417" t="s">
        <v>61</v>
      </c>
      <c r="H1417" t="s">
        <v>62</v>
      </c>
      <c r="I1417" t="s">
        <v>63</v>
      </c>
      <c r="J1417" t="s">
        <v>64</v>
      </c>
      <c r="K1417" t="s">
        <v>96</v>
      </c>
      <c r="L1417" t="s">
        <v>97</v>
      </c>
      <c r="M1417" s="24">
        <v>54</v>
      </c>
      <c r="N1417" s="25">
        <v>5727.68</v>
      </c>
      <c r="O1417" s="25">
        <f t="shared" si="180"/>
        <v>309294.72000000003</v>
      </c>
      <c r="P1417" s="25">
        <v>4799.8100000000004</v>
      </c>
      <c r="Q1417" s="25">
        <f t="shared" si="181"/>
        <v>259189.74000000002</v>
      </c>
      <c r="R1417" s="25">
        <f t="shared" si="182"/>
        <v>50104.98000000001</v>
      </c>
      <c r="S1417" s="26">
        <f t="shared" si="183"/>
        <v>0.16199752779484888</v>
      </c>
    </row>
    <row r="1418" spans="1:19" ht="15" x14ac:dyDescent="0.2">
      <c r="A1418" s="23">
        <v>46028</v>
      </c>
      <c r="B1418">
        <f t="shared" si="176"/>
        <v>2026</v>
      </c>
      <c r="C1418">
        <f t="shared" si="177"/>
        <v>1</v>
      </c>
      <c r="D1418" t="str">
        <f t="shared" si="178"/>
        <v>Enero</v>
      </c>
      <c r="E1418" t="str">
        <f t="shared" si="179"/>
        <v>T1</v>
      </c>
      <c r="F1418" t="s">
        <v>1545</v>
      </c>
      <c r="G1418" t="s">
        <v>114</v>
      </c>
      <c r="H1418" t="s">
        <v>75</v>
      </c>
      <c r="I1418" t="s">
        <v>115</v>
      </c>
      <c r="J1418" t="s">
        <v>77</v>
      </c>
      <c r="K1418" t="s">
        <v>107</v>
      </c>
      <c r="L1418" t="s">
        <v>112</v>
      </c>
      <c r="M1418" s="24">
        <v>4</v>
      </c>
      <c r="N1418" s="25">
        <v>100195.46</v>
      </c>
      <c r="O1418" s="25">
        <f t="shared" si="180"/>
        <v>400781.84</v>
      </c>
      <c r="P1418" s="25">
        <v>63327.22</v>
      </c>
      <c r="Q1418" s="25">
        <f t="shared" si="181"/>
        <v>253308.88</v>
      </c>
      <c r="R1418" s="25">
        <f t="shared" si="182"/>
        <v>147472.96000000002</v>
      </c>
      <c r="S1418" s="26">
        <f t="shared" si="183"/>
        <v>0.36796317916999438</v>
      </c>
    </row>
    <row r="1419" spans="1:19" ht="15" x14ac:dyDescent="0.2">
      <c r="A1419" s="23">
        <v>46028</v>
      </c>
      <c r="B1419">
        <f t="shared" si="176"/>
        <v>2026</v>
      </c>
      <c r="C1419">
        <f t="shared" si="177"/>
        <v>1</v>
      </c>
      <c r="D1419" t="str">
        <f t="shared" si="178"/>
        <v>Enero</v>
      </c>
      <c r="E1419" t="str">
        <f t="shared" si="179"/>
        <v>T1</v>
      </c>
      <c r="F1419" t="s">
        <v>1546</v>
      </c>
      <c r="G1419" t="s">
        <v>92</v>
      </c>
      <c r="H1419" t="s">
        <v>93</v>
      </c>
      <c r="I1419" t="s">
        <v>94</v>
      </c>
      <c r="J1419" t="s">
        <v>64</v>
      </c>
      <c r="K1419" t="s">
        <v>65</v>
      </c>
      <c r="L1419" t="s">
        <v>66</v>
      </c>
      <c r="M1419" s="24">
        <v>22</v>
      </c>
      <c r="N1419" s="25">
        <v>19813.72</v>
      </c>
      <c r="O1419" s="25">
        <f t="shared" si="180"/>
        <v>435901.84</v>
      </c>
      <c r="P1419" s="25">
        <v>11787.73</v>
      </c>
      <c r="Q1419" s="25">
        <f t="shared" si="181"/>
        <v>259330.06</v>
      </c>
      <c r="R1419" s="25">
        <f t="shared" si="182"/>
        <v>176571.78000000003</v>
      </c>
      <c r="S1419" s="26">
        <f t="shared" si="183"/>
        <v>0.4050723438102487</v>
      </c>
    </row>
    <row r="1420" spans="1:19" ht="15" x14ac:dyDescent="0.2">
      <c r="A1420" s="23">
        <v>46028</v>
      </c>
      <c r="B1420">
        <f t="shared" si="176"/>
        <v>2026</v>
      </c>
      <c r="C1420">
        <f t="shared" si="177"/>
        <v>1</v>
      </c>
      <c r="D1420" t="str">
        <f t="shared" si="178"/>
        <v>Enero</v>
      </c>
      <c r="E1420" t="str">
        <f t="shared" si="179"/>
        <v>T1</v>
      </c>
      <c r="F1420" t="s">
        <v>1547</v>
      </c>
      <c r="G1420" t="s">
        <v>149</v>
      </c>
      <c r="H1420" t="s">
        <v>93</v>
      </c>
      <c r="I1420" t="s">
        <v>150</v>
      </c>
      <c r="J1420" t="s">
        <v>125</v>
      </c>
      <c r="K1420" t="s">
        <v>126</v>
      </c>
      <c r="L1420" t="s">
        <v>131</v>
      </c>
      <c r="M1420" s="24">
        <v>3</v>
      </c>
      <c r="N1420" s="25">
        <v>46795.08</v>
      </c>
      <c r="O1420" s="25">
        <f t="shared" si="180"/>
        <v>140385.24</v>
      </c>
      <c r="P1420" s="25">
        <v>27390.41</v>
      </c>
      <c r="Q1420" s="25">
        <f t="shared" si="181"/>
        <v>82171.23</v>
      </c>
      <c r="R1420" s="25">
        <f t="shared" si="182"/>
        <v>58214.009999999995</v>
      </c>
      <c r="S1420" s="26">
        <f t="shared" si="183"/>
        <v>0.4146732947138887</v>
      </c>
    </row>
    <row r="1421" spans="1:19" ht="15" x14ac:dyDescent="0.2">
      <c r="A1421" s="23">
        <v>46029</v>
      </c>
      <c r="B1421">
        <f t="shared" si="176"/>
        <v>2026</v>
      </c>
      <c r="C1421">
        <f t="shared" si="177"/>
        <v>1</v>
      </c>
      <c r="D1421" t="str">
        <f t="shared" si="178"/>
        <v>Enero</v>
      </c>
      <c r="E1421" t="str">
        <f t="shared" si="179"/>
        <v>T1</v>
      </c>
      <c r="F1421" t="s">
        <v>1548</v>
      </c>
      <c r="G1421" t="s">
        <v>54</v>
      </c>
      <c r="H1421" t="s">
        <v>55</v>
      </c>
      <c r="I1421" t="s">
        <v>56</v>
      </c>
      <c r="J1421" t="s">
        <v>125</v>
      </c>
      <c r="K1421" t="s">
        <v>138</v>
      </c>
      <c r="L1421" t="s">
        <v>139</v>
      </c>
      <c r="M1421" s="24">
        <v>9</v>
      </c>
      <c r="N1421" s="25">
        <v>56984.34</v>
      </c>
      <c r="O1421" s="25">
        <f t="shared" si="180"/>
        <v>512859.05999999994</v>
      </c>
      <c r="P1421" s="25">
        <v>42797.95</v>
      </c>
      <c r="Q1421" s="25">
        <f t="shared" si="181"/>
        <v>385181.55</v>
      </c>
      <c r="R1421" s="25">
        <f t="shared" si="182"/>
        <v>127677.50999999995</v>
      </c>
      <c r="S1421" s="26">
        <f t="shared" si="183"/>
        <v>0.24895243149258192</v>
      </c>
    </row>
    <row r="1422" spans="1:19" ht="15" x14ac:dyDescent="0.2">
      <c r="A1422" s="23">
        <v>46029</v>
      </c>
      <c r="B1422">
        <f t="shared" si="176"/>
        <v>2026</v>
      </c>
      <c r="C1422">
        <f t="shared" si="177"/>
        <v>1</v>
      </c>
      <c r="D1422" t="str">
        <f t="shared" si="178"/>
        <v>Enero</v>
      </c>
      <c r="E1422" t="str">
        <f t="shared" si="179"/>
        <v>T1</v>
      </c>
      <c r="F1422" t="s">
        <v>1549</v>
      </c>
      <c r="G1422" t="s">
        <v>68</v>
      </c>
      <c r="H1422" t="s">
        <v>62</v>
      </c>
      <c r="I1422" t="s">
        <v>69</v>
      </c>
      <c r="J1422" t="s">
        <v>57</v>
      </c>
      <c r="K1422" t="s">
        <v>58</v>
      </c>
      <c r="L1422" t="s">
        <v>59</v>
      </c>
      <c r="M1422" s="24">
        <v>108</v>
      </c>
      <c r="N1422" s="25">
        <v>3189.91</v>
      </c>
      <c r="O1422" s="25">
        <f t="shared" si="180"/>
        <v>344510.27999999997</v>
      </c>
      <c r="P1422" s="25">
        <v>2608.15</v>
      </c>
      <c r="Q1422" s="25">
        <f t="shared" si="181"/>
        <v>281680.2</v>
      </c>
      <c r="R1422" s="25">
        <f t="shared" si="182"/>
        <v>62830.079999999958</v>
      </c>
      <c r="S1422" s="26">
        <f t="shared" si="183"/>
        <v>0.18237505133373658</v>
      </c>
    </row>
    <row r="1423" spans="1:19" ht="15" x14ac:dyDescent="0.2">
      <c r="A1423" s="23">
        <v>46029</v>
      </c>
      <c r="B1423">
        <f t="shared" si="176"/>
        <v>2026</v>
      </c>
      <c r="C1423">
        <f t="shared" si="177"/>
        <v>1</v>
      </c>
      <c r="D1423" t="str">
        <f t="shared" si="178"/>
        <v>Enero</v>
      </c>
      <c r="E1423" t="str">
        <f t="shared" si="179"/>
        <v>T1</v>
      </c>
      <c r="F1423" t="s">
        <v>1550</v>
      </c>
      <c r="G1423" t="s">
        <v>105</v>
      </c>
      <c r="H1423" t="s">
        <v>62</v>
      </c>
      <c r="I1423" t="s">
        <v>106</v>
      </c>
      <c r="J1423" t="s">
        <v>125</v>
      </c>
      <c r="K1423" t="s">
        <v>138</v>
      </c>
      <c r="L1423" t="s">
        <v>142</v>
      </c>
      <c r="M1423" s="24">
        <v>279</v>
      </c>
      <c r="N1423" s="25">
        <v>1842.25</v>
      </c>
      <c r="O1423" s="25">
        <f t="shared" si="180"/>
        <v>513987.75</v>
      </c>
      <c r="P1423" s="25">
        <v>1499.53</v>
      </c>
      <c r="Q1423" s="25">
        <f t="shared" si="181"/>
        <v>418368.87</v>
      </c>
      <c r="R1423" s="25">
        <f t="shared" si="182"/>
        <v>95618.880000000005</v>
      </c>
      <c r="S1423" s="26">
        <f t="shared" si="183"/>
        <v>0.18603338309132855</v>
      </c>
    </row>
    <row r="1424" spans="1:19" ht="15" x14ac:dyDescent="0.2">
      <c r="A1424" s="23">
        <v>46029</v>
      </c>
      <c r="B1424">
        <f t="shared" si="176"/>
        <v>2026</v>
      </c>
      <c r="C1424">
        <f t="shared" si="177"/>
        <v>1</v>
      </c>
      <c r="D1424" t="str">
        <f t="shared" si="178"/>
        <v>Enero</v>
      </c>
      <c r="E1424" t="str">
        <f t="shared" si="179"/>
        <v>T1</v>
      </c>
      <c r="F1424" t="s">
        <v>1551</v>
      </c>
      <c r="G1424" t="s">
        <v>100</v>
      </c>
      <c r="H1424" t="s">
        <v>88</v>
      </c>
      <c r="I1424" t="s">
        <v>101</v>
      </c>
      <c r="J1424" t="s">
        <v>64</v>
      </c>
      <c r="K1424" t="s">
        <v>65</v>
      </c>
      <c r="L1424" t="s">
        <v>66</v>
      </c>
      <c r="M1424" s="24">
        <v>26</v>
      </c>
      <c r="N1424" s="25">
        <v>37267.69</v>
      </c>
      <c r="O1424" s="25">
        <f t="shared" si="180"/>
        <v>968959.94000000006</v>
      </c>
      <c r="P1424" s="25">
        <v>21334.9</v>
      </c>
      <c r="Q1424" s="25">
        <f t="shared" si="181"/>
        <v>554707.4</v>
      </c>
      <c r="R1424" s="25">
        <f t="shared" si="182"/>
        <v>414252.54000000004</v>
      </c>
      <c r="S1424" s="26">
        <f t="shared" si="183"/>
        <v>0.42752287571352021</v>
      </c>
    </row>
    <row r="1425" spans="1:19" ht="15" x14ac:dyDescent="0.2">
      <c r="A1425" s="23">
        <v>46029</v>
      </c>
      <c r="B1425">
        <f t="shared" si="176"/>
        <v>2026</v>
      </c>
      <c r="C1425">
        <f t="shared" si="177"/>
        <v>1</v>
      </c>
      <c r="D1425" t="str">
        <f t="shared" si="178"/>
        <v>Enero</v>
      </c>
      <c r="E1425" t="str">
        <f t="shared" si="179"/>
        <v>T1</v>
      </c>
      <c r="F1425" t="s">
        <v>1552</v>
      </c>
      <c r="G1425" t="s">
        <v>100</v>
      </c>
      <c r="H1425" t="s">
        <v>88</v>
      </c>
      <c r="I1425" t="s">
        <v>101</v>
      </c>
      <c r="J1425" t="s">
        <v>125</v>
      </c>
      <c r="K1425" t="s">
        <v>138</v>
      </c>
      <c r="L1425" t="s">
        <v>139</v>
      </c>
      <c r="M1425" s="24">
        <v>6</v>
      </c>
      <c r="N1425" s="25">
        <v>36169.01</v>
      </c>
      <c r="O1425" s="25">
        <f t="shared" si="180"/>
        <v>217014.06</v>
      </c>
      <c r="P1425" s="25">
        <v>19989.189999999999</v>
      </c>
      <c r="Q1425" s="25">
        <f t="shared" si="181"/>
        <v>119935.13999999998</v>
      </c>
      <c r="R1425" s="25">
        <f t="shared" si="182"/>
        <v>97078.920000000013</v>
      </c>
      <c r="S1425" s="26">
        <f t="shared" si="183"/>
        <v>0.44733931064190041</v>
      </c>
    </row>
    <row r="1426" spans="1:19" ht="15" x14ac:dyDescent="0.2">
      <c r="A1426" s="23">
        <v>46029</v>
      </c>
      <c r="B1426">
        <f t="shared" si="176"/>
        <v>2026</v>
      </c>
      <c r="C1426">
        <f t="shared" si="177"/>
        <v>1</v>
      </c>
      <c r="D1426" t="str">
        <f t="shared" si="178"/>
        <v>Enero</v>
      </c>
      <c r="E1426" t="str">
        <f t="shared" si="179"/>
        <v>T1</v>
      </c>
      <c r="F1426" t="s">
        <v>1553</v>
      </c>
      <c r="G1426" t="s">
        <v>92</v>
      </c>
      <c r="H1426" t="s">
        <v>93</v>
      </c>
      <c r="I1426" t="s">
        <v>94</v>
      </c>
      <c r="J1426" t="s">
        <v>64</v>
      </c>
      <c r="K1426" t="s">
        <v>65</v>
      </c>
      <c r="L1426" t="s">
        <v>123</v>
      </c>
      <c r="M1426" s="24">
        <v>2</v>
      </c>
      <c r="N1426" s="25">
        <v>20582.43</v>
      </c>
      <c r="O1426" s="25">
        <f t="shared" si="180"/>
        <v>41164.86</v>
      </c>
      <c r="P1426" s="25">
        <v>11934.57</v>
      </c>
      <c r="Q1426" s="25">
        <f t="shared" si="181"/>
        <v>23869.14</v>
      </c>
      <c r="R1426" s="25">
        <f t="shared" si="182"/>
        <v>17295.72</v>
      </c>
      <c r="S1426" s="26">
        <f t="shared" si="183"/>
        <v>0.42015738666425689</v>
      </c>
    </row>
    <row r="1427" spans="1:19" ht="15" x14ac:dyDescent="0.2">
      <c r="A1427" s="23">
        <v>46030</v>
      </c>
      <c r="B1427">
        <f t="shared" si="176"/>
        <v>2026</v>
      </c>
      <c r="C1427">
        <f t="shared" si="177"/>
        <v>1</v>
      </c>
      <c r="D1427" t="str">
        <f t="shared" si="178"/>
        <v>Enero</v>
      </c>
      <c r="E1427" t="str">
        <f t="shared" si="179"/>
        <v>T1</v>
      </c>
      <c r="F1427" t="s">
        <v>1554</v>
      </c>
      <c r="G1427" t="s">
        <v>54</v>
      </c>
      <c r="H1427" t="s">
        <v>55</v>
      </c>
      <c r="I1427" t="s">
        <v>56</v>
      </c>
      <c r="J1427" t="s">
        <v>125</v>
      </c>
      <c r="K1427" t="s">
        <v>138</v>
      </c>
      <c r="L1427" t="s">
        <v>139</v>
      </c>
      <c r="M1427" s="24">
        <v>10</v>
      </c>
      <c r="N1427" s="25">
        <v>55355.26</v>
      </c>
      <c r="O1427" s="25">
        <f t="shared" si="180"/>
        <v>553552.6</v>
      </c>
      <c r="P1427" s="25">
        <v>41945.97</v>
      </c>
      <c r="Q1427" s="25">
        <f t="shared" si="181"/>
        <v>419459.7</v>
      </c>
      <c r="R1427" s="25">
        <f t="shared" si="182"/>
        <v>134092.89999999997</v>
      </c>
      <c r="S1427" s="26">
        <f t="shared" si="183"/>
        <v>0.24224057478909858</v>
      </c>
    </row>
    <row r="1428" spans="1:19" ht="15" x14ac:dyDescent="0.2">
      <c r="A1428" s="23">
        <v>46030</v>
      </c>
      <c r="B1428">
        <f t="shared" si="176"/>
        <v>2026</v>
      </c>
      <c r="C1428">
        <f t="shared" si="177"/>
        <v>1</v>
      </c>
      <c r="D1428" t="str">
        <f t="shared" si="178"/>
        <v>Enero</v>
      </c>
      <c r="E1428" t="str">
        <f t="shared" si="179"/>
        <v>T1</v>
      </c>
      <c r="F1428" t="s">
        <v>1555</v>
      </c>
      <c r="G1428" t="s">
        <v>74</v>
      </c>
      <c r="H1428" t="s">
        <v>75</v>
      </c>
      <c r="I1428" t="s">
        <v>76</v>
      </c>
      <c r="J1428" t="s">
        <v>64</v>
      </c>
      <c r="K1428" t="s">
        <v>65</v>
      </c>
      <c r="L1428" t="s">
        <v>123</v>
      </c>
      <c r="M1428" s="24">
        <v>21</v>
      </c>
      <c r="N1428" s="25">
        <v>40901.29</v>
      </c>
      <c r="O1428" s="25">
        <f t="shared" si="180"/>
        <v>858927.09</v>
      </c>
      <c r="P1428" s="25">
        <v>28312.41</v>
      </c>
      <c r="Q1428" s="25">
        <f t="shared" si="181"/>
        <v>594560.61</v>
      </c>
      <c r="R1428" s="25">
        <f t="shared" si="182"/>
        <v>264366.48</v>
      </c>
      <c r="S1428" s="26">
        <f t="shared" si="183"/>
        <v>0.30778686931390181</v>
      </c>
    </row>
    <row r="1429" spans="1:19" ht="15" x14ac:dyDescent="0.2">
      <c r="A1429" s="23">
        <v>46030</v>
      </c>
      <c r="B1429">
        <f t="shared" si="176"/>
        <v>2026</v>
      </c>
      <c r="C1429">
        <f t="shared" si="177"/>
        <v>1</v>
      </c>
      <c r="D1429" t="str">
        <f t="shared" si="178"/>
        <v>Enero</v>
      </c>
      <c r="E1429" t="str">
        <f t="shared" si="179"/>
        <v>T1</v>
      </c>
      <c r="F1429" t="s">
        <v>1556</v>
      </c>
      <c r="G1429" t="s">
        <v>114</v>
      </c>
      <c r="H1429" t="s">
        <v>75</v>
      </c>
      <c r="I1429" t="s">
        <v>115</v>
      </c>
      <c r="J1429" t="s">
        <v>57</v>
      </c>
      <c r="K1429" t="s">
        <v>81</v>
      </c>
      <c r="L1429" t="s">
        <v>129</v>
      </c>
      <c r="M1429" s="24">
        <v>4</v>
      </c>
      <c r="N1429" s="25">
        <v>89518.96</v>
      </c>
      <c r="O1429" s="25">
        <f t="shared" si="180"/>
        <v>358075.84</v>
      </c>
      <c r="P1429" s="25">
        <v>61513.96</v>
      </c>
      <c r="Q1429" s="25">
        <f t="shared" si="181"/>
        <v>246055.84</v>
      </c>
      <c r="R1429" s="25">
        <f t="shared" si="182"/>
        <v>112020.00000000003</v>
      </c>
      <c r="S1429" s="26">
        <f t="shared" si="183"/>
        <v>0.31283875505256098</v>
      </c>
    </row>
    <row r="1430" spans="1:19" ht="15" x14ac:dyDescent="0.2">
      <c r="A1430" s="23">
        <v>46030</v>
      </c>
      <c r="B1430">
        <f t="shared" si="176"/>
        <v>2026</v>
      </c>
      <c r="C1430">
        <f t="shared" si="177"/>
        <v>1</v>
      </c>
      <c r="D1430" t="str">
        <f t="shared" si="178"/>
        <v>Enero</v>
      </c>
      <c r="E1430" t="str">
        <f t="shared" si="179"/>
        <v>T1</v>
      </c>
      <c r="F1430" t="s">
        <v>1557</v>
      </c>
      <c r="G1430" t="s">
        <v>92</v>
      </c>
      <c r="H1430" t="s">
        <v>93</v>
      </c>
      <c r="I1430" t="s">
        <v>94</v>
      </c>
      <c r="J1430" t="s">
        <v>77</v>
      </c>
      <c r="K1430" t="s">
        <v>107</v>
      </c>
      <c r="L1430" t="s">
        <v>112</v>
      </c>
      <c r="M1430" s="24">
        <v>17</v>
      </c>
      <c r="N1430" s="25">
        <v>22544.57</v>
      </c>
      <c r="O1430" s="25">
        <f t="shared" si="180"/>
        <v>383257.69</v>
      </c>
      <c r="P1430" s="25">
        <v>12324.45</v>
      </c>
      <c r="Q1430" s="25">
        <f t="shared" si="181"/>
        <v>209515.65000000002</v>
      </c>
      <c r="R1430" s="25">
        <f t="shared" si="182"/>
        <v>173742.03999999998</v>
      </c>
      <c r="S1430" s="26">
        <f t="shared" si="183"/>
        <v>0.45332956006701386</v>
      </c>
    </row>
    <row r="1431" spans="1:19" ht="15" x14ac:dyDescent="0.2">
      <c r="A1431" s="23">
        <v>46030</v>
      </c>
      <c r="B1431">
        <f t="shared" si="176"/>
        <v>2026</v>
      </c>
      <c r="C1431">
        <f t="shared" si="177"/>
        <v>1</v>
      </c>
      <c r="D1431" t="str">
        <f t="shared" si="178"/>
        <v>Enero</v>
      </c>
      <c r="E1431" t="str">
        <f t="shared" si="179"/>
        <v>T1</v>
      </c>
      <c r="F1431" t="s">
        <v>1558</v>
      </c>
      <c r="G1431" t="s">
        <v>92</v>
      </c>
      <c r="H1431" t="s">
        <v>93</v>
      </c>
      <c r="I1431" t="s">
        <v>94</v>
      </c>
      <c r="J1431" t="s">
        <v>125</v>
      </c>
      <c r="K1431" t="s">
        <v>138</v>
      </c>
      <c r="L1431" t="s">
        <v>139</v>
      </c>
      <c r="M1431" s="24">
        <v>10</v>
      </c>
      <c r="N1431" s="25">
        <v>21562.16</v>
      </c>
      <c r="O1431" s="25">
        <f t="shared" si="180"/>
        <v>215621.6</v>
      </c>
      <c r="P1431" s="25">
        <v>12294.93</v>
      </c>
      <c r="Q1431" s="25">
        <f t="shared" si="181"/>
        <v>122949.3</v>
      </c>
      <c r="R1431" s="25">
        <f t="shared" si="182"/>
        <v>92672.3</v>
      </c>
      <c r="S1431" s="26">
        <f t="shared" si="183"/>
        <v>0.42979135671008839</v>
      </c>
    </row>
    <row r="1432" spans="1:19" ht="15" x14ac:dyDescent="0.2">
      <c r="A1432" s="23">
        <v>46031</v>
      </c>
      <c r="B1432">
        <f t="shared" si="176"/>
        <v>2026</v>
      </c>
      <c r="C1432">
        <f t="shared" si="177"/>
        <v>1</v>
      </c>
      <c r="D1432" t="str">
        <f t="shared" si="178"/>
        <v>Enero</v>
      </c>
      <c r="E1432" t="str">
        <f t="shared" si="179"/>
        <v>T1</v>
      </c>
      <c r="F1432" t="s">
        <v>1559</v>
      </c>
      <c r="G1432" t="s">
        <v>54</v>
      </c>
      <c r="H1432" t="s">
        <v>55</v>
      </c>
      <c r="I1432" t="s">
        <v>56</v>
      </c>
      <c r="J1432" t="s">
        <v>57</v>
      </c>
      <c r="K1432" t="s">
        <v>81</v>
      </c>
      <c r="L1432" t="s">
        <v>129</v>
      </c>
      <c r="M1432" s="24">
        <v>10</v>
      </c>
      <c r="N1432" s="25">
        <v>52876.01</v>
      </c>
      <c r="O1432" s="25">
        <f t="shared" si="180"/>
        <v>528760.1</v>
      </c>
      <c r="P1432" s="25">
        <v>40222.78</v>
      </c>
      <c r="Q1432" s="25">
        <f t="shared" si="181"/>
        <v>402227.8</v>
      </c>
      <c r="R1432" s="25">
        <f t="shared" si="182"/>
        <v>126532.29999999999</v>
      </c>
      <c r="S1432" s="26">
        <f t="shared" si="183"/>
        <v>0.2393000152621198</v>
      </c>
    </row>
    <row r="1433" spans="1:19" ht="15" x14ac:dyDescent="0.2">
      <c r="A1433" s="23">
        <v>46031</v>
      </c>
      <c r="B1433">
        <f t="shared" si="176"/>
        <v>2026</v>
      </c>
      <c r="C1433">
        <f t="shared" si="177"/>
        <v>1</v>
      </c>
      <c r="D1433" t="str">
        <f t="shared" si="178"/>
        <v>Enero</v>
      </c>
      <c r="E1433" t="str">
        <f t="shared" si="179"/>
        <v>T1</v>
      </c>
      <c r="F1433" t="s">
        <v>1560</v>
      </c>
      <c r="G1433" t="s">
        <v>54</v>
      </c>
      <c r="H1433" t="s">
        <v>55</v>
      </c>
      <c r="I1433" t="s">
        <v>56</v>
      </c>
      <c r="J1433" t="s">
        <v>70</v>
      </c>
      <c r="K1433" t="s">
        <v>71</v>
      </c>
      <c r="L1433" t="s">
        <v>72</v>
      </c>
      <c r="M1433" s="24">
        <v>5</v>
      </c>
      <c r="N1433" s="25">
        <v>53723.23</v>
      </c>
      <c r="O1433" s="25">
        <f t="shared" si="180"/>
        <v>268616.15000000002</v>
      </c>
      <c r="P1433" s="25">
        <v>43515.64</v>
      </c>
      <c r="Q1433" s="25">
        <f t="shared" si="181"/>
        <v>217578.2</v>
      </c>
      <c r="R1433" s="25">
        <f t="shared" si="182"/>
        <v>51037.950000000012</v>
      </c>
      <c r="S1433" s="26">
        <f t="shared" si="183"/>
        <v>0.19000328163440661</v>
      </c>
    </row>
    <row r="1434" spans="1:19" ht="15" x14ac:dyDescent="0.2">
      <c r="A1434" s="23">
        <v>46031</v>
      </c>
      <c r="B1434">
        <f t="shared" si="176"/>
        <v>2026</v>
      </c>
      <c r="C1434">
        <f t="shared" si="177"/>
        <v>1</v>
      </c>
      <c r="D1434" t="str">
        <f t="shared" si="178"/>
        <v>Enero</v>
      </c>
      <c r="E1434" t="str">
        <f t="shared" si="179"/>
        <v>T1</v>
      </c>
      <c r="F1434" t="s">
        <v>1561</v>
      </c>
      <c r="G1434" t="s">
        <v>188</v>
      </c>
      <c r="H1434" t="s">
        <v>88</v>
      </c>
      <c r="I1434" t="s">
        <v>189</v>
      </c>
      <c r="J1434" t="s">
        <v>125</v>
      </c>
      <c r="K1434" t="s">
        <v>126</v>
      </c>
      <c r="L1434" t="s">
        <v>131</v>
      </c>
      <c r="M1434" s="24">
        <v>2</v>
      </c>
      <c r="N1434" s="25">
        <v>85460.86</v>
      </c>
      <c r="O1434" s="25">
        <f t="shared" si="180"/>
        <v>170921.72</v>
      </c>
      <c r="P1434" s="25">
        <v>47927.68</v>
      </c>
      <c r="Q1434" s="25">
        <f t="shared" si="181"/>
        <v>95855.360000000001</v>
      </c>
      <c r="R1434" s="25">
        <f t="shared" si="182"/>
        <v>75066.36</v>
      </c>
      <c r="S1434" s="26">
        <f t="shared" si="183"/>
        <v>0.43918561081646029</v>
      </c>
    </row>
    <row r="1435" spans="1:19" ht="15" x14ac:dyDescent="0.2">
      <c r="A1435" s="23">
        <v>46031</v>
      </c>
      <c r="B1435">
        <f t="shared" si="176"/>
        <v>2026</v>
      </c>
      <c r="C1435">
        <f t="shared" si="177"/>
        <v>1</v>
      </c>
      <c r="D1435" t="str">
        <f t="shared" si="178"/>
        <v>Enero</v>
      </c>
      <c r="E1435" t="str">
        <f t="shared" si="179"/>
        <v>T1</v>
      </c>
      <c r="F1435" t="s">
        <v>1562</v>
      </c>
      <c r="G1435" t="s">
        <v>149</v>
      </c>
      <c r="H1435" t="s">
        <v>93</v>
      </c>
      <c r="I1435" t="s">
        <v>150</v>
      </c>
      <c r="J1435" t="s">
        <v>70</v>
      </c>
      <c r="K1435" t="s">
        <v>71</v>
      </c>
      <c r="L1435" t="s">
        <v>72</v>
      </c>
      <c r="M1435" s="24">
        <v>3</v>
      </c>
      <c r="N1435" s="25">
        <v>36400.550000000003</v>
      </c>
      <c r="O1435" s="25">
        <f t="shared" si="180"/>
        <v>109201.65000000001</v>
      </c>
      <c r="P1435" s="25">
        <v>22301.54</v>
      </c>
      <c r="Q1435" s="25">
        <f t="shared" si="181"/>
        <v>66904.62</v>
      </c>
      <c r="R1435" s="25">
        <f t="shared" si="182"/>
        <v>42297.030000000013</v>
      </c>
      <c r="S1435" s="26">
        <f t="shared" si="183"/>
        <v>0.38732958705294296</v>
      </c>
    </row>
    <row r="1436" spans="1:19" ht="15" x14ac:dyDescent="0.2">
      <c r="A1436" s="23">
        <v>46032</v>
      </c>
      <c r="B1436">
        <f t="shared" si="176"/>
        <v>2026</v>
      </c>
      <c r="C1436">
        <f t="shared" si="177"/>
        <v>1</v>
      </c>
      <c r="D1436" t="str">
        <f t="shared" si="178"/>
        <v>Enero</v>
      </c>
      <c r="E1436" t="str">
        <f t="shared" si="179"/>
        <v>T1</v>
      </c>
      <c r="F1436" t="s">
        <v>1563</v>
      </c>
      <c r="G1436" t="s">
        <v>110</v>
      </c>
      <c r="H1436" t="s">
        <v>62</v>
      </c>
      <c r="I1436" t="s">
        <v>69</v>
      </c>
      <c r="J1436" t="s">
        <v>77</v>
      </c>
      <c r="K1436" t="s">
        <v>107</v>
      </c>
      <c r="L1436" t="s">
        <v>112</v>
      </c>
      <c r="M1436" s="24">
        <v>64</v>
      </c>
      <c r="N1436" s="25">
        <v>6993.38</v>
      </c>
      <c r="O1436" s="25">
        <f t="shared" si="180"/>
        <v>447576.32000000001</v>
      </c>
      <c r="P1436" s="25">
        <v>5411.87</v>
      </c>
      <c r="Q1436" s="25">
        <f t="shared" si="181"/>
        <v>346359.68</v>
      </c>
      <c r="R1436" s="25">
        <f t="shared" si="182"/>
        <v>101216.64000000001</v>
      </c>
      <c r="S1436" s="26">
        <f t="shared" si="183"/>
        <v>0.22614386748610832</v>
      </c>
    </row>
    <row r="1437" spans="1:19" ht="15" x14ac:dyDescent="0.2">
      <c r="A1437" s="23">
        <v>46032</v>
      </c>
      <c r="B1437">
        <f t="shared" si="176"/>
        <v>2026</v>
      </c>
      <c r="C1437">
        <f t="shared" si="177"/>
        <v>1</v>
      </c>
      <c r="D1437" t="str">
        <f t="shared" si="178"/>
        <v>Enero</v>
      </c>
      <c r="E1437" t="str">
        <f t="shared" si="179"/>
        <v>T1</v>
      </c>
      <c r="F1437" t="s">
        <v>1564</v>
      </c>
      <c r="G1437" t="s">
        <v>74</v>
      </c>
      <c r="H1437" t="s">
        <v>75</v>
      </c>
      <c r="I1437" t="s">
        <v>76</v>
      </c>
      <c r="J1437" t="s">
        <v>77</v>
      </c>
      <c r="K1437" t="s">
        <v>107</v>
      </c>
      <c r="L1437" t="s">
        <v>112</v>
      </c>
      <c r="M1437" s="24">
        <v>16</v>
      </c>
      <c r="N1437" s="25">
        <v>41582.92</v>
      </c>
      <c r="O1437" s="25">
        <f t="shared" si="180"/>
        <v>665326.72</v>
      </c>
      <c r="P1437" s="25">
        <v>27191.59</v>
      </c>
      <c r="Q1437" s="25">
        <f t="shared" si="181"/>
        <v>435065.44</v>
      </c>
      <c r="R1437" s="25">
        <f t="shared" si="182"/>
        <v>230261.27999999997</v>
      </c>
      <c r="S1437" s="26">
        <f t="shared" si="183"/>
        <v>0.34608752824476968</v>
      </c>
    </row>
    <row r="1438" spans="1:19" ht="15" x14ac:dyDescent="0.2">
      <c r="A1438" s="23">
        <v>46032</v>
      </c>
      <c r="B1438">
        <f t="shared" si="176"/>
        <v>2026</v>
      </c>
      <c r="C1438">
        <f t="shared" si="177"/>
        <v>1</v>
      </c>
      <c r="D1438" t="str">
        <f t="shared" si="178"/>
        <v>Enero</v>
      </c>
      <c r="E1438" t="str">
        <f t="shared" si="179"/>
        <v>T1</v>
      </c>
      <c r="F1438" t="s">
        <v>1565</v>
      </c>
      <c r="G1438" t="s">
        <v>100</v>
      </c>
      <c r="H1438" t="s">
        <v>88</v>
      </c>
      <c r="I1438" t="s">
        <v>101</v>
      </c>
      <c r="J1438" t="s">
        <v>57</v>
      </c>
      <c r="K1438" t="s">
        <v>58</v>
      </c>
      <c r="L1438" t="s">
        <v>162</v>
      </c>
      <c r="M1438" s="24">
        <v>5</v>
      </c>
      <c r="N1438" s="25">
        <v>36288.35</v>
      </c>
      <c r="O1438" s="25">
        <f t="shared" si="180"/>
        <v>181441.75</v>
      </c>
      <c r="P1438" s="25">
        <v>20695.310000000001</v>
      </c>
      <c r="Q1438" s="25">
        <f t="shared" si="181"/>
        <v>103476.55</v>
      </c>
      <c r="R1438" s="25">
        <f t="shared" si="182"/>
        <v>77965.2</v>
      </c>
      <c r="S1438" s="26">
        <f t="shared" si="183"/>
        <v>0.42969823648636546</v>
      </c>
    </row>
    <row r="1439" spans="1:19" ht="15" x14ac:dyDescent="0.2">
      <c r="A1439" s="23">
        <v>46032</v>
      </c>
      <c r="B1439">
        <f t="shared" si="176"/>
        <v>2026</v>
      </c>
      <c r="C1439">
        <f t="shared" si="177"/>
        <v>1</v>
      </c>
      <c r="D1439" t="str">
        <f t="shared" si="178"/>
        <v>Enero</v>
      </c>
      <c r="E1439" t="str">
        <f t="shared" si="179"/>
        <v>T1</v>
      </c>
      <c r="F1439" t="s">
        <v>1566</v>
      </c>
      <c r="G1439" t="s">
        <v>149</v>
      </c>
      <c r="H1439" t="s">
        <v>93</v>
      </c>
      <c r="I1439" t="s">
        <v>150</v>
      </c>
      <c r="J1439" t="s">
        <v>77</v>
      </c>
      <c r="K1439" t="s">
        <v>78</v>
      </c>
      <c r="L1439" t="s">
        <v>79</v>
      </c>
      <c r="M1439" s="24">
        <v>4</v>
      </c>
      <c r="N1439" s="25">
        <v>49111.28</v>
      </c>
      <c r="O1439" s="25">
        <f t="shared" si="180"/>
        <v>196445.12</v>
      </c>
      <c r="P1439" s="25">
        <v>27721.72</v>
      </c>
      <c r="Q1439" s="25">
        <f t="shared" si="181"/>
        <v>110886.88</v>
      </c>
      <c r="R1439" s="25">
        <f t="shared" si="182"/>
        <v>85558.239999999991</v>
      </c>
      <c r="S1439" s="26">
        <f t="shared" si="183"/>
        <v>0.43553252939039661</v>
      </c>
    </row>
    <row r="1440" spans="1:19" ht="15" x14ac:dyDescent="0.2">
      <c r="A1440" s="23">
        <v>46033</v>
      </c>
      <c r="B1440">
        <f t="shared" si="176"/>
        <v>2026</v>
      </c>
      <c r="C1440">
        <f t="shared" si="177"/>
        <v>1</v>
      </c>
      <c r="D1440" t="str">
        <f t="shared" si="178"/>
        <v>Enero</v>
      </c>
      <c r="E1440" t="str">
        <f t="shared" si="179"/>
        <v>T1</v>
      </c>
      <c r="F1440" t="s">
        <v>1567</v>
      </c>
      <c r="G1440" t="s">
        <v>1035</v>
      </c>
      <c r="H1440" t="s">
        <v>55</v>
      </c>
      <c r="I1440" t="s">
        <v>1036</v>
      </c>
      <c r="J1440" t="s">
        <v>64</v>
      </c>
      <c r="K1440" t="s">
        <v>65</v>
      </c>
      <c r="L1440" t="s">
        <v>123</v>
      </c>
      <c r="M1440" s="24">
        <v>3</v>
      </c>
      <c r="N1440" s="25">
        <v>804004.56</v>
      </c>
      <c r="O1440" s="25">
        <f t="shared" si="180"/>
        <v>2412013.6800000002</v>
      </c>
      <c r="P1440" s="25">
        <v>625686.4</v>
      </c>
      <c r="Q1440" s="25">
        <f t="shared" si="181"/>
        <v>1877059.2000000002</v>
      </c>
      <c r="R1440" s="25">
        <f t="shared" si="182"/>
        <v>534954.48</v>
      </c>
      <c r="S1440" s="26">
        <f t="shared" si="183"/>
        <v>0.22178749831966124</v>
      </c>
    </row>
    <row r="1441" spans="1:19" ht="15" x14ac:dyDescent="0.2">
      <c r="A1441" s="23">
        <v>46033</v>
      </c>
      <c r="B1441">
        <f t="shared" si="176"/>
        <v>2026</v>
      </c>
      <c r="C1441">
        <f t="shared" si="177"/>
        <v>1</v>
      </c>
      <c r="D1441" t="str">
        <f t="shared" si="178"/>
        <v>Enero</v>
      </c>
      <c r="E1441" t="str">
        <f t="shared" si="179"/>
        <v>T1</v>
      </c>
      <c r="F1441" t="s">
        <v>1568</v>
      </c>
      <c r="G1441" t="s">
        <v>183</v>
      </c>
      <c r="H1441" t="s">
        <v>55</v>
      </c>
      <c r="I1441" t="s">
        <v>184</v>
      </c>
      <c r="J1441" t="s">
        <v>64</v>
      </c>
      <c r="K1441" t="s">
        <v>96</v>
      </c>
      <c r="L1441" t="s">
        <v>103</v>
      </c>
      <c r="M1441" s="24">
        <v>2</v>
      </c>
      <c r="N1441" s="25">
        <v>438781.34</v>
      </c>
      <c r="O1441" s="25">
        <f t="shared" si="180"/>
        <v>877562.68</v>
      </c>
      <c r="P1441" s="25">
        <v>346469.09</v>
      </c>
      <c r="Q1441" s="25">
        <f t="shared" si="181"/>
        <v>692938.18</v>
      </c>
      <c r="R1441" s="25">
        <f t="shared" si="182"/>
        <v>184624.5</v>
      </c>
      <c r="S1441" s="26">
        <f t="shared" si="183"/>
        <v>0.21038326287986631</v>
      </c>
    </row>
    <row r="1442" spans="1:19" ht="15" x14ac:dyDescent="0.2">
      <c r="A1442" s="23">
        <v>46033</v>
      </c>
      <c r="B1442">
        <f t="shared" si="176"/>
        <v>2026</v>
      </c>
      <c r="C1442">
        <f t="shared" si="177"/>
        <v>1</v>
      </c>
      <c r="D1442" t="str">
        <f t="shared" si="178"/>
        <v>Enero</v>
      </c>
      <c r="E1442" t="str">
        <f t="shared" si="179"/>
        <v>T1</v>
      </c>
      <c r="F1442" t="s">
        <v>1569</v>
      </c>
      <c r="G1442" t="s">
        <v>54</v>
      </c>
      <c r="H1442" t="s">
        <v>55</v>
      </c>
      <c r="I1442" t="s">
        <v>56</v>
      </c>
      <c r="J1442" t="s">
        <v>125</v>
      </c>
      <c r="K1442" t="s">
        <v>138</v>
      </c>
      <c r="L1442" t="s">
        <v>142</v>
      </c>
      <c r="M1442" s="24">
        <v>4</v>
      </c>
      <c r="N1442" s="25">
        <v>53214.27</v>
      </c>
      <c r="O1442" s="25">
        <f t="shared" si="180"/>
        <v>212857.08</v>
      </c>
      <c r="P1442" s="25">
        <v>40106.230000000003</v>
      </c>
      <c r="Q1442" s="25">
        <f t="shared" si="181"/>
        <v>160424.92000000001</v>
      </c>
      <c r="R1442" s="25">
        <f t="shared" si="182"/>
        <v>52432.159999999974</v>
      </c>
      <c r="S1442" s="26">
        <f t="shared" si="183"/>
        <v>0.2463256566330797</v>
      </c>
    </row>
    <row r="1443" spans="1:19" ht="15" x14ac:dyDescent="0.2">
      <c r="A1443" s="23">
        <v>46033</v>
      </c>
      <c r="B1443">
        <f t="shared" si="176"/>
        <v>2026</v>
      </c>
      <c r="C1443">
        <f t="shared" si="177"/>
        <v>1</v>
      </c>
      <c r="D1443" t="str">
        <f t="shared" si="178"/>
        <v>Enero</v>
      </c>
      <c r="E1443" t="str">
        <f t="shared" si="179"/>
        <v>T1</v>
      </c>
      <c r="F1443" t="s">
        <v>1570</v>
      </c>
      <c r="G1443" t="s">
        <v>54</v>
      </c>
      <c r="H1443" t="s">
        <v>55</v>
      </c>
      <c r="I1443" t="s">
        <v>56</v>
      </c>
      <c r="J1443" t="s">
        <v>70</v>
      </c>
      <c r="K1443" t="s">
        <v>84</v>
      </c>
      <c r="L1443" t="s">
        <v>85</v>
      </c>
      <c r="M1443" s="24">
        <v>10</v>
      </c>
      <c r="N1443" s="25">
        <v>50056.02</v>
      </c>
      <c r="O1443" s="25">
        <f t="shared" si="180"/>
        <v>500560.19999999995</v>
      </c>
      <c r="P1443" s="25">
        <v>40301.050000000003</v>
      </c>
      <c r="Q1443" s="25">
        <f t="shared" si="181"/>
        <v>403010.5</v>
      </c>
      <c r="R1443" s="25">
        <f t="shared" si="182"/>
        <v>97549.699999999953</v>
      </c>
      <c r="S1443" s="26">
        <f t="shared" si="183"/>
        <v>0.19488105526568025</v>
      </c>
    </row>
    <row r="1444" spans="1:19" ht="15" x14ac:dyDescent="0.2">
      <c r="A1444" s="23">
        <v>46033</v>
      </c>
      <c r="B1444">
        <f t="shared" si="176"/>
        <v>2026</v>
      </c>
      <c r="C1444">
        <f t="shared" si="177"/>
        <v>1</v>
      </c>
      <c r="D1444" t="str">
        <f t="shared" si="178"/>
        <v>Enero</v>
      </c>
      <c r="E1444" t="str">
        <f t="shared" si="179"/>
        <v>T1</v>
      </c>
      <c r="F1444" t="s">
        <v>1571</v>
      </c>
      <c r="G1444" t="s">
        <v>114</v>
      </c>
      <c r="H1444" t="s">
        <v>75</v>
      </c>
      <c r="I1444" t="s">
        <v>115</v>
      </c>
      <c r="J1444" t="s">
        <v>64</v>
      </c>
      <c r="K1444" t="s">
        <v>96</v>
      </c>
      <c r="L1444" t="s">
        <v>103</v>
      </c>
      <c r="M1444" s="24">
        <v>9</v>
      </c>
      <c r="N1444" s="25">
        <v>97358.81</v>
      </c>
      <c r="O1444" s="25">
        <f t="shared" si="180"/>
        <v>876229.29</v>
      </c>
      <c r="P1444" s="25">
        <v>68469.56</v>
      </c>
      <c r="Q1444" s="25">
        <f t="shared" si="181"/>
        <v>616226.04</v>
      </c>
      <c r="R1444" s="25">
        <f t="shared" si="182"/>
        <v>260003.25</v>
      </c>
      <c r="S1444" s="26">
        <f t="shared" si="183"/>
        <v>0.29672969503222152</v>
      </c>
    </row>
    <row r="1445" spans="1:19" ht="15" x14ac:dyDescent="0.2">
      <c r="A1445" s="23">
        <v>46034</v>
      </c>
      <c r="B1445">
        <f t="shared" si="176"/>
        <v>2026</v>
      </c>
      <c r="C1445">
        <f t="shared" si="177"/>
        <v>1</v>
      </c>
      <c r="D1445" t="str">
        <f t="shared" si="178"/>
        <v>Enero</v>
      </c>
      <c r="E1445" t="str">
        <f t="shared" si="179"/>
        <v>T1</v>
      </c>
      <c r="F1445" t="s">
        <v>1572</v>
      </c>
      <c r="G1445" t="s">
        <v>54</v>
      </c>
      <c r="H1445" t="s">
        <v>55</v>
      </c>
      <c r="I1445" t="s">
        <v>56</v>
      </c>
      <c r="J1445" t="s">
        <v>125</v>
      </c>
      <c r="K1445" t="s">
        <v>126</v>
      </c>
      <c r="L1445" t="s">
        <v>127</v>
      </c>
      <c r="M1445" s="24">
        <v>3</v>
      </c>
      <c r="N1445" s="25">
        <v>63871.11</v>
      </c>
      <c r="O1445" s="25">
        <f t="shared" si="180"/>
        <v>191613.33000000002</v>
      </c>
      <c r="P1445" s="25">
        <v>48499.81</v>
      </c>
      <c r="Q1445" s="25">
        <f t="shared" si="181"/>
        <v>145499.43</v>
      </c>
      <c r="R1445" s="25">
        <f t="shared" si="182"/>
        <v>46113.900000000023</v>
      </c>
      <c r="S1445" s="26">
        <f t="shared" si="183"/>
        <v>0.24066123165856998</v>
      </c>
    </row>
    <row r="1446" spans="1:19" ht="15" x14ac:dyDescent="0.2">
      <c r="A1446" s="23">
        <v>46034</v>
      </c>
      <c r="B1446">
        <f t="shared" si="176"/>
        <v>2026</v>
      </c>
      <c r="C1446">
        <f t="shared" si="177"/>
        <v>1</v>
      </c>
      <c r="D1446" t="str">
        <f t="shared" si="178"/>
        <v>Enero</v>
      </c>
      <c r="E1446" t="str">
        <f t="shared" si="179"/>
        <v>T1</v>
      </c>
      <c r="F1446" t="s">
        <v>1573</v>
      </c>
      <c r="G1446" t="s">
        <v>68</v>
      </c>
      <c r="H1446" t="s">
        <v>62</v>
      </c>
      <c r="I1446" t="s">
        <v>69</v>
      </c>
      <c r="J1446" t="s">
        <v>70</v>
      </c>
      <c r="K1446" t="s">
        <v>84</v>
      </c>
      <c r="L1446" t="s">
        <v>85</v>
      </c>
      <c r="M1446" s="24">
        <v>66</v>
      </c>
      <c r="N1446" s="25">
        <v>3021.53</v>
      </c>
      <c r="O1446" s="25">
        <f t="shared" si="180"/>
        <v>199420.98</v>
      </c>
      <c r="P1446" s="25">
        <v>2581.9299999999998</v>
      </c>
      <c r="Q1446" s="25">
        <f t="shared" si="181"/>
        <v>170407.37999999998</v>
      </c>
      <c r="R1446" s="25">
        <f t="shared" si="182"/>
        <v>29013.600000000035</v>
      </c>
      <c r="S1446" s="26">
        <f t="shared" si="183"/>
        <v>0.14548920579971092</v>
      </c>
    </row>
    <row r="1447" spans="1:19" ht="15" x14ac:dyDescent="0.2">
      <c r="A1447" s="23">
        <v>46034</v>
      </c>
      <c r="B1447">
        <f t="shared" si="176"/>
        <v>2026</v>
      </c>
      <c r="C1447">
        <f t="shared" si="177"/>
        <v>1</v>
      </c>
      <c r="D1447" t="str">
        <f t="shared" si="178"/>
        <v>Enero</v>
      </c>
      <c r="E1447" t="str">
        <f t="shared" si="179"/>
        <v>T1</v>
      </c>
      <c r="F1447" t="s">
        <v>1574</v>
      </c>
      <c r="G1447" t="s">
        <v>74</v>
      </c>
      <c r="H1447" t="s">
        <v>75</v>
      </c>
      <c r="I1447" t="s">
        <v>76</v>
      </c>
      <c r="J1447" t="s">
        <v>125</v>
      </c>
      <c r="K1447" t="s">
        <v>126</v>
      </c>
      <c r="L1447" t="s">
        <v>127</v>
      </c>
      <c r="M1447" s="24">
        <v>3</v>
      </c>
      <c r="N1447" s="25">
        <v>41945.67</v>
      </c>
      <c r="O1447" s="25">
        <f t="shared" si="180"/>
        <v>125837.01</v>
      </c>
      <c r="P1447" s="25">
        <v>28207.83</v>
      </c>
      <c r="Q1447" s="25">
        <f t="shared" si="181"/>
        <v>84623.49</v>
      </c>
      <c r="R1447" s="25">
        <f t="shared" si="182"/>
        <v>41213.51999999999</v>
      </c>
      <c r="S1447" s="26">
        <f t="shared" si="183"/>
        <v>0.32751509273782009</v>
      </c>
    </row>
    <row r="1448" spans="1:19" ht="15" x14ac:dyDescent="0.2">
      <c r="A1448" s="23">
        <v>46034</v>
      </c>
      <c r="B1448">
        <f t="shared" si="176"/>
        <v>2026</v>
      </c>
      <c r="C1448">
        <f t="shared" si="177"/>
        <v>1</v>
      </c>
      <c r="D1448" t="str">
        <f t="shared" si="178"/>
        <v>Enero</v>
      </c>
      <c r="E1448" t="str">
        <f t="shared" si="179"/>
        <v>T1</v>
      </c>
      <c r="F1448" t="s">
        <v>1575</v>
      </c>
      <c r="G1448" t="s">
        <v>100</v>
      </c>
      <c r="H1448" t="s">
        <v>88</v>
      </c>
      <c r="I1448" t="s">
        <v>101</v>
      </c>
      <c r="J1448" t="s">
        <v>57</v>
      </c>
      <c r="K1448" t="s">
        <v>58</v>
      </c>
      <c r="L1448" t="s">
        <v>162</v>
      </c>
      <c r="M1448" s="24">
        <v>6</v>
      </c>
      <c r="N1448" s="25">
        <v>40861.78</v>
      </c>
      <c r="O1448" s="25">
        <f t="shared" si="180"/>
        <v>245170.68</v>
      </c>
      <c r="P1448" s="25">
        <v>22739.040000000001</v>
      </c>
      <c r="Q1448" s="25">
        <f t="shared" si="181"/>
        <v>136434.23999999999</v>
      </c>
      <c r="R1448" s="25">
        <f t="shared" si="182"/>
        <v>108736.44</v>
      </c>
      <c r="S1448" s="26">
        <f t="shared" si="183"/>
        <v>0.44351322923279407</v>
      </c>
    </row>
    <row r="1449" spans="1:19" ht="15" x14ac:dyDescent="0.2">
      <c r="A1449" s="23">
        <v>46035</v>
      </c>
      <c r="B1449">
        <f t="shared" si="176"/>
        <v>2026</v>
      </c>
      <c r="C1449">
        <f t="shared" si="177"/>
        <v>1</v>
      </c>
      <c r="D1449" t="str">
        <f t="shared" si="178"/>
        <v>Enero</v>
      </c>
      <c r="E1449" t="str">
        <f t="shared" si="179"/>
        <v>T1</v>
      </c>
      <c r="F1449" t="s">
        <v>1576</v>
      </c>
      <c r="G1449" t="s">
        <v>54</v>
      </c>
      <c r="H1449" t="s">
        <v>55</v>
      </c>
      <c r="I1449" t="s">
        <v>56</v>
      </c>
      <c r="J1449" t="s">
        <v>70</v>
      </c>
      <c r="K1449" t="s">
        <v>84</v>
      </c>
      <c r="L1449" t="s">
        <v>147</v>
      </c>
      <c r="M1449" s="24">
        <v>7</v>
      </c>
      <c r="N1449" s="25">
        <v>52566.04</v>
      </c>
      <c r="O1449" s="25">
        <f t="shared" si="180"/>
        <v>367962.28</v>
      </c>
      <c r="P1449" s="25">
        <v>41800.31</v>
      </c>
      <c r="Q1449" s="25">
        <f t="shared" si="181"/>
        <v>292602.17</v>
      </c>
      <c r="R1449" s="25">
        <f t="shared" si="182"/>
        <v>75360.110000000044</v>
      </c>
      <c r="S1449" s="26">
        <f t="shared" si="183"/>
        <v>0.20480390000844662</v>
      </c>
    </row>
    <row r="1450" spans="1:19" ht="15" x14ac:dyDescent="0.2">
      <c r="A1450" s="23">
        <v>46035</v>
      </c>
      <c r="B1450">
        <f t="shared" si="176"/>
        <v>2026</v>
      </c>
      <c r="C1450">
        <f t="shared" si="177"/>
        <v>1</v>
      </c>
      <c r="D1450" t="str">
        <f t="shared" si="178"/>
        <v>Enero</v>
      </c>
      <c r="E1450" t="str">
        <f t="shared" si="179"/>
        <v>T1</v>
      </c>
      <c r="F1450" t="s">
        <v>1577</v>
      </c>
      <c r="G1450" t="s">
        <v>68</v>
      </c>
      <c r="H1450" t="s">
        <v>62</v>
      </c>
      <c r="I1450" t="s">
        <v>69</v>
      </c>
      <c r="J1450" t="s">
        <v>64</v>
      </c>
      <c r="K1450" t="s">
        <v>65</v>
      </c>
      <c r="L1450" t="s">
        <v>123</v>
      </c>
      <c r="M1450" s="24">
        <v>409</v>
      </c>
      <c r="N1450" s="25">
        <v>3118.16</v>
      </c>
      <c r="O1450" s="25">
        <f t="shared" si="180"/>
        <v>1275327.44</v>
      </c>
      <c r="P1450" s="25">
        <v>2598.61</v>
      </c>
      <c r="Q1450" s="25">
        <f t="shared" si="181"/>
        <v>1062831.49</v>
      </c>
      <c r="R1450" s="25">
        <f t="shared" si="182"/>
        <v>212495.94999999995</v>
      </c>
      <c r="S1450" s="26">
        <f t="shared" si="183"/>
        <v>0.16662069938681784</v>
      </c>
    </row>
    <row r="1451" spans="1:19" ht="15" x14ac:dyDescent="0.2">
      <c r="A1451" s="23">
        <v>46035</v>
      </c>
      <c r="B1451">
        <f t="shared" si="176"/>
        <v>2026</v>
      </c>
      <c r="C1451">
        <f t="shared" si="177"/>
        <v>1</v>
      </c>
      <c r="D1451" t="str">
        <f t="shared" si="178"/>
        <v>Enero</v>
      </c>
      <c r="E1451" t="str">
        <f t="shared" si="179"/>
        <v>T1</v>
      </c>
      <c r="F1451" t="s">
        <v>1578</v>
      </c>
      <c r="G1451" t="s">
        <v>68</v>
      </c>
      <c r="H1451" t="s">
        <v>62</v>
      </c>
      <c r="I1451" t="s">
        <v>69</v>
      </c>
      <c r="J1451" t="s">
        <v>125</v>
      </c>
      <c r="K1451" t="s">
        <v>138</v>
      </c>
      <c r="L1451" t="s">
        <v>139</v>
      </c>
      <c r="M1451" s="24">
        <v>108</v>
      </c>
      <c r="N1451" s="25">
        <v>3210.91</v>
      </c>
      <c r="O1451" s="25">
        <f t="shared" si="180"/>
        <v>346778.27999999997</v>
      </c>
      <c r="P1451" s="25">
        <v>2596.1999999999998</v>
      </c>
      <c r="Q1451" s="25">
        <f t="shared" si="181"/>
        <v>280389.59999999998</v>
      </c>
      <c r="R1451" s="25">
        <f t="shared" si="182"/>
        <v>66388.679999999993</v>
      </c>
      <c r="S1451" s="26">
        <f t="shared" si="183"/>
        <v>0.19144417003279443</v>
      </c>
    </row>
    <row r="1452" spans="1:19" ht="15" x14ac:dyDescent="0.2">
      <c r="A1452" s="23">
        <v>46035</v>
      </c>
      <c r="B1452">
        <f t="shared" si="176"/>
        <v>2026</v>
      </c>
      <c r="C1452">
        <f t="shared" si="177"/>
        <v>1</v>
      </c>
      <c r="D1452" t="str">
        <f t="shared" si="178"/>
        <v>Enero</v>
      </c>
      <c r="E1452" t="str">
        <f t="shared" si="179"/>
        <v>T1</v>
      </c>
      <c r="F1452" t="s">
        <v>1579</v>
      </c>
      <c r="G1452" t="s">
        <v>68</v>
      </c>
      <c r="H1452" t="s">
        <v>62</v>
      </c>
      <c r="I1452" t="s">
        <v>69</v>
      </c>
      <c r="J1452" t="s">
        <v>125</v>
      </c>
      <c r="K1452" t="s">
        <v>126</v>
      </c>
      <c r="L1452" t="s">
        <v>131</v>
      </c>
      <c r="M1452" s="24">
        <v>72</v>
      </c>
      <c r="N1452" s="25">
        <v>3167.82</v>
      </c>
      <c r="O1452" s="25">
        <f t="shared" si="180"/>
        <v>228083.04</v>
      </c>
      <c r="P1452" s="25">
        <v>2594.67</v>
      </c>
      <c r="Q1452" s="25">
        <f t="shared" si="181"/>
        <v>186816.24</v>
      </c>
      <c r="R1452" s="25">
        <f t="shared" si="182"/>
        <v>41266.800000000017</v>
      </c>
      <c r="S1452" s="26">
        <f t="shared" si="183"/>
        <v>0.18092884065382508</v>
      </c>
    </row>
    <row r="1453" spans="1:19" ht="15" x14ac:dyDescent="0.2">
      <c r="A1453" s="23">
        <v>46035</v>
      </c>
      <c r="B1453">
        <f t="shared" si="176"/>
        <v>2026</v>
      </c>
      <c r="C1453">
        <f t="shared" si="177"/>
        <v>1</v>
      </c>
      <c r="D1453" t="str">
        <f t="shared" si="178"/>
        <v>Enero</v>
      </c>
      <c r="E1453" t="str">
        <f t="shared" si="179"/>
        <v>T1</v>
      </c>
      <c r="F1453" t="s">
        <v>1580</v>
      </c>
      <c r="G1453" t="s">
        <v>74</v>
      </c>
      <c r="H1453" t="s">
        <v>75</v>
      </c>
      <c r="I1453" t="s">
        <v>76</v>
      </c>
      <c r="J1453" t="s">
        <v>64</v>
      </c>
      <c r="K1453" t="s">
        <v>65</v>
      </c>
      <c r="L1453" t="s">
        <v>123</v>
      </c>
      <c r="M1453" s="24">
        <v>19</v>
      </c>
      <c r="N1453" s="25">
        <v>39972.720000000001</v>
      </c>
      <c r="O1453" s="25">
        <f t="shared" si="180"/>
        <v>759481.68</v>
      </c>
      <c r="P1453" s="25">
        <v>27627.67</v>
      </c>
      <c r="Q1453" s="25">
        <f t="shared" si="181"/>
        <v>524925.73</v>
      </c>
      <c r="R1453" s="25">
        <f t="shared" si="182"/>
        <v>234555.95000000007</v>
      </c>
      <c r="S1453" s="26">
        <f t="shared" si="183"/>
        <v>0.30883687674994353</v>
      </c>
    </row>
    <row r="1454" spans="1:19" ht="15" x14ac:dyDescent="0.2">
      <c r="A1454" s="23">
        <v>46035</v>
      </c>
      <c r="B1454">
        <f t="shared" si="176"/>
        <v>2026</v>
      </c>
      <c r="C1454">
        <f t="shared" si="177"/>
        <v>1</v>
      </c>
      <c r="D1454" t="str">
        <f t="shared" si="178"/>
        <v>Enero</v>
      </c>
      <c r="E1454" t="str">
        <f t="shared" si="179"/>
        <v>T1</v>
      </c>
      <c r="F1454" t="s">
        <v>1581</v>
      </c>
      <c r="G1454" t="s">
        <v>206</v>
      </c>
      <c r="H1454" t="s">
        <v>93</v>
      </c>
      <c r="I1454" t="s">
        <v>207</v>
      </c>
      <c r="J1454" t="s">
        <v>64</v>
      </c>
      <c r="K1454" t="s">
        <v>65</v>
      </c>
      <c r="L1454" t="s">
        <v>66</v>
      </c>
      <c r="M1454" s="24">
        <v>4</v>
      </c>
      <c r="N1454" s="25">
        <v>103059.18</v>
      </c>
      <c r="O1454" s="25">
        <f t="shared" si="180"/>
        <v>412236.72</v>
      </c>
      <c r="P1454" s="25">
        <v>60238.55</v>
      </c>
      <c r="Q1454" s="25">
        <f t="shared" si="181"/>
        <v>240954.2</v>
      </c>
      <c r="R1454" s="25">
        <f t="shared" si="182"/>
        <v>171282.51999999996</v>
      </c>
      <c r="S1454" s="26">
        <f t="shared" si="183"/>
        <v>0.41549554343436451</v>
      </c>
    </row>
    <row r="1455" spans="1:19" ht="15" x14ac:dyDescent="0.2">
      <c r="A1455" s="23">
        <v>46035</v>
      </c>
      <c r="B1455">
        <f t="shared" si="176"/>
        <v>2026</v>
      </c>
      <c r="C1455">
        <f t="shared" si="177"/>
        <v>1</v>
      </c>
      <c r="D1455" t="str">
        <f t="shared" si="178"/>
        <v>Enero</v>
      </c>
      <c r="E1455" t="str">
        <f t="shared" si="179"/>
        <v>T1</v>
      </c>
      <c r="F1455" t="s">
        <v>1582</v>
      </c>
      <c r="G1455" t="s">
        <v>92</v>
      </c>
      <c r="H1455" t="s">
        <v>93</v>
      </c>
      <c r="I1455" t="s">
        <v>94</v>
      </c>
      <c r="J1455" t="s">
        <v>70</v>
      </c>
      <c r="K1455" t="s">
        <v>71</v>
      </c>
      <c r="L1455" t="s">
        <v>72</v>
      </c>
      <c r="M1455" s="24">
        <v>4</v>
      </c>
      <c r="N1455" s="25">
        <v>16699.04</v>
      </c>
      <c r="O1455" s="25">
        <f t="shared" si="180"/>
        <v>66796.160000000003</v>
      </c>
      <c r="P1455" s="25">
        <v>10661.67</v>
      </c>
      <c r="Q1455" s="25">
        <f t="shared" si="181"/>
        <v>42646.68</v>
      </c>
      <c r="R1455" s="25">
        <f t="shared" si="182"/>
        <v>24149.480000000003</v>
      </c>
      <c r="S1455" s="26">
        <f t="shared" si="183"/>
        <v>0.36153994481119878</v>
      </c>
    </row>
    <row r="1456" spans="1:19" ht="15" x14ac:dyDescent="0.2">
      <c r="A1456" s="23">
        <v>46036</v>
      </c>
      <c r="B1456">
        <f t="shared" si="176"/>
        <v>2026</v>
      </c>
      <c r="C1456">
        <f t="shared" si="177"/>
        <v>1</v>
      </c>
      <c r="D1456" t="str">
        <f t="shared" si="178"/>
        <v>Enero</v>
      </c>
      <c r="E1456" t="str">
        <f t="shared" si="179"/>
        <v>T1</v>
      </c>
      <c r="F1456" t="s">
        <v>1583</v>
      </c>
      <c r="G1456" t="s">
        <v>54</v>
      </c>
      <c r="H1456" t="s">
        <v>55</v>
      </c>
      <c r="I1456" t="s">
        <v>56</v>
      </c>
      <c r="J1456" t="s">
        <v>77</v>
      </c>
      <c r="K1456" t="s">
        <v>107</v>
      </c>
      <c r="L1456" t="s">
        <v>108</v>
      </c>
      <c r="M1456" s="24">
        <v>23</v>
      </c>
      <c r="N1456" s="25">
        <v>58539.85</v>
      </c>
      <c r="O1456" s="25">
        <f t="shared" si="180"/>
        <v>1346416.55</v>
      </c>
      <c r="P1456" s="25">
        <v>42498.6</v>
      </c>
      <c r="Q1456" s="25">
        <f t="shared" si="181"/>
        <v>977467.79999999993</v>
      </c>
      <c r="R1456" s="25">
        <f t="shared" si="182"/>
        <v>368948.75000000012</v>
      </c>
      <c r="S1456" s="26">
        <f t="shared" si="183"/>
        <v>0.27402273835686297</v>
      </c>
    </row>
    <row r="1457" spans="1:19" ht="15" x14ac:dyDescent="0.2">
      <c r="A1457" s="23">
        <v>46037</v>
      </c>
      <c r="B1457">
        <f t="shared" si="176"/>
        <v>2026</v>
      </c>
      <c r="C1457">
        <f t="shared" si="177"/>
        <v>1</v>
      </c>
      <c r="D1457" t="str">
        <f t="shared" si="178"/>
        <v>Enero</v>
      </c>
      <c r="E1457" t="str">
        <f t="shared" si="179"/>
        <v>T1</v>
      </c>
      <c r="F1457" t="s">
        <v>1584</v>
      </c>
      <c r="G1457" t="s">
        <v>110</v>
      </c>
      <c r="H1457" t="s">
        <v>62</v>
      </c>
      <c r="I1457" t="s">
        <v>69</v>
      </c>
      <c r="J1457" t="s">
        <v>64</v>
      </c>
      <c r="K1457" t="s">
        <v>65</v>
      </c>
      <c r="L1457" t="s">
        <v>66</v>
      </c>
      <c r="M1457" s="24">
        <v>6</v>
      </c>
      <c r="N1457" s="25">
        <v>6775.63</v>
      </c>
      <c r="O1457" s="25">
        <f t="shared" si="180"/>
        <v>40653.78</v>
      </c>
      <c r="P1457" s="25">
        <v>5646</v>
      </c>
      <c r="Q1457" s="25">
        <f t="shared" si="181"/>
        <v>33876</v>
      </c>
      <c r="R1457" s="25">
        <f t="shared" si="182"/>
        <v>6777.7799999999988</v>
      </c>
      <c r="S1457" s="26">
        <f t="shared" si="183"/>
        <v>0.16671955227779556</v>
      </c>
    </row>
    <row r="1458" spans="1:19" ht="15" x14ac:dyDescent="0.2">
      <c r="A1458" s="23">
        <v>46037</v>
      </c>
      <c r="B1458">
        <f t="shared" si="176"/>
        <v>2026</v>
      </c>
      <c r="C1458">
        <f t="shared" si="177"/>
        <v>1</v>
      </c>
      <c r="D1458" t="str">
        <f t="shared" si="178"/>
        <v>Enero</v>
      </c>
      <c r="E1458" t="str">
        <f t="shared" si="179"/>
        <v>T1</v>
      </c>
      <c r="F1458" t="s">
        <v>1585</v>
      </c>
      <c r="G1458" t="s">
        <v>105</v>
      </c>
      <c r="H1458" t="s">
        <v>62</v>
      </c>
      <c r="I1458" t="s">
        <v>106</v>
      </c>
      <c r="J1458" t="s">
        <v>77</v>
      </c>
      <c r="K1458" t="s">
        <v>78</v>
      </c>
      <c r="L1458" t="s">
        <v>117</v>
      </c>
      <c r="M1458" s="24">
        <v>121</v>
      </c>
      <c r="N1458" s="25">
        <v>1862.69</v>
      </c>
      <c r="O1458" s="25">
        <f t="shared" si="180"/>
        <v>225385.49000000002</v>
      </c>
      <c r="P1458" s="25">
        <v>1504.87</v>
      </c>
      <c r="Q1458" s="25">
        <f t="shared" si="181"/>
        <v>182089.27</v>
      </c>
      <c r="R1458" s="25">
        <f t="shared" si="182"/>
        <v>43296.22000000003</v>
      </c>
      <c r="S1458" s="26">
        <f t="shared" si="183"/>
        <v>0.19209852417739948</v>
      </c>
    </row>
    <row r="1459" spans="1:19" ht="15" x14ac:dyDescent="0.2">
      <c r="A1459" s="23">
        <v>46037</v>
      </c>
      <c r="B1459">
        <f t="shared" si="176"/>
        <v>2026</v>
      </c>
      <c r="C1459">
        <f t="shared" si="177"/>
        <v>1</v>
      </c>
      <c r="D1459" t="str">
        <f t="shared" si="178"/>
        <v>Enero</v>
      </c>
      <c r="E1459" t="str">
        <f t="shared" si="179"/>
        <v>T1</v>
      </c>
      <c r="F1459" t="s">
        <v>1586</v>
      </c>
      <c r="G1459" t="s">
        <v>105</v>
      </c>
      <c r="H1459" t="s">
        <v>62</v>
      </c>
      <c r="I1459" t="s">
        <v>106</v>
      </c>
      <c r="J1459" t="s">
        <v>125</v>
      </c>
      <c r="K1459" t="s">
        <v>126</v>
      </c>
      <c r="L1459" t="s">
        <v>127</v>
      </c>
      <c r="M1459" s="24">
        <v>123</v>
      </c>
      <c r="N1459" s="25">
        <v>1833.83</v>
      </c>
      <c r="O1459" s="25">
        <f t="shared" si="180"/>
        <v>225561.09</v>
      </c>
      <c r="P1459" s="25">
        <v>1500.06</v>
      </c>
      <c r="Q1459" s="25">
        <f t="shared" si="181"/>
        <v>184507.38</v>
      </c>
      <c r="R1459" s="25">
        <f t="shared" si="182"/>
        <v>41053.709999999992</v>
      </c>
      <c r="S1459" s="26">
        <f t="shared" si="183"/>
        <v>0.18200705627021041</v>
      </c>
    </row>
    <row r="1460" spans="1:19" ht="15" x14ac:dyDescent="0.2">
      <c r="A1460" s="23">
        <v>46037</v>
      </c>
      <c r="B1460">
        <f t="shared" si="176"/>
        <v>2026</v>
      </c>
      <c r="C1460">
        <f t="shared" si="177"/>
        <v>1</v>
      </c>
      <c r="D1460" t="str">
        <f t="shared" si="178"/>
        <v>Enero</v>
      </c>
      <c r="E1460" t="str">
        <f t="shared" si="179"/>
        <v>T1</v>
      </c>
      <c r="F1460" t="s">
        <v>1587</v>
      </c>
      <c r="G1460" t="s">
        <v>100</v>
      </c>
      <c r="H1460" t="s">
        <v>88</v>
      </c>
      <c r="I1460" t="s">
        <v>101</v>
      </c>
      <c r="J1460" t="s">
        <v>77</v>
      </c>
      <c r="K1460" t="s">
        <v>78</v>
      </c>
      <c r="L1460" t="s">
        <v>79</v>
      </c>
      <c r="M1460" s="24">
        <v>5</v>
      </c>
      <c r="N1460" s="25">
        <v>36272.18</v>
      </c>
      <c r="O1460" s="25">
        <f t="shared" si="180"/>
        <v>181360.9</v>
      </c>
      <c r="P1460" s="25">
        <v>19917.3</v>
      </c>
      <c r="Q1460" s="25">
        <f t="shared" si="181"/>
        <v>99586.5</v>
      </c>
      <c r="R1460" s="25">
        <f t="shared" si="182"/>
        <v>81774.399999999994</v>
      </c>
      <c r="S1460" s="26">
        <f t="shared" si="183"/>
        <v>0.45089321899042184</v>
      </c>
    </row>
    <row r="1461" spans="1:19" ht="15" x14ac:dyDescent="0.2">
      <c r="A1461" s="23">
        <v>46037</v>
      </c>
      <c r="B1461">
        <f t="shared" si="176"/>
        <v>2026</v>
      </c>
      <c r="C1461">
        <f t="shared" si="177"/>
        <v>1</v>
      </c>
      <c r="D1461" t="str">
        <f t="shared" si="178"/>
        <v>Enero</v>
      </c>
      <c r="E1461" t="str">
        <f t="shared" si="179"/>
        <v>T1</v>
      </c>
      <c r="F1461" t="s">
        <v>1588</v>
      </c>
      <c r="G1461" t="s">
        <v>92</v>
      </c>
      <c r="H1461" t="s">
        <v>93</v>
      </c>
      <c r="I1461" t="s">
        <v>94</v>
      </c>
      <c r="J1461" t="s">
        <v>125</v>
      </c>
      <c r="K1461" t="s">
        <v>138</v>
      </c>
      <c r="L1461" t="s">
        <v>139</v>
      </c>
      <c r="M1461" s="24">
        <v>6</v>
      </c>
      <c r="N1461" s="25">
        <v>22530.79</v>
      </c>
      <c r="O1461" s="25">
        <f t="shared" si="180"/>
        <v>135184.74</v>
      </c>
      <c r="P1461" s="25">
        <v>12981.38</v>
      </c>
      <c r="Q1461" s="25">
        <f t="shared" si="181"/>
        <v>77888.28</v>
      </c>
      <c r="R1461" s="25">
        <f t="shared" si="182"/>
        <v>57296.459999999992</v>
      </c>
      <c r="S1461" s="26">
        <f t="shared" si="183"/>
        <v>0.42383822316039516</v>
      </c>
    </row>
    <row r="1462" spans="1:19" ht="15" x14ac:dyDescent="0.2">
      <c r="A1462" s="23">
        <v>46038</v>
      </c>
      <c r="B1462">
        <f t="shared" si="176"/>
        <v>2026</v>
      </c>
      <c r="C1462">
        <f t="shared" si="177"/>
        <v>1</v>
      </c>
      <c r="D1462" t="str">
        <f t="shared" si="178"/>
        <v>Enero</v>
      </c>
      <c r="E1462" t="str">
        <f t="shared" si="179"/>
        <v>T1</v>
      </c>
      <c r="F1462" t="s">
        <v>1589</v>
      </c>
      <c r="G1462" t="s">
        <v>105</v>
      </c>
      <c r="H1462" t="s">
        <v>62</v>
      </c>
      <c r="I1462" t="s">
        <v>106</v>
      </c>
      <c r="J1462" t="s">
        <v>64</v>
      </c>
      <c r="K1462" t="s">
        <v>96</v>
      </c>
      <c r="L1462" t="s">
        <v>103</v>
      </c>
      <c r="M1462" s="24">
        <v>503</v>
      </c>
      <c r="N1462" s="25">
        <v>1804.98</v>
      </c>
      <c r="O1462" s="25">
        <f t="shared" si="180"/>
        <v>907904.94000000006</v>
      </c>
      <c r="P1462" s="25">
        <v>1498.84</v>
      </c>
      <c r="Q1462" s="25">
        <f t="shared" si="181"/>
        <v>753916.5199999999</v>
      </c>
      <c r="R1462" s="25">
        <f t="shared" si="182"/>
        <v>153988.42000000016</v>
      </c>
      <c r="S1462" s="26">
        <f t="shared" si="183"/>
        <v>0.16960852751831063</v>
      </c>
    </row>
    <row r="1463" spans="1:19" ht="15" x14ac:dyDescent="0.2">
      <c r="A1463" s="23">
        <v>46038</v>
      </c>
      <c r="B1463">
        <f t="shared" si="176"/>
        <v>2026</v>
      </c>
      <c r="C1463">
        <f t="shared" si="177"/>
        <v>1</v>
      </c>
      <c r="D1463" t="str">
        <f t="shared" si="178"/>
        <v>Enero</v>
      </c>
      <c r="E1463" t="str">
        <f t="shared" si="179"/>
        <v>T1</v>
      </c>
      <c r="F1463" t="s">
        <v>1590</v>
      </c>
      <c r="G1463" t="s">
        <v>74</v>
      </c>
      <c r="H1463" t="s">
        <v>75</v>
      </c>
      <c r="I1463" t="s">
        <v>76</v>
      </c>
      <c r="J1463" t="s">
        <v>77</v>
      </c>
      <c r="K1463" t="s">
        <v>78</v>
      </c>
      <c r="L1463" t="s">
        <v>117</v>
      </c>
      <c r="M1463" s="24">
        <v>9</v>
      </c>
      <c r="N1463" s="25">
        <v>40716.36</v>
      </c>
      <c r="O1463" s="25">
        <f t="shared" si="180"/>
        <v>366447.24</v>
      </c>
      <c r="P1463" s="25">
        <v>27200.92</v>
      </c>
      <c r="Q1463" s="25">
        <f t="shared" si="181"/>
        <v>244808.27999999997</v>
      </c>
      <c r="R1463" s="25">
        <f t="shared" si="182"/>
        <v>121638.96000000002</v>
      </c>
      <c r="S1463" s="26">
        <f t="shared" si="183"/>
        <v>0.33194126390473028</v>
      </c>
    </row>
    <row r="1464" spans="1:19" ht="15" x14ac:dyDescent="0.2">
      <c r="A1464" s="23">
        <v>46039</v>
      </c>
      <c r="B1464">
        <f t="shared" si="176"/>
        <v>2026</v>
      </c>
      <c r="C1464">
        <f t="shared" si="177"/>
        <v>1</v>
      </c>
      <c r="D1464" t="str">
        <f t="shared" si="178"/>
        <v>Enero</v>
      </c>
      <c r="E1464" t="str">
        <f t="shared" si="179"/>
        <v>T1</v>
      </c>
      <c r="F1464" t="s">
        <v>1591</v>
      </c>
      <c r="G1464" t="s">
        <v>54</v>
      </c>
      <c r="H1464" t="s">
        <v>55</v>
      </c>
      <c r="I1464" t="s">
        <v>56</v>
      </c>
      <c r="J1464" t="s">
        <v>77</v>
      </c>
      <c r="K1464" t="s">
        <v>78</v>
      </c>
      <c r="L1464" t="s">
        <v>79</v>
      </c>
      <c r="M1464" s="24">
        <v>18</v>
      </c>
      <c r="N1464" s="25">
        <v>54223.26</v>
      </c>
      <c r="O1464" s="25">
        <f t="shared" si="180"/>
        <v>976018.68</v>
      </c>
      <c r="P1464" s="25">
        <v>40857.85</v>
      </c>
      <c r="Q1464" s="25">
        <f t="shared" si="181"/>
        <v>735441.29999999993</v>
      </c>
      <c r="R1464" s="25">
        <f t="shared" si="182"/>
        <v>240577.38000000012</v>
      </c>
      <c r="S1464" s="26">
        <f t="shared" si="183"/>
        <v>0.2464884995848646</v>
      </c>
    </row>
    <row r="1465" spans="1:19" ht="15" x14ac:dyDescent="0.2">
      <c r="A1465" s="23">
        <v>46039</v>
      </c>
      <c r="B1465">
        <f t="shared" si="176"/>
        <v>2026</v>
      </c>
      <c r="C1465">
        <f t="shared" si="177"/>
        <v>1</v>
      </c>
      <c r="D1465" t="str">
        <f t="shared" si="178"/>
        <v>Enero</v>
      </c>
      <c r="E1465" t="str">
        <f t="shared" si="179"/>
        <v>T1</v>
      </c>
      <c r="F1465" t="s">
        <v>1592</v>
      </c>
      <c r="G1465" t="s">
        <v>74</v>
      </c>
      <c r="H1465" t="s">
        <v>75</v>
      </c>
      <c r="I1465" t="s">
        <v>76</v>
      </c>
      <c r="J1465" t="s">
        <v>125</v>
      </c>
      <c r="K1465" t="s">
        <v>138</v>
      </c>
      <c r="L1465" t="s">
        <v>139</v>
      </c>
      <c r="M1465" s="24">
        <v>6</v>
      </c>
      <c r="N1465" s="25">
        <v>41265.72</v>
      </c>
      <c r="O1465" s="25">
        <f t="shared" si="180"/>
        <v>247594.32</v>
      </c>
      <c r="P1465" s="25">
        <v>27636.94</v>
      </c>
      <c r="Q1465" s="25">
        <f t="shared" si="181"/>
        <v>165821.63999999998</v>
      </c>
      <c r="R1465" s="25">
        <f t="shared" si="182"/>
        <v>81772.680000000022</v>
      </c>
      <c r="S1465" s="26">
        <f t="shared" si="183"/>
        <v>0.33026880422781918</v>
      </c>
    </row>
    <row r="1466" spans="1:19" ht="15" x14ac:dyDescent="0.2">
      <c r="A1466" s="23">
        <v>46039</v>
      </c>
      <c r="B1466">
        <f t="shared" si="176"/>
        <v>2026</v>
      </c>
      <c r="C1466">
        <f t="shared" si="177"/>
        <v>1</v>
      </c>
      <c r="D1466" t="str">
        <f t="shared" si="178"/>
        <v>Enero</v>
      </c>
      <c r="E1466" t="str">
        <f t="shared" si="179"/>
        <v>T1</v>
      </c>
      <c r="F1466" t="s">
        <v>1593</v>
      </c>
      <c r="G1466" t="s">
        <v>114</v>
      </c>
      <c r="H1466" t="s">
        <v>75</v>
      </c>
      <c r="I1466" t="s">
        <v>115</v>
      </c>
      <c r="J1466" t="s">
        <v>125</v>
      </c>
      <c r="K1466" t="s">
        <v>126</v>
      </c>
      <c r="L1466" t="s">
        <v>127</v>
      </c>
      <c r="M1466" s="24">
        <v>2</v>
      </c>
      <c r="N1466" s="25">
        <v>111726.73</v>
      </c>
      <c r="O1466" s="25">
        <f t="shared" si="180"/>
        <v>223453.46</v>
      </c>
      <c r="P1466" s="25">
        <v>76203.78</v>
      </c>
      <c r="Q1466" s="25">
        <f t="shared" si="181"/>
        <v>152407.56</v>
      </c>
      <c r="R1466" s="25">
        <f t="shared" si="182"/>
        <v>71045.899999999994</v>
      </c>
      <c r="S1466" s="26">
        <f t="shared" si="183"/>
        <v>0.31794495372772474</v>
      </c>
    </row>
    <row r="1467" spans="1:19" ht="15" x14ac:dyDescent="0.2">
      <c r="A1467" s="23">
        <v>46039</v>
      </c>
      <c r="B1467">
        <f t="shared" si="176"/>
        <v>2026</v>
      </c>
      <c r="C1467">
        <f t="shared" si="177"/>
        <v>1</v>
      </c>
      <c r="D1467" t="str">
        <f t="shared" si="178"/>
        <v>Enero</v>
      </c>
      <c r="E1467" t="str">
        <f t="shared" si="179"/>
        <v>T1</v>
      </c>
      <c r="F1467" t="s">
        <v>1594</v>
      </c>
      <c r="G1467" t="s">
        <v>100</v>
      </c>
      <c r="H1467" t="s">
        <v>88</v>
      </c>
      <c r="I1467" t="s">
        <v>101</v>
      </c>
      <c r="J1467" t="s">
        <v>77</v>
      </c>
      <c r="K1467" t="s">
        <v>107</v>
      </c>
      <c r="L1467" t="s">
        <v>112</v>
      </c>
      <c r="M1467" s="24">
        <v>3</v>
      </c>
      <c r="N1467" s="25">
        <v>40356.06</v>
      </c>
      <c r="O1467" s="25">
        <f t="shared" si="180"/>
        <v>121068.18</v>
      </c>
      <c r="P1467" s="25">
        <v>20236.060000000001</v>
      </c>
      <c r="Q1467" s="25">
        <f t="shared" si="181"/>
        <v>60708.180000000008</v>
      </c>
      <c r="R1467" s="25">
        <f t="shared" si="182"/>
        <v>60359.999999999985</v>
      </c>
      <c r="S1467" s="26">
        <f t="shared" si="183"/>
        <v>0.49856204991270198</v>
      </c>
    </row>
    <row r="1468" spans="1:19" ht="15" x14ac:dyDescent="0.2">
      <c r="A1468" s="23">
        <v>46040</v>
      </c>
      <c r="B1468">
        <f t="shared" si="176"/>
        <v>2026</v>
      </c>
      <c r="C1468">
        <f t="shared" si="177"/>
        <v>1</v>
      </c>
      <c r="D1468" t="str">
        <f t="shared" si="178"/>
        <v>Enero</v>
      </c>
      <c r="E1468" t="str">
        <f t="shared" si="179"/>
        <v>T1</v>
      </c>
      <c r="F1468" t="s">
        <v>1595</v>
      </c>
      <c r="G1468" t="s">
        <v>54</v>
      </c>
      <c r="H1468" t="s">
        <v>55</v>
      </c>
      <c r="I1468" t="s">
        <v>56</v>
      </c>
      <c r="J1468" t="s">
        <v>77</v>
      </c>
      <c r="K1468" t="s">
        <v>107</v>
      </c>
      <c r="L1468" t="s">
        <v>112</v>
      </c>
      <c r="M1468" s="24">
        <v>2</v>
      </c>
      <c r="N1468" s="25">
        <v>45381.19</v>
      </c>
      <c r="O1468" s="25">
        <f t="shared" si="180"/>
        <v>90762.38</v>
      </c>
      <c r="P1468" s="25">
        <v>32846.769999999997</v>
      </c>
      <c r="Q1468" s="25">
        <f t="shared" si="181"/>
        <v>65693.539999999994</v>
      </c>
      <c r="R1468" s="25">
        <f t="shared" si="182"/>
        <v>25068.840000000011</v>
      </c>
      <c r="S1468" s="26">
        <f t="shared" si="183"/>
        <v>0.27620298189624393</v>
      </c>
    </row>
    <row r="1469" spans="1:19" ht="15" x14ac:dyDescent="0.2">
      <c r="A1469" s="23">
        <v>46040</v>
      </c>
      <c r="B1469">
        <f t="shared" si="176"/>
        <v>2026</v>
      </c>
      <c r="C1469">
        <f t="shared" si="177"/>
        <v>1</v>
      </c>
      <c r="D1469" t="str">
        <f t="shared" si="178"/>
        <v>Enero</v>
      </c>
      <c r="E1469" t="str">
        <f t="shared" si="179"/>
        <v>T1</v>
      </c>
      <c r="F1469" t="s">
        <v>1596</v>
      </c>
      <c r="G1469" t="s">
        <v>114</v>
      </c>
      <c r="H1469" t="s">
        <v>75</v>
      </c>
      <c r="I1469" t="s">
        <v>115</v>
      </c>
      <c r="J1469" t="s">
        <v>57</v>
      </c>
      <c r="K1469" t="s">
        <v>58</v>
      </c>
      <c r="L1469" t="s">
        <v>59</v>
      </c>
      <c r="M1469" s="24">
        <v>4</v>
      </c>
      <c r="N1469" s="25">
        <v>84758.720000000001</v>
      </c>
      <c r="O1469" s="25">
        <f t="shared" si="180"/>
        <v>339034.88</v>
      </c>
      <c r="P1469" s="25">
        <v>58471.53</v>
      </c>
      <c r="Q1469" s="25">
        <f t="shared" si="181"/>
        <v>233886.12</v>
      </c>
      <c r="R1469" s="25">
        <f t="shared" si="182"/>
        <v>105148.76000000001</v>
      </c>
      <c r="S1469" s="26">
        <f t="shared" si="183"/>
        <v>0.31014142261704758</v>
      </c>
    </row>
    <row r="1470" spans="1:19" ht="15" x14ac:dyDescent="0.2">
      <c r="A1470" s="23">
        <v>46041</v>
      </c>
      <c r="B1470">
        <f t="shared" si="176"/>
        <v>2026</v>
      </c>
      <c r="C1470">
        <f t="shared" si="177"/>
        <v>1</v>
      </c>
      <c r="D1470" t="str">
        <f t="shared" si="178"/>
        <v>Enero</v>
      </c>
      <c r="E1470" t="str">
        <f t="shared" si="179"/>
        <v>T1</v>
      </c>
      <c r="F1470" t="s">
        <v>1597</v>
      </c>
      <c r="G1470" t="s">
        <v>100</v>
      </c>
      <c r="H1470" t="s">
        <v>88</v>
      </c>
      <c r="I1470" t="s">
        <v>101</v>
      </c>
      <c r="J1470" t="s">
        <v>70</v>
      </c>
      <c r="K1470" t="s">
        <v>84</v>
      </c>
      <c r="L1470" t="s">
        <v>85</v>
      </c>
      <c r="M1470" s="24">
        <v>4</v>
      </c>
      <c r="N1470" s="25">
        <v>35830.720000000001</v>
      </c>
      <c r="O1470" s="25">
        <f t="shared" si="180"/>
        <v>143322.88</v>
      </c>
      <c r="P1470" s="25">
        <v>21203.84</v>
      </c>
      <c r="Q1470" s="25">
        <f t="shared" si="181"/>
        <v>84815.360000000001</v>
      </c>
      <c r="R1470" s="25">
        <f t="shared" si="182"/>
        <v>58507.520000000004</v>
      </c>
      <c r="S1470" s="26">
        <f t="shared" si="183"/>
        <v>0.40822177170874602</v>
      </c>
    </row>
    <row r="1471" spans="1:19" ht="15" x14ac:dyDescent="0.2">
      <c r="A1471" s="23">
        <v>46042</v>
      </c>
      <c r="B1471">
        <f t="shared" si="176"/>
        <v>2026</v>
      </c>
      <c r="C1471">
        <f t="shared" si="177"/>
        <v>1</v>
      </c>
      <c r="D1471" t="str">
        <f t="shared" si="178"/>
        <v>Enero</v>
      </c>
      <c r="E1471" t="str">
        <f t="shared" si="179"/>
        <v>T1</v>
      </c>
      <c r="F1471" t="s">
        <v>1598</v>
      </c>
      <c r="G1471" t="s">
        <v>74</v>
      </c>
      <c r="H1471" t="s">
        <v>75</v>
      </c>
      <c r="I1471" t="s">
        <v>76</v>
      </c>
      <c r="J1471" t="s">
        <v>70</v>
      </c>
      <c r="K1471" t="s">
        <v>71</v>
      </c>
      <c r="L1471" t="s">
        <v>72</v>
      </c>
      <c r="M1471" s="24">
        <v>3</v>
      </c>
      <c r="N1471" s="25">
        <v>44002.6</v>
      </c>
      <c r="O1471" s="25">
        <f t="shared" si="180"/>
        <v>132007.79999999999</v>
      </c>
      <c r="P1471" s="25">
        <v>31630.97</v>
      </c>
      <c r="Q1471" s="25">
        <f t="shared" si="181"/>
        <v>94892.91</v>
      </c>
      <c r="R1471" s="25">
        <f t="shared" si="182"/>
        <v>37114.889999999985</v>
      </c>
      <c r="S1471" s="26">
        <f t="shared" si="183"/>
        <v>0.28115679528027882</v>
      </c>
    </row>
    <row r="1472" spans="1:19" ht="15" x14ac:dyDescent="0.2">
      <c r="A1472" s="23">
        <v>46043</v>
      </c>
      <c r="B1472">
        <f t="shared" si="176"/>
        <v>2026</v>
      </c>
      <c r="C1472">
        <f t="shared" si="177"/>
        <v>1</v>
      </c>
      <c r="D1472" t="str">
        <f t="shared" si="178"/>
        <v>Enero</v>
      </c>
      <c r="E1472" t="str">
        <f t="shared" si="179"/>
        <v>T1</v>
      </c>
      <c r="F1472" t="s">
        <v>1599</v>
      </c>
      <c r="G1472" t="s">
        <v>188</v>
      </c>
      <c r="H1472" t="s">
        <v>88</v>
      </c>
      <c r="I1472" t="s">
        <v>189</v>
      </c>
      <c r="J1472" t="s">
        <v>64</v>
      </c>
      <c r="K1472" t="s">
        <v>96</v>
      </c>
      <c r="L1472" t="s">
        <v>103</v>
      </c>
      <c r="M1472" s="24">
        <v>8</v>
      </c>
      <c r="N1472" s="25">
        <v>73121.539999999994</v>
      </c>
      <c r="O1472" s="25">
        <f t="shared" si="180"/>
        <v>584972.31999999995</v>
      </c>
      <c r="P1472" s="25">
        <v>42868.47</v>
      </c>
      <c r="Q1472" s="25">
        <f t="shared" si="181"/>
        <v>342947.76</v>
      </c>
      <c r="R1472" s="25">
        <f t="shared" si="182"/>
        <v>242024.55999999994</v>
      </c>
      <c r="S1472" s="26">
        <f t="shared" si="183"/>
        <v>0.41373677304936407</v>
      </c>
    </row>
    <row r="1473" spans="1:19" ht="15" x14ac:dyDescent="0.2">
      <c r="A1473" s="23">
        <v>46043</v>
      </c>
      <c r="B1473">
        <f t="shared" si="176"/>
        <v>2026</v>
      </c>
      <c r="C1473">
        <f t="shared" si="177"/>
        <v>1</v>
      </c>
      <c r="D1473" t="str">
        <f t="shared" si="178"/>
        <v>Enero</v>
      </c>
      <c r="E1473" t="str">
        <f t="shared" si="179"/>
        <v>T1</v>
      </c>
      <c r="F1473" t="s">
        <v>1600</v>
      </c>
      <c r="G1473" t="s">
        <v>87</v>
      </c>
      <c r="H1473" t="s">
        <v>88</v>
      </c>
      <c r="I1473" t="s">
        <v>89</v>
      </c>
      <c r="J1473" t="s">
        <v>77</v>
      </c>
      <c r="K1473" t="s">
        <v>107</v>
      </c>
      <c r="L1473" t="s">
        <v>112</v>
      </c>
      <c r="M1473" s="24">
        <v>5</v>
      </c>
      <c r="N1473" s="25">
        <v>61173.83</v>
      </c>
      <c r="O1473" s="25">
        <f t="shared" si="180"/>
        <v>305869.15000000002</v>
      </c>
      <c r="P1473" s="25">
        <v>31000.52</v>
      </c>
      <c r="Q1473" s="25">
        <f t="shared" si="181"/>
        <v>155002.6</v>
      </c>
      <c r="R1473" s="25">
        <f t="shared" si="182"/>
        <v>150866.55000000002</v>
      </c>
      <c r="S1473" s="26">
        <f t="shared" si="183"/>
        <v>0.49323885720413452</v>
      </c>
    </row>
    <row r="1474" spans="1:19" ht="15" x14ac:dyDescent="0.2">
      <c r="A1474" s="23">
        <v>46043</v>
      </c>
      <c r="B1474">
        <f t="shared" ref="B1474:B1537" si="184">YEAR($A1474)</f>
        <v>2026</v>
      </c>
      <c r="C1474">
        <f t="shared" ref="C1474:C1537" si="185">MONTH($A1474)</f>
        <v>1</v>
      </c>
      <c r="D1474" t="str">
        <f t="shared" ref="D1474:D1537" si="186">INDEX(lst_Meses,MONTH($A1474))</f>
        <v>Enero</v>
      </c>
      <c r="E1474" t="str">
        <f t="shared" ref="E1474:E1537" si="187">"T"&amp;ROUNDUP(MONTH($A1474)/3,0)</f>
        <v>T1</v>
      </c>
      <c r="F1474" t="s">
        <v>1601</v>
      </c>
      <c r="G1474" t="s">
        <v>188</v>
      </c>
      <c r="H1474" t="s">
        <v>88</v>
      </c>
      <c r="I1474" t="s">
        <v>189</v>
      </c>
      <c r="J1474" t="s">
        <v>77</v>
      </c>
      <c r="K1474" t="s">
        <v>107</v>
      </c>
      <c r="L1474" t="s">
        <v>112</v>
      </c>
      <c r="M1474" s="24">
        <v>6</v>
      </c>
      <c r="N1474" s="25">
        <v>83209.59</v>
      </c>
      <c r="O1474" s="25">
        <f t="shared" ref="O1474:O1537" si="188">$M1474*$N1474</f>
        <v>499257.54</v>
      </c>
      <c r="P1474" s="25">
        <v>43147.07</v>
      </c>
      <c r="Q1474" s="25">
        <f t="shared" ref="Q1474:Q1537" si="189">$M1474*$P1474</f>
        <v>258882.41999999998</v>
      </c>
      <c r="R1474" s="25">
        <f t="shared" ref="R1474:R1537" si="190">$O1474-$Q1474</f>
        <v>240375.12</v>
      </c>
      <c r="S1474" s="26">
        <f t="shared" ref="S1474:S1537" si="191">IFERROR($R1474/$O1474,0)</f>
        <v>0.48146517727103333</v>
      </c>
    </row>
    <row r="1475" spans="1:19" ht="15" x14ac:dyDescent="0.2">
      <c r="A1475" s="23">
        <v>46043</v>
      </c>
      <c r="B1475">
        <f t="shared" si="184"/>
        <v>2026</v>
      </c>
      <c r="C1475">
        <f t="shared" si="185"/>
        <v>1</v>
      </c>
      <c r="D1475" t="str">
        <f t="shared" si="186"/>
        <v>Enero</v>
      </c>
      <c r="E1475" t="str">
        <f t="shared" si="187"/>
        <v>T1</v>
      </c>
      <c r="F1475" t="s">
        <v>1602</v>
      </c>
      <c r="G1475" t="s">
        <v>92</v>
      </c>
      <c r="H1475" t="s">
        <v>93</v>
      </c>
      <c r="I1475" t="s">
        <v>94</v>
      </c>
      <c r="J1475" t="s">
        <v>77</v>
      </c>
      <c r="K1475" t="s">
        <v>107</v>
      </c>
      <c r="L1475" t="s">
        <v>108</v>
      </c>
      <c r="M1475" s="24">
        <v>8</v>
      </c>
      <c r="N1475" s="25">
        <v>22111.99</v>
      </c>
      <c r="O1475" s="25">
        <f t="shared" si="188"/>
        <v>176895.92</v>
      </c>
      <c r="P1475" s="25">
        <v>11950.73</v>
      </c>
      <c r="Q1475" s="25">
        <f t="shared" si="189"/>
        <v>95605.84</v>
      </c>
      <c r="R1475" s="25">
        <f t="shared" si="190"/>
        <v>81290.080000000016</v>
      </c>
      <c r="S1475" s="26">
        <f t="shared" si="191"/>
        <v>0.45953620637491249</v>
      </c>
    </row>
    <row r="1476" spans="1:19" ht="15" x14ac:dyDescent="0.2">
      <c r="A1476" s="23">
        <v>46043</v>
      </c>
      <c r="B1476">
        <f t="shared" si="184"/>
        <v>2026</v>
      </c>
      <c r="C1476">
        <f t="shared" si="185"/>
        <v>1</v>
      </c>
      <c r="D1476" t="str">
        <f t="shared" si="186"/>
        <v>Enero</v>
      </c>
      <c r="E1476" t="str">
        <f t="shared" si="187"/>
        <v>T1</v>
      </c>
      <c r="F1476" t="s">
        <v>1603</v>
      </c>
      <c r="G1476" t="s">
        <v>92</v>
      </c>
      <c r="H1476" t="s">
        <v>93</v>
      </c>
      <c r="I1476" t="s">
        <v>94</v>
      </c>
      <c r="J1476" t="s">
        <v>57</v>
      </c>
      <c r="K1476" t="s">
        <v>58</v>
      </c>
      <c r="L1476" t="s">
        <v>59</v>
      </c>
      <c r="M1476" s="24">
        <v>4</v>
      </c>
      <c r="N1476" s="25">
        <v>18274.27</v>
      </c>
      <c r="O1476" s="25">
        <f t="shared" si="188"/>
        <v>73097.08</v>
      </c>
      <c r="P1476" s="25">
        <v>10847.35</v>
      </c>
      <c r="Q1476" s="25">
        <f t="shared" si="189"/>
        <v>43389.4</v>
      </c>
      <c r="R1476" s="25">
        <f t="shared" si="190"/>
        <v>29707.68</v>
      </c>
      <c r="S1476" s="26">
        <f t="shared" si="191"/>
        <v>0.40641404554053323</v>
      </c>
    </row>
    <row r="1477" spans="1:19" ht="15" x14ac:dyDescent="0.2">
      <c r="A1477" s="23">
        <v>46043</v>
      </c>
      <c r="B1477">
        <f t="shared" si="184"/>
        <v>2026</v>
      </c>
      <c r="C1477">
        <f t="shared" si="185"/>
        <v>1</v>
      </c>
      <c r="D1477" t="str">
        <f t="shared" si="186"/>
        <v>Enero</v>
      </c>
      <c r="E1477" t="str">
        <f t="shared" si="187"/>
        <v>T1</v>
      </c>
      <c r="F1477" t="s">
        <v>1604</v>
      </c>
      <c r="G1477" t="s">
        <v>92</v>
      </c>
      <c r="H1477" t="s">
        <v>93</v>
      </c>
      <c r="I1477" t="s">
        <v>94</v>
      </c>
      <c r="J1477" t="s">
        <v>70</v>
      </c>
      <c r="K1477" t="s">
        <v>84</v>
      </c>
      <c r="L1477" t="s">
        <v>85</v>
      </c>
      <c r="M1477" s="24">
        <v>6</v>
      </c>
      <c r="N1477" s="25">
        <v>19017.189999999999</v>
      </c>
      <c r="O1477" s="25">
        <f t="shared" si="188"/>
        <v>114103.13999999998</v>
      </c>
      <c r="P1477" s="25">
        <v>11789.87</v>
      </c>
      <c r="Q1477" s="25">
        <f t="shared" si="189"/>
        <v>70739.22</v>
      </c>
      <c r="R1477" s="25">
        <f t="shared" si="190"/>
        <v>43363.919999999984</v>
      </c>
      <c r="S1477" s="26">
        <f t="shared" si="191"/>
        <v>0.38004142567855703</v>
      </c>
    </row>
    <row r="1478" spans="1:19" ht="15" x14ac:dyDescent="0.2">
      <c r="A1478" s="23">
        <v>46044</v>
      </c>
      <c r="B1478">
        <f t="shared" si="184"/>
        <v>2026</v>
      </c>
      <c r="C1478">
        <f t="shared" si="185"/>
        <v>1</v>
      </c>
      <c r="D1478" t="str">
        <f t="shared" si="186"/>
        <v>Enero</v>
      </c>
      <c r="E1478" t="str">
        <f t="shared" si="187"/>
        <v>T1</v>
      </c>
      <c r="F1478" t="s">
        <v>1605</v>
      </c>
      <c r="G1478" t="s">
        <v>105</v>
      </c>
      <c r="H1478" t="s">
        <v>62</v>
      </c>
      <c r="I1478" t="s">
        <v>106</v>
      </c>
      <c r="J1478" t="s">
        <v>64</v>
      </c>
      <c r="K1478" t="s">
        <v>65</v>
      </c>
      <c r="L1478" t="s">
        <v>123</v>
      </c>
      <c r="M1478" s="24">
        <v>434</v>
      </c>
      <c r="N1478" s="25">
        <v>1798.76</v>
      </c>
      <c r="O1478" s="25">
        <f t="shared" si="188"/>
        <v>780661.84</v>
      </c>
      <c r="P1478" s="25">
        <v>1499.34</v>
      </c>
      <c r="Q1478" s="25">
        <f t="shared" si="189"/>
        <v>650713.55999999994</v>
      </c>
      <c r="R1478" s="25">
        <f t="shared" si="190"/>
        <v>129948.28000000003</v>
      </c>
      <c r="S1478" s="26">
        <f t="shared" si="191"/>
        <v>0.16645911628010412</v>
      </c>
    </row>
    <row r="1479" spans="1:19" ht="15" x14ac:dyDescent="0.2">
      <c r="A1479" s="23">
        <v>46044</v>
      </c>
      <c r="B1479">
        <f t="shared" si="184"/>
        <v>2026</v>
      </c>
      <c r="C1479">
        <f t="shared" si="185"/>
        <v>1</v>
      </c>
      <c r="D1479" t="str">
        <f t="shared" si="186"/>
        <v>Enero</v>
      </c>
      <c r="E1479" t="str">
        <f t="shared" si="187"/>
        <v>T1</v>
      </c>
      <c r="F1479" t="s">
        <v>1606</v>
      </c>
      <c r="G1479" t="s">
        <v>68</v>
      </c>
      <c r="H1479" t="s">
        <v>62</v>
      </c>
      <c r="I1479" t="s">
        <v>69</v>
      </c>
      <c r="J1479" t="s">
        <v>77</v>
      </c>
      <c r="K1479" t="s">
        <v>107</v>
      </c>
      <c r="L1479" t="s">
        <v>112</v>
      </c>
      <c r="M1479" s="24">
        <v>276</v>
      </c>
      <c r="N1479" s="25">
        <v>3374.4</v>
      </c>
      <c r="O1479" s="25">
        <f t="shared" si="188"/>
        <v>931334.4</v>
      </c>
      <c r="P1479" s="25">
        <v>2604.59</v>
      </c>
      <c r="Q1479" s="25">
        <f t="shared" si="189"/>
        <v>718866.84000000008</v>
      </c>
      <c r="R1479" s="25">
        <f t="shared" si="190"/>
        <v>212467.55999999994</v>
      </c>
      <c r="S1479" s="26">
        <f t="shared" si="191"/>
        <v>0.22813240872451393</v>
      </c>
    </row>
    <row r="1480" spans="1:19" ht="15" x14ac:dyDescent="0.2">
      <c r="A1480" s="23">
        <v>46044</v>
      </c>
      <c r="B1480">
        <f t="shared" si="184"/>
        <v>2026</v>
      </c>
      <c r="C1480">
        <f t="shared" si="185"/>
        <v>1</v>
      </c>
      <c r="D1480" t="str">
        <f t="shared" si="186"/>
        <v>Enero</v>
      </c>
      <c r="E1480" t="str">
        <f t="shared" si="187"/>
        <v>T1</v>
      </c>
      <c r="F1480" t="s">
        <v>1607</v>
      </c>
      <c r="G1480" t="s">
        <v>100</v>
      </c>
      <c r="H1480" t="s">
        <v>88</v>
      </c>
      <c r="I1480" t="s">
        <v>101</v>
      </c>
      <c r="J1480" t="s">
        <v>77</v>
      </c>
      <c r="K1480" t="s">
        <v>78</v>
      </c>
      <c r="L1480" t="s">
        <v>117</v>
      </c>
      <c r="M1480" s="24">
        <v>5</v>
      </c>
      <c r="N1480" s="25">
        <v>40464.199999999997</v>
      </c>
      <c r="O1480" s="25">
        <f t="shared" si="188"/>
        <v>202321</v>
      </c>
      <c r="P1480" s="25">
        <v>21120.39</v>
      </c>
      <c r="Q1480" s="25">
        <f t="shared" si="189"/>
        <v>105601.95</v>
      </c>
      <c r="R1480" s="25">
        <f t="shared" si="190"/>
        <v>96719.05</v>
      </c>
      <c r="S1480" s="26">
        <f t="shared" si="191"/>
        <v>0.47804750866197776</v>
      </c>
    </row>
    <row r="1481" spans="1:19" ht="15" x14ac:dyDescent="0.2">
      <c r="A1481" s="23">
        <v>46044</v>
      </c>
      <c r="B1481">
        <f t="shared" si="184"/>
        <v>2026</v>
      </c>
      <c r="C1481">
        <f t="shared" si="185"/>
        <v>1</v>
      </c>
      <c r="D1481" t="str">
        <f t="shared" si="186"/>
        <v>Enero</v>
      </c>
      <c r="E1481" t="str">
        <f t="shared" si="187"/>
        <v>T1</v>
      </c>
      <c r="F1481" t="s">
        <v>1608</v>
      </c>
      <c r="G1481" t="s">
        <v>87</v>
      </c>
      <c r="H1481" t="s">
        <v>88</v>
      </c>
      <c r="I1481" t="s">
        <v>89</v>
      </c>
      <c r="J1481" t="s">
        <v>70</v>
      </c>
      <c r="K1481" t="s">
        <v>84</v>
      </c>
      <c r="L1481" t="s">
        <v>85</v>
      </c>
      <c r="M1481" s="24">
        <v>3</v>
      </c>
      <c r="N1481" s="25">
        <v>46238.16</v>
      </c>
      <c r="O1481" s="25">
        <f t="shared" si="188"/>
        <v>138714.48000000001</v>
      </c>
      <c r="P1481" s="25">
        <v>27719.200000000001</v>
      </c>
      <c r="Q1481" s="25">
        <f t="shared" si="189"/>
        <v>83157.600000000006</v>
      </c>
      <c r="R1481" s="25">
        <f t="shared" si="190"/>
        <v>55556.880000000005</v>
      </c>
      <c r="S1481" s="26">
        <f t="shared" si="191"/>
        <v>0.4005124771400938</v>
      </c>
    </row>
    <row r="1482" spans="1:19" ht="15" x14ac:dyDescent="0.2">
      <c r="A1482" s="23">
        <v>46044</v>
      </c>
      <c r="B1482">
        <f t="shared" si="184"/>
        <v>2026</v>
      </c>
      <c r="C1482">
        <f t="shared" si="185"/>
        <v>1</v>
      </c>
      <c r="D1482" t="str">
        <f t="shared" si="186"/>
        <v>Enero</v>
      </c>
      <c r="E1482" t="str">
        <f t="shared" si="187"/>
        <v>T1</v>
      </c>
      <c r="F1482" t="s">
        <v>1609</v>
      </c>
      <c r="G1482" t="s">
        <v>92</v>
      </c>
      <c r="H1482" t="s">
        <v>93</v>
      </c>
      <c r="I1482" t="s">
        <v>94</v>
      </c>
      <c r="J1482" t="s">
        <v>125</v>
      </c>
      <c r="K1482" t="s">
        <v>126</v>
      </c>
      <c r="L1482" t="s">
        <v>127</v>
      </c>
      <c r="M1482" s="24">
        <v>2</v>
      </c>
      <c r="N1482" s="25">
        <v>23433.02</v>
      </c>
      <c r="O1482" s="25">
        <f t="shared" si="188"/>
        <v>46866.04</v>
      </c>
      <c r="P1482" s="25">
        <v>13529.73</v>
      </c>
      <c r="Q1482" s="25">
        <f t="shared" si="189"/>
        <v>27059.46</v>
      </c>
      <c r="R1482" s="25">
        <f t="shared" si="190"/>
        <v>19806.580000000002</v>
      </c>
      <c r="S1482" s="26">
        <f t="shared" si="191"/>
        <v>0.42262115595855765</v>
      </c>
    </row>
    <row r="1483" spans="1:19" ht="15" x14ac:dyDescent="0.2">
      <c r="A1483" s="23">
        <v>46045</v>
      </c>
      <c r="B1483">
        <f t="shared" si="184"/>
        <v>2026</v>
      </c>
      <c r="C1483">
        <f t="shared" si="185"/>
        <v>1</v>
      </c>
      <c r="D1483" t="str">
        <f t="shared" si="186"/>
        <v>Enero</v>
      </c>
      <c r="E1483" t="str">
        <f t="shared" si="187"/>
        <v>T1</v>
      </c>
      <c r="F1483" t="s">
        <v>1610</v>
      </c>
      <c r="G1483" t="s">
        <v>68</v>
      </c>
      <c r="H1483" t="s">
        <v>62</v>
      </c>
      <c r="I1483" t="s">
        <v>69</v>
      </c>
      <c r="J1483" t="s">
        <v>64</v>
      </c>
      <c r="K1483" t="s">
        <v>96</v>
      </c>
      <c r="L1483" t="s">
        <v>97</v>
      </c>
      <c r="M1483" s="24">
        <v>139</v>
      </c>
      <c r="N1483" s="25">
        <v>3091.65</v>
      </c>
      <c r="O1483" s="25">
        <f t="shared" si="188"/>
        <v>429739.35000000003</v>
      </c>
      <c r="P1483" s="25">
        <v>2594.7199999999998</v>
      </c>
      <c r="Q1483" s="25">
        <f t="shared" si="189"/>
        <v>360666.07999999996</v>
      </c>
      <c r="R1483" s="25">
        <f t="shared" si="190"/>
        <v>69073.270000000077</v>
      </c>
      <c r="S1483" s="26">
        <f t="shared" si="191"/>
        <v>0.16073294195656057</v>
      </c>
    </row>
    <row r="1484" spans="1:19" ht="15" x14ac:dyDescent="0.2">
      <c r="A1484" s="23">
        <v>46045</v>
      </c>
      <c r="B1484">
        <f t="shared" si="184"/>
        <v>2026</v>
      </c>
      <c r="C1484">
        <f t="shared" si="185"/>
        <v>1</v>
      </c>
      <c r="D1484" t="str">
        <f t="shared" si="186"/>
        <v>Enero</v>
      </c>
      <c r="E1484" t="str">
        <f t="shared" si="187"/>
        <v>T1</v>
      </c>
      <c r="F1484" t="s">
        <v>1611</v>
      </c>
      <c r="G1484" t="s">
        <v>114</v>
      </c>
      <c r="H1484" t="s">
        <v>75</v>
      </c>
      <c r="I1484" t="s">
        <v>115</v>
      </c>
      <c r="J1484" t="s">
        <v>70</v>
      </c>
      <c r="K1484" t="s">
        <v>84</v>
      </c>
      <c r="L1484" t="s">
        <v>85</v>
      </c>
      <c r="M1484" s="24">
        <v>3</v>
      </c>
      <c r="N1484" s="25">
        <v>101142.35</v>
      </c>
      <c r="O1484" s="25">
        <f t="shared" si="188"/>
        <v>303427.05000000005</v>
      </c>
      <c r="P1484" s="25">
        <v>71576.600000000006</v>
      </c>
      <c r="Q1484" s="25">
        <f t="shared" si="189"/>
        <v>214729.80000000002</v>
      </c>
      <c r="R1484" s="25">
        <f t="shared" si="190"/>
        <v>88697.250000000029</v>
      </c>
      <c r="S1484" s="26">
        <f t="shared" si="191"/>
        <v>0.29231820300793887</v>
      </c>
    </row>
    <row r="1485" spans="1:19" ht="15" x14ac:dyDescent="0.2">
      <c r="A1485" s="23">
        <v>46045</v>
      </c>
      <c r="B1485">
        <f t="shared" si="184"/>
        <v>2026</v>
      </c>
      <c r="C1485">
        <f t="shared" si="185"/>
        <v>1</v>
      </c>
      <c r="D1485" t="str">
        <f t="shared" si="186"/>
        <v>Enero</v>
      </c>
      <c r="E1485" t="str">
        <f t="shared" si="187"/>
        <v>T1</v>
      </c>
      <c r="F1485" t="s">
        <v>1612</v>
      </c>
      <c r="G1485" t="s">
        <v>74</v>
      </c>
      <c r="H1485" t="s">
        <v>75</v>
      </c>
      <c r="I1485" t="s">
        <v>76</v>
      </c>
      <c r="J1485" t="s">
        <v>70</v>
      </c>
      <c r="K1485" t="s">
        <v>84</v>
      </c>
      <c r="L1485" t="s">
        <v>85</v>
      </c>
      <c r="M1485" s="24">
        <v>4</v>
      </c>
      <c r="N1485" s="25">
        <v>38063.75</v>
      </c>
      <c r="O1485" s="25">
        <f t="shared" si="188"/>
        <v>152255</v>
      </c>
      <c r="P1485" s="25">
        <v>27321.64</v>
      </c>
      <c r="Q1485" s="25">
        <f t="shared" si="189"/>
        <v>109286.56</v>
      </c>
      <c r="R1485" s="25">
        <f t="shared" si="190"/>
        <v>42968.44</v>
      </c>
      <c r="S1485" s="26">
        <f t="shared" si="191"/>
        <v>0.2822136547239828</v>
      </c>
    </row>
    <row r="1486" spans="1:19" ht="15" x14ac:dyDescent="0.2">
      <c r="A1486" s="23">
        <v>46045</v>
      </c>
      <c r="B1486">
        <f t="shared" si="184"/>
        <v>2026</v>
      </c>
      <c r="C1486">
        <f t="shared" si="185"/>
        <v>1</v>
      </c>
      <c r="D1486" t="str">
        <f t="shared" si="186"/>
        <v>Enero</v>
      </c>
      <c r="E1486" t="str">
        <f t="shared" si="187"/>
        <v>T1</v>
      </c>
      <c r="F1486" t="s">
        <v>1613</v>
      </c>
      <c r="G1486" t="s">
        <v>144</v>
      </c>
      <c r="H1486" t="s">
        <v>88</v>
      </c>
      <c r="I1486" t="s">
        <v>145</v>
      </c>
      <c r="J1486" t="s">
        <v>70</v>
      </c>
      <c r="K1486" t="s">
        <v>71</v>
      </c>
      <c r="L1486" t="s">
        <v>90</v>
      </c>
      <c r="M1486" s="24">
        <v>12</v>
      </c>
      <c r="N1486" s="25">
        <v>11069.3</v>
      </c>
      <c r="O1486" s="25">
        <f t="shared" si="188"/>
        <v>132831.59999999998</v>
      </c>
      <c r="P1486" s="25">
        <v>6731.37</v>
      </c>
      <c r="Q1486" s="25">
        <f t="shared" si="189"/>
        <v>80776.44</v>
      </c>
      <c r="R1486" s="25">
        <f t="shared" si="190"/>
        <v>52055.159999999974</v>
      </c>
      <c r="S1486" s="26">
        <f t="shared" si="191"/>
        <v>0.3918883759587326</v>
      </c>
    </row>
    <row r="1487" spans="1:19" ht="15" x14ac:dyDescent="0.2">
      <c r="A1487" s="23">
        <v>46046</v>
      </c>
      <c r="B1487">
        <f t="shared" si="184"/>
        <v>2026</v>
      </c>
      <c r="C1487">
        <f t="shared" si="185"/>
        <v>1</v>
      </c>
      <c r="D1487" t="str">
        <f t="shared" si="186"/>
        <v>Enero</v>
      </c>
      <c r="E1487" t="str">
        <f t="shared" si="187"/>
        <v>T1</v>
      </c>
      <c r="F1487" t="s">
        <v>1614</v>
      </c>
      <c r="G1487" t="s">
        <v>54</v>
      </c>
      <c r="H1487" t="s">
        <v>55</v>
      </c>
      <c r="I1487" t="s">
        <v>56</v>
      </c>
      <c r="J1487" t="s">
        <v>77</v>
      </c>
      <c r="K1487" t="s">
        <v>78</v>
      </c>
      <c r="L1487" t="s">
        <v>117</v>
      </c>
      <c r="M1487" s="24">
        <v>6</v>
      </c>
      <c r="N1487" s="25">
        <v>57960.12</v>
      </c>
      <c r="O1487" s="25">
        <f t="shared" si="188"/>
        <v>347760.72000000003</v>
      </c>
      <c r="P1487" s="25">
        <v>43778.16</v>
      </c>
      <c r="Q1487" s="25">
        <f t="shared" si="189"/>
        <v>262668.96000000002</v>
      </c>
      <c r="R1487" s="25">
        <f t="shared" si="190"/>
        <v>85091.760000000009</v>
      </c>
      <c r="S1487" s="26">
        <f t="shared" si="191"/>
        <v>0.24468479361326376</v>
      </c>
    </row>
    <row r="1488" spans="1:19" ht="15" x14ac:dyDescent="0.2">
      <c r="A1488" s="23">
        <v>46046</v>
      </c>
      <c r="B1488">
        <f t="shared" si="184"/>
        <v>2026</v>
      </c>
      <c r="C1488">
        <f t="shared" si="185"/>
        <v>1</v>
      </c>
      <c r="D1488" t="str">
        <f t="shared" si="186"/>
        <v>Enero</v>
      </c>
      <c r="E1488" t="str">
        <f t="shared" si="187"/>
        <v>T1</v>
      </c>
      <c r="F1488" t="s">
        <v>1615</v>
      </c>
      <c r="G1488" t="s">
        <v>54</v>
      </c>
      <c r="H1488" t="s">
        <v>55</v>
      </c>
      <c r="I1488" t="s">
        <v>56</v>
      </c>
      <c r="J1488" t="s">
        <v>125</v>
      </c>
      <c r="K1488" t="s">
        <v>126</v>
      </c>
      <c r="L1488" t="s">
        <v>131</v>
      </c>
      <c r="M1488" s="24">
        <v>9</v>
      </c>
      <c r="N1488" s="25">
        <v>53331.85</v>
      </c>
      <c r="O1488" s="25">
        <f t="shared" si="188"/>
        <v>479986.64999999997</v>
      </c>
      <c r="P1488" s="25">
        <v>40479.72</v>
      </c>
      <c r="Q1488" s="25">
        <f t="shared" si="189"/>
        <v>364317.48</v>
      </c>
      <c r="R1488" s="25">
        <f t="shared" si="190"/>
        <v>115669.16999999998</v>
      </c>
      <c r="S1488" s="26">
        <f t="shared" si="191"/>
        <v>0.24098413987139017</v>
      </c>
    </row>
    <row r="1489" spans="1:19" ht="15" x14ac:dyDescent="0.2">
      <c r="A1489" s="23">
        <v>46046</v>
      </c>
      <c r="B1489">
        <f t="shared" si="184"/>
        <v>2026</v>
      </c>
      <c r="C1489">
        <f t="shared" si="185"/>
        <v>1</v>
      </c>
      <c r="D1489" t="str">
        <f t="shared" si="186"/>
        <v>Enero</v>
      </c>
      <c r="E1489" t="str">
        <f t="shared" si="187"/>
        <v>T1</v>
      </c>
      <c r="F1489" t="s">
        <v>1616</v>
      </c>
      <c r="G1489" t="s">
        <v>105</v>
      </c>
      <c r="H1489" t="s">
        <v>62</v>
      </c>
      <c r="I1489" t="s">
        <v>106</v>
      </c>
      <c r="J1489" t="s">
        <v>70</v>
      </c>
      <c r="K1489" t="s">
        <v>71</v>
      </c>
      <c r="L1489" t="s">
        <v>72</v>
      </c>
      <c r="M1489" s="24">
        <v>105</v>
      </c>
      <c r="N1489" s="25">
        <v>1747.86</v>
      </c>
      <c r="O1489" s="25">
        <f t="shared" si="188"/>
        <v>183525.3</v>
      </c>
      <c r="P1489" s="25">
        <v>1497.34</v>
      </c>
      <c r="Q1489" s="25">
        <f t="shared" si="189"/>
        <v>157220.69999999998</v>
      </c>
      <c r="R1489" s="25">
        <f t="shared" si="190"/>
        <v>26304.600000000006</v>
      </c>
      <c r="S1489" s="26">
        <f t="shared" si="191"/>
        <v>0.14332955728719696</v>
      </c>
    </row>
    <row r="1490" spans="1:19" ht="15" x14ac:dyDescent="0.2">
      <c r="A1490" s="23">
        <v>46046</v>
      </c>
      <c r="B1490">
        <f t="shared" si="184"/>
        <v>2026</v>
      </c>
      <c r="C1490">
        <f t="shared" si="185"/>
        <v>1</v>
      </c>
      <c r="D1490" t="str">
        <f t="shared" si="186"/>
        <v>Enero</v>
      </c>
      <c r="E1490" t="str">
        <f t="shared" si="187"/>
        <v>T1</v>
      </c>
      <c r="F1490" t="s">
        <v>1617</v>
      </c>
      <c r="G1490" t="s">
        <v>144</v>
      </c>
      <c r="H1490" t="s">
        <v>88</v>
      </c>
      <c r="I1490" t="s">
        <v>145</v>
      </c>
      <c r="J1490" t="s">
        <v>70</v>
      </c>
      <c r="K1490" t="s">
        <v>84</v>
      </c>
      <c r="L1490" t="s">
        <v>85</v>
      </c>
      <c r="M1490" s="24">
        <v>9</v>
      </c>
      <c r="N1490" s="25">
        <v>12009.02</v>
      </c>
      <c r="O1490" s="25">
        <f t="shared" si="188"/>
        <v>108081.18000000001</v>
      </c>
      <c r="P1490" s="25">
        <v>6884.11</v>
      </c>
      <c r="Q1490" s="25">
        <f t="shared" si="189"/>
        <v>61956.99</v>
      </c>
      <c r="R1490" s="25">
        <f t="shared" si="190"/>
        <v>46124.19000000001</v>
      </c>
      <c r="S1490" s="26">
        <f t="shared" si="191"/>
        <v>0.42675505578306977</v>
      </c>
    </row>
    <row r="1491" spans="1:19" ht="15" x14ac:dyDescent="0.2">
      <c r="A1491" s="23">
        <v>46047</v>
      </c>
      <c r="B1491">
        <f t="shared" si="184"/>
        <v>2026</v>
      </c>
      <c r="C1491">
        <f t="shared" si="185"/>
        <v>1</v>
      </c>
      <c r="D1491" t="str">
        <f t="shared" si="186"/>
        <v>Enero</v>
      </c>
      <c r="E1491" t="str">
        <f t="shared" si="187"/>
        <v>T1</v>
      </c>
      <c r="F1491" t="s">
        <v>1618</v>
      </c>
      <c r="G1491" t="s">
        <v>282</v>
      </c>
      <c r="H1491" t="s">
        <v>55</v>
      </c>
      <c r="I1491" t="s">
        <v>56</v>
      </c>
      <c r="J1491" t="s">
        <v>64</v>
      </c>
      <c r="K1491" t="s">
        <v>96</v>
      </c>
      <c r="L1491" t="s">
        <v>103</v>
      </c>
      <c r="M1491" s="24">
        <v>3</v>
      </c>
      <c r="N1491" s="25">
        <v>548998.47</v>
      </c>
      <c r="O1491" s="25">
        <f t="shared" si="188"/>
        <v>1646995.41</v>
      </c>
      <c r="P1491" s="25">
        <v>429640.68</v>
      </c>
      <c r="Q1491" s="25">
        <f t="shared" si="189"/>
        <v>1288922.04</v>
      </c>
      <c r="R1491" s="25">
        <f t="shared" si="190"/>
        <v>358073.36999999988</v>
      </c>
      <c r="S1491" s="26">
        <f t="shared" si="191"/>
        <v>0.21741005944879949</v>
      </c>
    </row>
    <row r="1492" spans="1:19" ht="15" x14ac:dyDescent="0.2">
      <c r="A1492" s="23">
        <v>46047</v>
      </c>
      <c r="B1492">
        <f t="shared" si="184"/>
        <v>2026</v>
      </c>
      <c r="C1492">
        <f t="shared" si="185"/>
        <v>1</v>
      </c>
      <c r="D1492" t="str">
        <f t="shared" si="186"/>
        <v>Enero</v>
      </c>
      <c r="E1492" t="str">
        <f t="shared" si="187"/>
        <v>T1</v>
      </c>
      <c r="F1492" t="s">
        <v>1619</v>
      </c>
      <c r="G1492" t="s">
        <v>100</v>
      </c>
      <c r="H1492" t="s">
        <v>88</v>
      </c>
      <c r="I1492" t="s">
        <v>101</v>
      </c>
      <c r="J1492" t="s">
        <v>64</v>
      </c>
      <c r="K1492" t="s">
        <v>65</v>
      </c>
      <c r="L1492" t="s">
        <v>123</v>
      </c>
      <c r="M1492" s="24">
        <v>13</v>
      </c>
      <c r="N1492" s="25">
        <v>37118.1</v>
      </c>
      <c r="O1492" s="25">
        <f t="shared" si="188"/>
        <v>482535.3</v>
      </c>
      <c r="P1492" s="25">
        <v>20461.95</v>
      </c>
      <c r="Q1492" s="25">
        <f t="shared" si="189"/>
        <v>266005.35000000003</v>
      </c>
      <c r="R1492" s="25">
        <f t="shared" si="190"/>
        <v>216529.94999999995</v>
      </c>
      <c r="S1492" s="26">
        <f t="shared" si="191"/>
        <v>0.44873390609971947</v>
      </c>
    </row>
    <row r="1493" spans="1:19" ht="15" x14ac:dyDescent="0.2">
      <c r="A1493" s="23">
        <v>46047</v>
      </c>
      <c r="B1493">
        <f t="shared" si="184"/>
        <v>2026</v>
      </c>
      <c r="C1493">
        <f t="shared" si="185"/>
        <v>1</v>
      </c>
      <c r="D1493" t="str">
        <f t="shared" si="186"/>
        <v>Enero</v>
      </c>
      <c r="E1493" t="str">
        <f t="shared" si="187"/>
        <v>T1</v>
      </c>
      <c r="F1493" t="s">
        <v>1620</v>
      </c>
      <c r="G1493" t="s">
        <v>100</v>
      </c>
      <c r="H1493" t="s">
        <v>88</v>
      </c>
      <c r="I1493" t="s">
        <v>101</v>
      </c>
      <c r="J1493" t="s">
        <v>57</v>
      </c>
      <c r="K1493" t="s">
        <v>81</v>
      </c>
      <c r="L1493" t="s">
        <v>129</v>
      </c>
      <c r="M1493" s="24">
        <v>4</v>
      </c>
      <c r="N1493" s="25">
        <v>42807.33</v>
      </c>
      <c r="O1493" s="25">
        <f t="shared" si="188"/>
        <v>171229.32</v>
      </c>
      <c r="P1493" s="25">
        <v>23108.02</v>
      </c>
      <c r="Q1493" s="25">
        <f t="shared" si="189"/>
        <v>92432.08</v>
      </c>
      <c r="R1493" s="25">
        <f t="shared" si="190"/>
        <v>78797.240000000005</v>
      </c>
      <c r="S1493" s="26">
        <f t="shared" si="191"/>
        <v>0.46018544020381558</v>
      </c>
    </row>
    <row r="1494" spans="1:19" ht="15" x14ac:dyDescent="0.2">
      <c r="A1494" s="23">
        <v>46047</v>
      </c>
      <c r="B1494">
        <f t="shared" si="184"/>
        <v>2026</v>
      </c>
      <c r="C1494">
        <f t="shared" si="185"/>
        <v>1</v>
      </c>
      <c r="D1494" t="str">
        <f t="shared" si="186"/>
        <v>Enero</v>
      </c>
      <c r="E1494" t="str">
        <f t="shared" si="187"/>
        <v>T1</v>
      </c>
      <c r="F1494" t="s">
        <v>1621</v>
      </c>
      <c r="G1494" t="s">
        <v>87</v>
      </c>
      <c r="H1494" t="s">
        <v>88</v>
      </c>
      <c r="I1494" t="s">
        <v>89</v>
      </c>
      <c r="J1494" t="s">
        <v>70</v>
      </c>
      <c r="K1494" t="s">
        <v>71</v>
      </c>
      <c r="L1494" t="s">
        <v>90</v>
      </c>
      <c r="M1494" s="24">
        <v>3</v>
      </c>
      <c r="N1494" s="25">
        <v>51598.15</v>
      </c>
      <c r="O1494" s="25">
        <f t="shared" si="188"/>
        <v>154794.45000000001</v>
      </c>
      <c r="P1494" s="25">
        <v>30989.33</v>
      </c>
      <c r="Q1494" s="25">
        <f t="shared" si="189"/>
        <v>92967.99</v>
      </c>
      <c r="R1494" s="25">
        <f t="shared" si="190"/>
        <v>61826.460000000006</v>
      </c>
      <c r="S1494" s="26">
        <f t="shared" si="191"/>
        <v>0.39941005636830001</v>
      </c>
    </row>
    <row r="1495" spans="1:19" ht="15" x14ac:dyDescent="0.2">
      <c r="A1495" s="23">
        <v>46047</v>
      </c>
      <c r="B1495">
        <f t="shared" si="184"/>
        <v>2026</v>
      </c>
      <c r="C1495">
        <f t="shared" si="185"/>
        <v>1</v>
      </c>
      <c r="D1495" t="str">
        <f t="shared" si="186"/>
        <v>Enero</v>
      </c>
      <c r="E1495" t="str">
        <f t="shared" si="187"/>
        <v>T1</v>
      </c>
      <c r="F1495" t="s">
        <v>1622</v>
      </c>
      <c r="G1495" t="s">
        <v>149</v>
      </c>
      <c r="H1495" t="s">
        <v>93</v>
      </c>
      <c r="I1495" t="s">
        <v>150</v>
      </c>
      <c r="J1495" t="s">
        <v>57</v>
      </c>
      <c r="K1495" t="s">
        <v>81</v>
      </c>
      <c r="L1495" t="s">
        <v>82</v>
      </c>
      <c r="M1495" s="24">
        <v>3</v>
      </c>
      <c r="N1495" s="25">
        <v>38629.519999999997</v>
      </c>
      <c r="O1495" s="25">
        <f t="shared" si="188"/>
        <v>115888.56</v>
      </c>
      <c r="P1495" s="25">
        <v>22957.71</v>
      </c>
      <c r="Q1495" s="25">
        <f t="shared" si="189"/>
        <v>68873.13</v>
      </c>
      <c r="R1495" s="25">
        <f t="shared" si="190"/>
        <v>47015.429999999993</v>
      </c>
      <c r="S1495" s="26">
        <f t="shared" si="191"/>
        <v>0.4056951781953283</v>
      </c>
    </row>
    <row r="1496" spans="1:19" ht="15" x14ac:dyDescent="0.2">
      <c r="A1496" s="23">
        <v>46048</v>
      </c>
      <c r="B1496">
        <f t="shared" si="184"/>
        <v>2026</v>
      </c>
      <c r="C1496">
        <f t="shared" si="185"/>
        <v>1</v>
      </c>
      <c r="D1496" t="str">
        <f t="shared" si="186"/>
        <v>Enero</v>
      </c>
      <c r="E1496" t="str">
        <f t="shared" si="187"/>
        <v>T1</v>
      </c>
      <c r="F1496" t="s">
        <v>1623</v>
      </c>
      <c r="G1496" t="s">
        <v>92</v>
      </c>
      <c r="H1496" t="s">
        <v>93</v>
      </c>
      <c r="I1496" t="s">
        <v>94</v>
      </c>
      <c r="J1496" t="s">
        <v>70</v>
      </c>
      <c r="K1496" t="s">
        <v>84</v>
      </c>
      <c r="L1496" t="s">
        <v>85</v>
      </c>
      <c r="M1496" s="24">
        <v>4</v>
      </c>
      <c r="N1496" s="25">
        <v>18479.439999999999</v>
      </c>
      <c r="O1496" s="25">
        <f t="shared" si="188"/>
        <v>73917.759999999995</v>
      </c>
      <c r="P1496" s="25">
        <v>11568.14</v>
      </c>
      <c r="Q1496" s="25">
        <f t="shared" si="189"/>
        <v>46272.56</v>
      </c>
      <c r="R1496" s="25">
        <f t="shared" si="190"/>
        <v>27645.199999999997</v>
      </c>
      <c r="S1496" s="26">
        <f t="shared" si="191"/>
        <v>0.373999428554112</v>
      </c>
    </row>
    <row r="1497" spans="1:19" ht="15" x14ac:dyDescent="0.2">
      <c r="A1497" s="23">
        <v>46049</v>
      </c>
      <c r="B1497">
        <f t="shared" si="184"/>
        <v>2026</v>
      </c>
      <c r="C1497">
        <f t="shared" si="185"/>
        <v>1</v>
      </c>
      <c r="D1497" t="str">
        <f t="shared" si="186"/>
        <v>Enero</v>
      </c>
      <c r="E1497" t="str">
        <f t="shared" si="187"/>
        <v>T1</v>
      </c>
      <c r="F1497" t="s">
        <v>1624</v>
      </c>
      <c r="G1497" t="s">
        <v>54</v>
      </c>
      <c r="H1497" t="s">
        <v>55</v>
      </c>
      <c r="I1497" t="s">
        <v>56</v>
      </c>
      <c r="J1497" t="s">
        <v>57</v>
      </c>
      <c r="K1497" t="s">
        <v>58</v>
      </c>
      <c r="L1497" t="s">
        <v>59</v>
      </c>
      <c r="M1497" s="24">
        <v>8</v>
      </c>
      <c r="N1497" s="25">
        <v>53153.49</v>
      </c>
      <c r="O1497" s="25">
        <f t="shared" si="188"/>
        <v>425227.92</v>
      </c>
      <c r="P1497" s="25">
        <v>41239.11</v>
      </c>
      <c r="Q1497" s="25">
        <f t="shared" si="189"/>
        <v>329912.88</v>
      </c>
      <c r="R1497" s="25">
        <f t="shared" si="190"/>
        <v>95315.039999999979</v>
      </c>
      <c r="S1497" s="26">
        <f t="shared" si="191"/>
        <v>0.22415047440911215</v>
      </c>
    </row>
    <row r="1498" spans="1:19" ht="15" x14ac:dyDescent="0.2">
      <c r="A1498" s="23">
        <v>46049</v>
      </c>
      <c r="B1498">
        <f t="shared" si="184"/>
        <v>2026</v>
      </c>
      <c r="C1498">
        <f t="shared" si="185"/>
        <v>1</v>
      </c>
      <c r="D1498" t="str">
        <f t="shared" si="186"/>
        <v>Enero</v>
      </c>
      <c r="E1498" t="str">
        <f t="shared" si="187"/>
        <v>T1</v>
      </c>
      <c r="F1498" t="s">
        <v>1625</v>
      </c>
      <c r="G1498" t="s">
        <v>54</v>
      </c>
      <c r="H1498" t="s">
        <v>55</v>
      </c>
      <c r="I1498" t="s">
        <v>56</v>
      </c>
      <c r="J1498" t="s">
        <v>57</v>
      </c>
      <c r="K1498" t="s">
        <v>58</v>
      </c>
      <c r="L1498" t="s">
        <v>59</v>
      </c>
      <c r="M1498" s="24">
        <v>2</v>
      </c>
      <c r="N1498" s="25">
        <v>41422.71</v>
      </c>
      <c r="O1498" s="25">
        <f t="shared" si="188"/>
        <v>82845.42</v>
      </c>
      <c r="P1498" s="25">
        <v>31854.22</v>
      </c>
      <c r="Q1498" s="25">
        <f t="shared" si="189"/>
        <v>63708.44</v>
      </c>
      <c r="R1498" s="25">
        <f t="shared" si="190"/>
        <v>19136.979999999996</v>
      </c>
      <c r="S1498" s="26">
        <f t="shared" si="191"/>
        <v>0.23099623370851396</v>
      </c>
    </row>
    <row r="1499" spans="1:19" ht="15" x14ac:dyDescent="0.2">
      <c r="A1499" s="23">
        <v>46049</v>
      </c>
      <c r="B1499">
        <f t="shared" si="184"/>
        <v>2026</v>
      </c>
      <c r="C1499">
        <f t="shared" si="185"/>
        <v>1</v>
      </c>
      <c r="D1499" t="str">
        <f t="shared" si="186"/>
        <v>Enero</v>
      </c>
      <c r="E1499" t="str">
        <f t="shared" si="187"/>
        <v>T1</v>
      </c>
      <c r="F1499" t="s">
        <v>1626</v>
      </c>
      <c r="G1499" t="s">
        <v>105</v>
      </c>
      <c r="H1499" t="s">
        <v>62</v>
      </c>
      <c r="I1499" t="s">
        <v>106</v>
      </c>
      <c r="J1499" t="s">
        <v>70</v>
      </c>
      <c r="K1499" t="s">
        <v>84</v>
      </c>
      <c r="L1499" t="s">
        <v>147</v>
      </c>
      <c r="M1499" s="24">
        <v>235</v>
      </c>
      <c r="N1499" s="25">
        <v>1759.51</v>
      </c>
      <c r="O1499" s="25">
        <f t="shared" si="188"/>
        <v>413484.85</v>
      </c>
      <c r="P1499" s="25">
        <v>1497.99</v>
      </c>
      <c r="Q1499" s="25">
        <f t="shared" si="189"/>
        <v>352027.65</v>
      </c>
      <c r="R1499" s="25">
        <f t="shared" si="190"/>
        <v>61457.199999999953</v>
      </c>
      <c r="S1499" s="26">
        <f t="shared" si="191"/>
        <v>0.14863228967155617</v>
      </c>
    </row>
    <row r="1500" spans="1:19" ht="15" x14ac:dyDescent="0.2">
      <c r="A1500" s="23">
        <v>46049</v>
      </c>
      <c r="B1500">
        <f t="shared" si="184"/>
        <v>2026</v>
      </c>
      <c r="C1500">
        <f t="shared" si="185"/>
        <v>1</v>
      </c>
      <c r="D1500" t="str">
        <f t="shared" si="186"/>
        <v>Enero</v>
      </c>
      <c r="E1500" t="str">
        <f t="shared" si="187"/>
        <v>T1</v>
      </c>
      <c r="F1500" t="s">
        <v>1627</v>
      </c>
      <c r="G1500" t="s">
        <v>114</v>
      </c>
      <c r="H1500" t="s">
        <v>75</v>
      </c>
      <c r="I1500" t="s">
        <v>115</v>
      </c>
      <c r="J1500" t="s">
        <v>57</v>
      </c>
      <c r="K1500" t="s">
        <v>58</v>
      </c>
      <c r="L1500" t="s">
        <v>59</v>
      </c>
      <c r="M1500" s="24">
        <v>3</v>
      </c>
      <c r="N1500" s="25">
        <v>97842.96</v>
      </c>
      <c r="O1500" s="25">
        <f t="shared" si="188"/>
        <v>293528.88</v>
      </c>
      <c r="P1500" s="25">
        <v>66030.009999999995</v>
      </c>
      <c r="Q1500" s="25">
        <f t="shared" si="189"/>
        <v>198090.02999999997</v>
      </c>
      <c r="R1500" s="25">
        <f t="shared" si="190"/>
        <v>95438.850000000035</v>
      </c>
      <c r="S1500" s="26">
        <f t="shared" si="191"/>
        <v>0.32514296378605073</v>
      </c>
    </row>
    <row r="1501" spans="1:19" ht="15" x14ac:dyDescent="0.2">
      <c r="A1501" s="23">
        <v>46049</v>
      </c>
      <c r="B1501">
        <f t="shared" si="184"/>
        <v>2026</v>
      </c>
      <c r="C1501">
        <f t="shared" si="185"/>
        <v>1</v>
      </c>
      <c r="D1501" t="str">
        <f t="shared" si="186"/>
        <v>Enero</v>
      </c>
      <c r="E1501" t="str">
        <f t="shared" si="187"/>
        <v>T1</v>
      </c>
      <c r="F1501" t="s">
        <v>1628</v>
      </c>
      <c r="G1501" t="s">
        <v>114</v>
      </c>
      <c r="H1501" t="s">
        <v>75</v>
      </c>
      <c r="I1501" t="s">
        <v>115</v>
      </c>
      <c r="J1501" t="s">
        <v>125</v>
      </c>
      <c r="K1501" t="s">
        <v>138</v>
      </c>
      <c r="L1501" t="s">
        <v>142</v>
      </c>
      <c r="M1501" s="24">
        <v>4</v>
      </c>
      <c r="N1501" s="25">
        <v>105101.35</v>
      </c>
      <c r="O1501" s="25">
        <f t="shared" si="188"/>
        <v>420405.4</v>
      </c>
      <c r="P1501" s="25">
        <v>69925.5</v>
      </c>
      <c r="Q1501" s="25">
        <f t="shared" si="189"/>
        <v>279702</v>
      </c>
      <c r="R1501" s="25">
        <f t="shared" si="190"/>
        <v>140703.40000000002</v>
      </c>
      <c r="S1501" s="26">
        <f t="shared" si="191"/>
        <v>0.33468504448325359</v>
      </c>
    </row>
    <row r="1502" spans="1:19" ht="15" x14ac:dyDescent="0.2">
      <c r="A1502" s="23">
        <v>46049</v>
      </c>
      <c r="B1502">
        <f t="shared" si="184"/>
        <v>2026</v>
      </c>
      <c r="C1502">
        <f t="shared" si="185"/>
        <v>1</v>
      </c>
      <c r="D1502" t="str">
        <f t="shared" si="186"/>
        <v>Enero</v>
      </c>
      <c r="E1502" t="str">
        <f t="shared" si="187"/>
        <v>T1</v>
      </c>
      <c r="F1502" t="s">
        <v>1629</v>
      </c>
      <c r="G1502" t="s">
        <v>206</v>
      </c>
      <c r="H1502" t="s">
        <v>93</v>
      </c>
      <c r="I1502" t="s">
        <v>207</v>
      </c>
      <c r="J1502" t="s">
        <v>64</v>
      </c>
      <c r="K1502" t="s">
        <v>96</v>
      </c>
      <c r="L1502" t="s">
        <v>103</v>
      </c>
      <c r="M1502" s="24">
        <v>3</v>
      </c>
      <c r="N1502" s="25">
        <v>96867.26</v>
      </c>
      <c r="O1502" s="25">
        <f t="shared" si="188"/>
        <v>290601.77999999997</v>
      </c>
      <c r="P1502" s="25">
        <v>58595.01</v>
      </c>
      <c r="Q1502" s="25">
        <f t="shared" si="189"/>
        <v>175785.03</v>
      </c>
      <c r="R1502" s="25">
        <f t="shared" si="190"/>
        <v>114816.74999999997</v>
      </c>
      <c r="S1502" s="26">
        <f t="shared" si="191"/>
        <v>0.39509995430860739</v>
      </c>
    </row>
    <row r="1503" spans="1:19" ht="15" x14ac:dyDescent="0.2">
      <c r="A1503" s="23">
        <v>46049</v>
      </c>
      <c r="B1503">
        <f t="shared" si="184"/>
        <v>2026</v>
      </c>
      <c r="C1503">
        <f t="shared" si="185"/>
        <v>1</v>
      </c>
      <c r="D1503" t="str">
        <f t="shared" si="186"/>
        <v>Enero</v>
      </c>
      <c r="E1503" t="str">
        <f t="shared" si="187"/>
        <v>T1</v>
      </c>
      <c r="F1503" t="s">
        <v>1630</v>
      </c>
      <c r="G1503" t="s">
        <v>149</v>
      </c>
      <c r="H1503" t="s">
        <v>93</v>
      </c>
      <c r="I1503" t="s">
        <v>150</v>
      </c>
      <c r="J1503" t="s">
        <v>64</v>
      </c>
      <c r="K1503" t="s">
        <v>96</v>
      </c>
      <c r="L1503" t="s">
        <v>103</v>
      </c>
      <c r="M1503" s="24">
        <v>5</v>
      </c>
      <c r="N1503" s="25">
        <v>43207.46</v>
      </c>
      <c r="O1503" s="25">
        <f t="shared" si="188"/>
        <v>216037.3</v>
      </c>
      <c r="P1503" s="25">
        <v>26080.76</v>
      </c>
      <c r="Q1503" s="25">
        <f t="shared" si="189"/>
        <v>130403.79999999999</v>
      </c>
      <c r="R1503" s="25">
        <f t="shared" si="190"/>
        <v>85633.5</v>
      </c>
      <c r="S1503" s="26">
        <f t="shared" si="191"/>
        <v>0.39638293942758962</v>
      </c>
    </row>
    <row r="1504" spans="1:19" ht="15" x14ac:dyDescent="0.2">
      <c r="A1504" s="23">
        <v>46049</v>
      </c>
      <c r="B1504">
        <f t="shared" si="184"/>
        <v>2026</v>
      </c>
      <c r="C1504">
        <f t="shared" si="185"/>
        <v>1</v>
      </c>
      <c r="D1504" t="str">
        <f t="shared" si="186"/>
        <v>Enero</v>
      </c>
      <c r="E1504" t="str">
        <f t="shared" si="187"/>
        <v>T1</v>
      </c>
      <c r="F1504" t="s">
        <v>1631</v>
      </c>
      <c r="G1504" t="s">
        <v>92</v>
      </c>
      <c r="H1504" t="s">
        <v>93</v>
      </c>
      <c r="I1504" t="s">
        <v>94</v>
      </c>
      <c r="J1504" t="s">
        <v>57</v>
      </c>
      <c r="K1504" t="s">
        <v>58</v>
      </c>
      <c r="L1504" t="s">
        <v>162</v>
      </c>
      <c r="M1504" s="24">
        <v>1</v>
      </c>
      <c r="N1504" s="25">
        <v>26598.18</v>
      </c>
      <c r="O1504" s="25">
        <f t="shared" si="188"/>
        <v>26598.18</v>
      </c>
      <c r="P1504" s="25">
        <v>15819.96</v>
      </c>
      <c r="Q1504" s="25">
        <f t="shared" si="189"/>
        <v>15819.96</v>
      </c>
      <c r="R1504" s="25">
        <f t="shared" si="190"/>
        <v>10778.220000000001</v>
      </c>
      <c r="S1504" s="26">
        <f t="shared" si="191"/>
        <v>0.40522396645184</v>
      </c>
    </row>
    <row r="1505" spans="1:19" ht="15" x14ac:dyDescent="0.2">
      <c r="A1505" s="23">
        <v>46050</v>
      </c>
      <c r="B1505">
        <f t="shared" si="184"/>
        <v>2026</v>
      </c>
      <c r="C1505">
        <f t="shared" si="185"/>
        <v>1</v>
      </c>
      <c r="D1505" t="str">
        <f t="shared" si="186"/>
        <v>Enero</v>
      </c>
      <c r="E1505" t="str">
        <f t="shared" si="187"/>
        <v>T1</v>
      </c>
      <c r="F1505" t="s">
        <v>1632</v>
      </c>
      <c r="G1505" t="s">
        <v>144</v>
      </c>
      <c r="H1505" t="s">
        <v>88</v>
      </c>
      <c r="I1505" t="s">
        <v>145</v>
      </c>
      <c r="J1505" t="s">
        <v>57</v>
      </c>
      <c r="K1505" t="s">
        <v>81</v>
      </c>
      <c r="L1505" t="s">
        <v>129</v>
      </c>
      <c r="M1505" s="24">
        <v>39</v>
      </c>
      <c r="N1505" s="25">
        <v>12395.51</v>
      </c>
      <c r="O1505" s="25">
        <f t="shared" si="188"/>
        <v>483424.89</v>
      </c>
      <c r="P1505" s="25">
        <v>6949.69</v>
      </c>
      <c r="Q1505" s="25">
        <f t="shared" si="189"/>
        <v>271037.90999999997</v>
      </c>
      <c r="R1505" s="25">
        <f t="shared" si="190"/>
        <v>212386.98000000004</v>
      </c>
      <c r="S1505" s="26">
        <f t="shared" si="191"/>
        <v>0.43933811517234878</v>
      </c>
    </row>
    <row r="1506" spans="1:19" ht="15" x14ac:dyDescent="0.2">
      <c r="A1506" s="23">
        <v>46050</v>
      </c>
      <c r="B1506">
        <f t="shared" si="184"/>
        <v>2026</v>
      </c>
      <c r="C1506">
        <f t="shared" si="185"/>
        <v>1</v>
      </c>
      <c r="D1506" t="str">
        <f t="shared" si="186"/>
        <v>Enero</v>
      </c>
      <c r="E1506" t="str">
        <f t="shared" si="187"/>
        <v>T1</v>
      </c>
      <c r="F1506" t="s">
        <v>1633</v>
      </c>
      <c r="G1506" t="s">
        <v>92</v>
      </c>
      <c r="H1506" t="s">
        <v>93</v>
      </c>
      <c r="I1506" t="s">
        <v>94</v>
      </c>
      <c r="J1506" t="s">
        <v>57</v>
      </c>
      <c r="K1506" t="s">
        <v>58</v>
      </c>
      <c r="L1506" t="s">
        <v>162</v>
      </c>
      <c r="M1506" s="24">
        <v>8</v>
      </c>
      <c r="N1506" s="25">
        <v>20703.12</v>
      </c>
      <c r="O1506" s="25">
        <f t="shared" si="188"/>
        <v>165624.95999999999</v>
      </c>
      <c r="P1506" s="25">
        <v>12339.44</v>
      </c>
      <c r="Q1506" s="25">
        <f t="shared" si="189"/>
        <v>98715.520000000004</v>
      </c>
      <c r="R1506" s="25">
        <f t="shared" si="190"/>
        <v>66909.439999999988</v>
      </c>
      <c r="S1506" s="26">
        <f t="shared" si="191"/>
        <v>0.40398162209367472</v>
      </c>
    </row>
    <row r="1507" spans="1:19" ht="15" x14ac:dyDescent="0.2">
      <c r="A1507" s="23">
        <v>46054</v>
      </c>
      <c r="B1507">
        <f t="shared" si="184"/>
        <v>2026</v>
      </c>
      <c r="C1507">
        <f t="shared" si="185"/>
        <v>2</v>
      </c>
      <c r="D1507" t="str">
        <f t="shared" si="186"/>
        <v>Febrero</v>
      </c>
      <c r="E1507" t="str">
        <f t="shared" si="187"/>
        <v>T1</v>
      </c>
      <c r="F1507" t="s">
        <v>1634</v>
      </c>
      <c r="G1507" t="s">
        <v>54</v>
      </c>
      <c r="H1507" t="s">
        <v>55</v>
      </c>
      <c r="I1507" t="s">
        <v>56</v>
      </c>
      <c r="J1507" t="s">
        <v>70</v>
      </c>
      <c r="K1507" t="s">
        <v>71</v>
      </c>
      <c r="L1507" t="s">
        <v>72</v>
      </c>
      <c r="M1507" s="24">
        <v>3</v>
      </c>
      <c r="N1507" s="25">
        <v>56323.62</v>
      </c>
      <c r="O1507" s="25">
        <f t="shared" si="188"/>
        <v>168970.86000000002</v>
      </c>
      <c r="P1507" s="25">
        <v>45973.32</v>
      </c>
      <c r="Q1507" s="25">
        <f t="shared" si="189"/>
        <v>137919.96</v>
      </c>
      <c r="R1507" s="25">
        <f t="shared" si="190"/>
        <v>31050.900000000023</v>
      </c>
      <c r="S1507" s="26">
        <f t="shared" si="191"/>
        <v>0.18376482193438573</v>
      </c>
    </row>
    <row r="1508" spans="1:19" ht="15" x14ac:dyDescent="0.2">
      <c r="A1508" s="23">
        <v>46054</v>
      </c>
      <c r="B1508">
        <f t="shared" si="184"/>
        <v>2026</v>
      </c>
      <c r="C1508">
        <f t="shared" si="185"/>
        <v>2</v>
      </c>
      <c r="D1508" t="str">
        <f t="shared" si="186"/>
        <v>Febrero</v>
      </c>
      <c r="E1508" t="str">
        <f t="shared" si="187"/>
        <v>T1</v>
      </c>
      <c r="F1508" t="s">
        <v>1635</v>
      </c>
      <c r="G1508" t="s">
        <v>74</v>
      </c>
      <c r="H1508" t="s">
        <v>75</v>
      </c>
      <c r="I1508" t="s">
        <v>76</v>
      </c>
      <c r="J1508" t="s">
        <v>64</v>
      </c>
      <c r="K1508" t="s">
        <v>96</v>
      </c>
      <c r="L1508" t="s">
        <v>97</v>
      </c>
      <c r="M1508" s="24">
        <v>4</v>
      </c>
      <c r="N1508" s="25">
        <v>38213.31</v>
      </c>
      <c r="O1508" s="25">
        <f t="shared" si="188"/>
        <v>152853.24</v>
      </c>
      <c r="P1508" s="25">
        <v>26927.47</v>
      </c>
      <c r="Q1508" s="25">
        <f t="shared" si="189"/>
        <v>107709.88</v>
      </c>
      <c r="R1508" s="25">
        <f t="shared" si="190"/>
        <v>45143.359999999986</v>
      </c>
      <c r="S1508" s="26">
        <f t="shared" si="191"/>
        <v>0.29533793330125019</v>
      </c>
    </row>
    <row r="1509" spans="1:19" ht="15" x14ac:dyDescent="0.2">
      <c r="A1509" s="23">
        <v>46054</v>
      </c>
      <c r="B1509">
        <f t="shared" si="184"/>
        <v>2026</v>
      </c>
      <c r="C1509">
        <f t="shared" si="185"/>
        <v>2</v>
      </c>
      <c r="D1509" t="str">
        <f t="shared" si="186"/>
        <v>Febrero</v>
      </c>
      <c r="E1509" t="str">
        <f t="shared" si="187"/>
        <v>T1</v>
      </c>
      <c r="F1509" t="s">
        <v>1636</v>
      </c>
      <c r="G1509" t="s">
        <v>100</v>
      </c>
      <c r="H1509" t="s">
        <v>88</v>
      </c>
      <c r="I1509" t="s">
        <v>101</v>
      </c>
      <c r="J1509" t="s">
        <v>125</v>
      </c>
      <c r="K1509" t="s">
        <v>126</v>
      </c>
      <c r="L1509" t="s">
        <v>131</v>
      </c>
      <c r="M1509" s="24">
        <v>2</v>
      </c>
      <c r="N1509" s="25">
        <v>43852.34</v>
      </c>
      <c r="O1509" s="25">
        <f t="shared" si="188"/>
        <v>87704.68</v>
      </c>
      <c r="P1509" s="25">
        <v>23716.959999999999</v>
      </c>
      <c r="Q1509" s="25">
        <f t="shared" si="189"/>
        <v>47433.919999999998</v>
      </c>
      <c r="R1509" s="25">
        <f t="shared" si="190"/>
        <v>40270.759999999995</v>
      </c>
      <c r="S1509" s="26">
        <f t="shared" si="191"/>
        <v>0.45916318262605826</v>
      </c>
    </row>
    <row r="1510" spans="1:19" ht="15" x14ac:dyDescent="0.2">
      <c r="A1510" s="23">
        <v>46054</v>
      </c>
      <c r="B1510">
        <f t="shared" si="184"/>
        <v>2026</v>
      </c>
      <c r="C1510">
        <f t="shared" si="185"/>
        <v>2</v>
      </c>
      <c r="D1510" t="str">
        <f t="shared" si="186"/>
        <v>Febrero</v>
      </c>
      <c r="E1510" t="str">
        <f t="shared" si="187"/>
        <v>T1</v>
      </c>
      <c r="F1510" t="s">
        <v>1637</v>
      </c>
      <c r="G1510" t="s">
        <v>92</v>
      </c>
      <c r="H1510" t="s">
        <v>93</v>
      </c>
      <c r="I1510" t="s">
        <v>94</v>
      </c>
      <c r="J1510" t="s">
        <v>57</v>
      </c>
      <c r="K1510" t="s">
        <v>58</v>
      </c>
      <c r="L1510" t="s">
        <v>59</v>
      </c>
      <c r="M1510" s="24">
        <v>1</v>
      </c>
      <c r="N1510" s="25">
        <v>21967.27</v>
      </c>
      <c r="O1510" s="25">
        <f t="shared" si="188"/>
        <v>21967.27</v>
      </c>
      <c r="P1510" s="25">
        <v>12908.02</v>
      </c>
      <c r="Q1510" s="25">
        <f t="shared" si="189"/>
        <v>12908.02</v>
      </c>
      <c r="R1510" s="25">
        <f t="shared" si="190"/>
        <v>9059.25</v>
      </c>
      <c r="S1510" s="26">
        <f t="shared" si="191"/>
        <v>0.4123976261046548</v>
      </c>
    </row>
    <row r="1511" spans="1:19" ht="15" x14ac:dyDescent="0.2">
      <c r="A1511" s="23">
        <v>46054</v>
      </c>
      <c r="B1511">
        <f t="shared" si="184"/>
        <v>2026</v>
      </c>
      <c r="C1511">
        <f t="shared" si="185"/>
        <v>2</v>
      </c>
      <c r="D1511" t="str">
        <f t="shared" si="186"/>
        <v>Febrero</v>
      </c>
      <c r="E1511" t="str">
        <f t="shared" si="187"/>
        <v>T1</v>
      </c>
      <c r="F1511" t="s">
        <v>1638</v>
      </c>
      <c r="G1511" t="s">
        <v>149</v>
      </c>
      <c r="H1511" t="s">
        <v>93</v>
      </c>
      <c r="I1511" t="s">
        <v>150</v>
      </c>
      <c r="J1511" t="s">
        <v>57</v>
      </c>
      <c r="K1511" t="s">
        <v>58</v>
      </c>
      <c r="L1511" t="s">
        <v>162</v>
      </c>
      <c r="M1511" s="24">
        <v>2</v>
      </c>
      <c r="N1511" s="25">
        <v>46947.41</v>
      </c>
      <c r="O1511" s="25">
        <f t="shared" si="188"/>
        <v>93894.82</v>
      </c>
      <c r="P1511" s="25">
        <v>26953.63</v>
      </c>
      <c r="Q1511" s="25">
        <f t="shared" si="189"/>
        <v>53907.26</v>
      </c>
      <c r="R1511" s="25">
        <f t="shared" si="190"/>
        <v>39987.560000000005</v>
      </c>
      <c r="S1511" s="26">
        <f t="shared" si="191"/>
        <v>0.42587610264336201</v>
      </c>
    </row>
    <row r="1512" spans="1:19" ht="15" x14ac:dyDescent="0.2">
      <c r="A1512" s="23">
        <v>46056</v>
      </c>
      <c r="B1512">
        <f t="shared" si="184"/>
        <v>2026</v>
      </c>
      <c r="C1512">
        <f t="shared" si="185"/>
        <v>2</v>
      </c>
      <c r="D1512" t="str">
        <f t="shared" si="186"/>
        <v>Febrero</v>
      </c>
      <c r="E1512" t="str">
        <f t="shared" si="187"/>
        <v>T1</v>
      </c>
      <c r="F1512" t="s">
        <v>1639</v>
      </c>
      <c r="G1512" t="s">
        <v>68</v>
      </c>
      <c r="H1512" t="s">
        <v>62</v>
      </c>
      <c r="I1512" t="s">
        <v>69</v>
      </c>
      <c r="J1512" t="s">
        <v>77</v>
      </c>
      <c r="K1512" t="s">
        <v>78</v>
      </c>
      <c r="L1512" t="s">
        <v>79</v>
      </c>
      <c r="M1512" s="24">
        <v>173</v>
      </c>
      <c r="N1512" s="25">
        <v>3253.85</v>
      </c>
      <c r="O1512" s="25">
        <f t="shared" si="188"/>
        <v>562916.04999999993</v>
      </c>
      <c r="P1512" s="25">
        <v>2598.6</v>
      </c>
      <c r="Q1512" s="25">
        <f t="shared" si="189"/>
        <v>449557.8</v>
      </c>
      <c r="R1512" s="25">
        <f t="shared" si="190"/>
        <v>113358.24999999994</v>
      </c>
      <c r="S1512" s="26">
        <f t="shared" si="191"/>
        <v>0.20137683052384092</v>
      </c>
    </row>
    <row r="1513" spans="1:19" ht="15" x14ac:dyDescent="0.2">
      <c r="A1513" s="23">
        <v>46056</v>
      </c>
      <c r="B1513">
        <f t="shared" si="184"/>
        <v>2026</v>
      </c>
      <c r="C1513">
        <f t="shared" si="185"/>
        <v>2</v>
      </c>
      <c r="D1513" t="str">
        <f t="shared" si="186"/>
        <v>Febrero</v>
      </c>
      <c r="E1513" t="str">
        <f t="shared" si="187"/>
        <v>T1</v>
      </c>
      <c r="F1513" t="s">
        <v>1640</v>
      </c>
      <c r="G1513" t="s">
        <v>74</v>
      </c>
      <c r="H1513" t="s">
        <v>75</v>
      </c>
      <c r="I1513" t="s">
        <v>76</v>
      </c>
      <c r="J1513" t="s">
        <v>64</v>
      </c>
      <c r="K1513" t="s">
        <v>96</v>
      </c>
      <c r="L1513" t="s">
        <v>103</v>
      </c>
      <c r="M1513" s="24">
        <v>10</v>
      </c>
      <c r="N1513" s="25">
        <v>39507.65</v>
      </c>
      <c r="O1513" s="25">
        <f t="shared" si="188"/>
        <v>395076.5</v>
      </c>
      <c r="P1513" s="25">
        <v>27210.75</v>
      </c>
      <c r="Q1513" s="25">
        <f t="shared" si="189"/>
        <v>272107.5</v>
      </c>
      <c r="R1513" s="25">
        <f t="shared" si="190"/>
        <v>122969</v>
      </c>
      <c r="S1513" s="26">
        <f t="shared" si="191"/>
        <v>0.31125364328174415</v>
      </c>
    </row>
    <row r="1514" spans="1:19" ht="15" x14ac:dyDescent="0.2">
      <c r="A1514" s="23">
        <v>46056</v>
      </c>
      <c r="B1514">
        <f t="shared" si="184"/>
        <v>2026</v>
      </c>
      <c r="C1514">
        <f t="shared" si="185"/>
        <v>2</v>
      </c>
      <c r="D1514" t="str">
        <f t="shared" si="186"/>
        <v>Febrero</v>
      </c>
      <c r="E1514" t="str">
        <f t="shared" si="187"/>
        <v>T1</v>
      </c>
      <c r="F1514" t="s">
        <v>1641</v>
      </c>
      <c r="G1514" t="s">
        <v>144</v>
      </c>
      <c r="H1514" t="s">
        <v>88</v>
      </c>
      <c r="I1514" t="s">
        <v>145</v>
      </c>
      <c r="J1514" t="s">
        <v>57</v>
      </c>
      <c r="K1514" t="s">
        <v>58</v>
      </c>
      <c r="L1514" t="s">
        <v>162</v>
      </c>
      <c r="M1514" s="24">
        <v>13</v>
      </c>
      <c r="N1514" s="25">
        <v>12578.56</v>
      </c>
      <c r="O1514" s="25">
        <f t="shared" si="188"/>
        <v>163521.28</v>
      </c>
      <c r="P1514" s="25">
        <v>6847.56</v>
      </c>
      <c r="Q1514" s="25">
        <f t="shared" si="189"/>
        <v>89018.28</v>
      </c>
      <c r="R1514" s="25">
        <f t="shared" si="190"/>
        <v>74503</v>
      </c>
      <c r="S1514" s="26">
        <f t="shared" si="191"/>
        <v>0.45561654116210443</v>
      </c>
    </row>
    <row r="1515" spans="1:19" ht="15" x14ac:dyDescent="0.2">
      <c r="A1515" s="23">
        <v>46057</v>
      </c>
      <c r="B1515">
        <f t="shared" si="184"/>
        <v>2026</v>
      </c>
      <c r="C1515">
        <f t="shared" si="185"/>
        <v>2</v>
      </c>
      <c r="D1515" t="str">
        <f t="shared" si="186"/>
        <v>Febrero</v>
      </c>
      <c r="E1515" t="str">
        <f t="shared" si="187"/>
        <v>T1</v>
      </c>
      <c r="F1515" t="s">
        <v>1642</v>
      </c>
      <c r="G1515" t="s">
        <v>54</v>
      </c>
      <c r="H1515" t="s">
        <v>55</v>
      </c>
      <c r="I1515" t="s">
        <v>56</v>
      </c>
      <c r="J1515" t="s">
        <v>57</v>
      </c>
      <c r="K1515" t="s">
        <v>58</v>
      </c>
      <c r="L1515" t="s">
        <v>162</v>
      </c>
      <c r="M1515" s="24">
        <v>2</v>
      </c>
      <c r="N1515" s="25">
        <v>52146.04</v>
      </c>
      <c r="O1515" s="25">
        <f t="shared" si="188"/>
        <v>104292.08</v>
      </c>
      <c r="P1515" s="25">
        <v>40695.35</v>
      </c>
      <c r="Q1515" s="25">
        <f t="shared" si="189"/>
        <v>81390.7</v>
      </c>
      <c r="R1515" s="25">
        <f t="shared" si="190"/>
        <v>22901.380000000005</v>
      </c>
      <c r="S1515" s="26">
        <f t="shared" si="191"/>
        <v>0.21958887002733096</v>
      </c>
    </row>
    <row r="1516" spans="1:19" ht="15" x14ac:dyDescent="0.2">
      <c r="A1516" s="23">
        <v>46057</v>
      </c>
      <c r="B1516">
        <f t="shared" si="184"/>
        <v>2026</v>
      </c>
      <c r="C1516">
        <f t="shared" si="185"/>
        <v>2</v>
      </c>
      <c r="D1516" t="str">
        <f t="shared" si="186"/>
        <v>Febrero</v>
      </c>
      <c r="E1516" t="str">
        <f t="shared" si="187"/>
        <v>T1</v>
      </c>
      <c r="F1516" t="s">
        <v>1643</v>
      </c>
      <c r="G1516" t="s">
        <v>54</v>
      </c>
      <c r="H1516" t="s">
        <v>55</v>
      </c>
      <c r="I1516" t="s">
        <v>56</v>
      </c>
      <c r="J1516" t="s">
        <v>70</v>
      </c>
      <c r="K1516" t="s">
        <v>84</v>
      </c>
      <c r="L1516" t="s">
        <v>85</v>
      </c>
      <c r="M1516" s="24">
        <v>12</v>
      </c>
      <c r="N1516" s="25">
        <v>51207.24</v>
      </c>
      <c r="O1516" s="25">
        <f t="shared" si="188"/>
        <v>614486.88</v>
      </c>
      <c r="P1516" s="25">
        <v>41039.33</v>
      </c>
      <c r="Q1516" s="25">
        <f t="shared" si="189"/>
        <v>492471.96</v>
      </c>
      <c r="R1516" s="25">
        <f t="shared" si="190"/>
        <v>122014.91999999998</v>
      </c>
      <c r="S1516" s="26">
        <f t="shared" si="191"/>
        <v>0.19856391400903464</v>
      </c>
    </row>
    <row r="1517" spans="1:19" ht="15" x14ac:dyDescent="0.2">
      <c r="A1517" s="23">
        <v>46057</v>
      </c>
      <c r="B1517">
        <f t="shared" si="184"/>
        <v>2026</v>
      </c>
      <c r="C1517">
        <f t="shared" si="185"/>
        <v>2</v>
      </c>
      <c r="D1517" t="str">
        <f t="shared" si="186"/>
        <v>Febrero</v>
      </c>
      <c r="E1517" t="str">
        <f t="shared" si="187"/>
        <v>T1</v>
      </c>
      <c r="F1517" t="s">
        <v>1644</v>
      </c>
      <c r="G1517" t="s">
        <v>74</v>
      </c>
      <c r="H1517" t="s">
        <v>75</v>
      </c>
      <c r="I1517" t="s">
        <v>76</v>
      </c>
      <c r="J1517" t="s">
        <v>64</v>
      </c>
      <c r="K1517" t="s">
        <v>65</v>
      </c>
      <c r="L1517" t="s">
        <v>66</v>
      </c>
      <c r="M1517" s="24">
        <v>29</v>
      </c>
      <c r="N1517" s="25">
        <v>39264.17</v>
      </c>
      <c r="O1517" s="25">
        <f t="shared" si="188"/>
        <v>1138660.93</v>
      </c>
      <c r="P1517" s="25">
        <v>27759.01</v>
      </c>
      <c r="Q1517" s="25">
        <f t="shared" si="189"/>
        <v>805011.28999999992</v>
      </c>
      <c r="R1517" s="25">
        <f t="shared" si="190"/>
        <v>333649.64</v>
      </c>
      <c r="S1517" s="26">
        <f t="shared" si="191"/>
        <v>0.29301930997140652</v>
      </c>
    </row>
    <row r="1518" spans="1:19" ht="15" x14ac:dyDescent="0.2">
      <c r="A1518" s="23">
        <v>46057</v>
      </c>
      <c r="B1518">
        <f t="shared" si="184"/>
        <v>2026</v>
      </c>
      <c r="C1518">
        <f t="shared" si="185"/>
        <v>2</v>
      </c>
      <c r="D1518" t="str">
        <f t="shared" si="186"/>
        <v>Febrero</v>
      </c>
      <c r="E1518" t="str">
        <f t="shared" si="187"/>
        <v>T1</v>
      </c>
      <c r="F1518" t="s">
        <v>1645</v>
      </c>
      <c r="G1518" t="s">
        <v>114</v>
      </c>
      <c r="H1518" t="s">
        <v>75</v>
      </c>
      <c r="I1518" t="s">
        <v>115</v>
      </c>
      <c r="J1518" t="s">
        <v>57</v>
      </c>
      <c r="K1518" t="s">
        <v>81</v>
      </c>
      <c r="L1518" t="s">
        <v>129</v>
      </c>
      <c r="M1518" s="24">
        <v>3</v>
      </c>
      <c r="N1518" s="25">
        <v>100749.19</v>
      </c>
      <c r="O1518" s="25">
        <f t="shared" si="188"/>
        <v>302247.57</v>
      </c>
      <c r="P1518" s="25">
        <v>68715.259999999995</v>
      </c>
      <c r="Q1518" s="25">
        <f t="shared" si="189"/>
        <v>206145.77999999997</v>
      </c>
      <c r="R1518" s="25">
        <f t="shared" si="190"/>
        <v>96101.790000000037</v>
      </c>
      <c r="S1518" s="26">
        <f t="shared" si="191"/>
        <v>0.31795719647969389</v>
      </c>
    </row>
    <row r="1519" spans="1:19" ht="15" x14ac:dyDescent="0.2">
      <c r="A1519" s="23">
        <v>46057</v>
      </c>
      <c r="B1519">
        <f t="shared" si="184"/>
        <v>2026</v>
      </c>
      <c r="C1519">
        <f t="shared" si="185"/>
        <v>2</v>
      </c>
      <c r="D1519" t="str">
        <f t="shared" si="186"/>
        <v>Febrero</v>
      </c>
      <c r="E1519" t="str">
        <f t="shared" si="187"/>
        <v>T1</v>
      </c>
      <c r="F1519" t="s">
        <v>1646</v>
      </c>
      <c r="G1519" t="s">
        <v>188</v>
      </c>
      <c r="H1519" t="s">
        <v>88</v>
      </c>
      <c r="I1519" t="s">
        <v>189</v>
      </c>
      <c r="J1519" t="s">
        <v>70</v>
      </c>
      <c r="K1519" t="s">
        <v>84</v>
      </c>
      <c r="L1519" t="s">
        <v>147</v>
      </c>
      <c r="M1519" s="24">
        <v>2</v>
      </c>
      <c r="N1519" s="25">
        <v>74881.789999999994</v>
      </c>
      <c r="O1519" s="25">
        <f t="shared" si="188"/>
        <v>149763.57999999999</v>
      </c>
      <c r="P1519" s="25">
        <v>42941.16</v>
      </c>
      <c r="Q1519" s="25">
        <f t="shared" si="189"/>
        <v>85882.32</v>
      </c>
      <c r="R1519" s="25">
        <f t="shared" si="190"/>
        <v>63881.25999999998</v>
      </c>
      <c r="S1519" s="26">
        <f t="shared" si="191"/>
        <v>0.42654736218244771</v>
      </c>
    </row>
    <row r="1520" spans="1:19" ht="15" x14ac:dyDescent="0.2">
      <c r="A1520" s="23">
        <v>46058</v>
      </c>
      <c r="B1520">
        <f t="shared" si="184"/>
        <v>2026</v>
      </c>
      <c r="C1520">
        <f t="shared" si="185"/>
        <v>2</v>
      </c>
      <c r="D1520" t="str">
        <f t="shared" si="186"/>
        <v>Febrero</v>
      </c>
      <c r="E1520" t="str">
        <f t="shared" si="187"/>
        <v>T1</v>
      </c>
      <c r="F1520" t="s">
        <v>1647</v>
      </c>
      <c r="G1520" t="s">
        <v>54</v>
      </c>
      <c r="H1520" t="s">
        <v>55</v>
      </c>
      <c r="I1520" t="s">
        <v>56</v>
      </c>
      <c r="J1520" t="s">
        <v>57</v>
      </c>
      <c r="K1520" t="s">
        <v>81</v>
      </c>
      <c r="L1520" t="s">
        <v>82</v>
      </c>
      <c r="M1520" s="24">
        <v>23</v>
      </c>
      <c r="N1520" s="25">
        <v>53614.12</v>
      </c>
      <c r="O1520" s="25">
        <f t="shared" si="188"/>
        <v>1233124.76</v>
      </c>
      <c r="P1520" s="25">
        <v>41146.9</v>
      </c>
      <c r="Q1520" s="25">
        <f t="shared" si="189"/>
        <v>946378.70000000007</v>
      </c>
      <c r="R1520" s="25">
        <f t="shared" si="190"/>
        <v>286746.05999999994</v>
      </c>
      <c r="S1520" s="26">
        <f t="shared" si="191"/>
        <v>0.2325361304074374</v>
      </c>
    </row>
    <row r="1521" spans="1:19" ht="15" x14ac:dyDescent="0.2">
      <c r="A1521" s="23">
        <v>46058</v>
      </c>
      <c r="B1521">
        <f t="shared" si="184"/>
        <v>2026</v>
      </c>
      <c r="C1521">
        <f t="shared" si="185"/>
        <v>2</v>
      </c>
      <c r="D1521" t="str">
        <f t="shared" si="186"/>
        <v>Febrero</v>
      </c>
      <c r="E1521" t="str">
        <f t="shared" si="187"/>
        <v>T1</v>
      </c>
      <c r="F1521" t="s">
        <v>1648</v>
      </c>
      <c r="G1521" t="s">
        <v>61</v>
      </c>
      <c r="H1521" t="s">
        <v>62</v>
      </c>
      <c r="I1521" t="s">
        <v>63</v>
      </c>
      <c r="J1521" t="s">
        <v>70</v>
      </c>
      <c r="K1521" t="s">
        <v>71</v>
      </c>
      <c r="L1521" t="s">
        <v>72</v>
      </c>
      <c r="M1521" s="24">
        <v>38</v>
      </c>
      <c r="N1521" s="25">
        <v>5597.94</v>
      </c>
      <c r="O1521" s="25">
        <f t="shared" si="188"/>
        <v>212721.71999999997</v>
      </c>
      <c r="P1521" s="25">
        <v>4844.49</v>
      </c>
      <c r="Q1521" s="25">
        <f t="shared" si="189"/>
        <v>184090.62</v>
      </c>
      <c r="R1521" s="25">
        <f t="shared" si="190"/>
        <v>28631.099999999977</v>
      </c>
      <c r="S1521" s="26">
        <f t="shared" si="191"/>
        <v>0.13459415427818081</v>
      </c>
    </row>
    <row r="1522" spans="1:19" ht="15" x14ac:dyDescent="0.2">
      <c r="A1522" s="23">
        <v>46058</v>
      </c>
      <c r="B1522">
        <f t="shared" si="184"/>
        <v>2026</v>
      </c>
      <c r="C1522">
        <f t="shared" si="185"/>
        <v>2</v>
      </c>
      <c r="D1522" t="str">
        <f t="shared" si="186"/>
        <v>Febrero</v>
      </c>
      <c r="E1522" t="str">
        <f t="shared" si="187"/>
        <v>T1</v>
      </c>
      <c r="F1522" t="s">
        <v>1649</v>
      </c>
      <c r="G1522" t="s">
        <v>74</v>
      </c>
      <c r="H1522" t="s">
        <v>75</v>
      </c>
      <c r="I1522" t="s">
        <v>76</v>
      </c>
      <c r="J1522" t="s">
        <v>70</v>
      </c>
      <c r="K1522" t="s">
        <v>71</v>
      </c>
      <c r="L1522" t="s">
        <v>90</v>
      </c>
      <c r="M1522" s="24">
        <v>5</v>
      </c>
      <c r="N1522" s="25">
        <v>35283.43</v>
      </c>
      <c r="O1522" s="25">
        <f t="shared" si="188"/>
        <v>176417.15</v>
      </c>
      <c r="P1522" s="25">
        <v>25427.02</v>
      </c>
      <c r="Q1522" s="25">
        <f t="shared" si="189"/>
        <v>127135.1</v>
      </c>
      <c r="R1522" s="25">
        <f t="shared" si="190"/>
        <v>49282.049999999988</v>
      </c>
      <c r="S1522" s="26">
        <f t="shared" si="191"/>
        <v>0.27934954169705151</v>
      </c>
    </row>
    <row r="1523" spans="1:19" ht="15" x14ac:dyDescent="0.2">
      <c r="A1523" s="23">
        <v>46058</v>
      </c>
      <c r="B1523">
        <f t="shared" si="184"/>
        <v>2026</v>
      </c>
      <c r="C1523">
        <f t="shared" si="185"/>
        <v>2</v>
      </c>
      <c r="D1523" t="str">
        <f t="shared" si="186"/>
        <v>Febrero</v>
      </c>
      <c r="E1523" t="str">
        <f t="shared" si="187"/>
        <v>T1</v>
      </c>
      <c r="F1523" t="s">
        <v>1650</v>
      </c>
      <c r="G1523" t="s">
        <v>87</v>
      </c>
      <c r="H1523" t="s">
        <v>88</v>
      </c>
      <c r="I1523" t="s">
        <v>89</v>
      </c>
      <c r="J1523" t="s">
        <v>77</v>
      </c>
      <c r="K1523" t="s">
        <v>107</v>
      </c>
      <c r="L1523" t="s">
        <v>112</v>
      </c>
      <c r="M1523" s="24">
        <v>7</v>
      </c>
      <c r="N1523" s="25">
        <v>67243.210000000006</v>
      </c>
      <c r="O1523" s="25">
        <f t="shared" si="188"/>
        <v>470702.47000000003</v>
      </c>
      <c r="P1523" s="25">
        <v>33325.49</v>
      </c>
      <c r="Q1523" s="25">
        <f t="shared" si="189"/>
        <v>233278.43</v>
      </c>
      <c r="R1523" s="25">
        <f t="shared" si="190"/>
        <v>237424.04000000004</v>
      </c>
      <c r="S1523" s="26">
        <f t="shared" si="191"/>
        <v>0.50440364164649487</v>
      </c>
    </row>
    <row r="1524" spans="1:19" ht="15" x14ac:dyDescent="0.2">
      <c r="A1524" s="23">
        <v>46058</v>
      </c>
      <c r="B1524">
        <f t="shared" si="184"/>
        <v>2026</v>
      </c>
      <c r="C1524">
        <f t="shared" si="185"/>
        <v>2</v>
      </c>
      <c r="D1524" t="str">
        <f t="shared" si="186"/>
        <v>Febrero</v>
      </c>
      <c r="E1524" t="str">
        <f t="shared" si="187"/>
        <v>T1</v>
      </c>
      <c r="F1524" t="s">
        <v>1651</v>
      </c>
      <c r="G1524" t="s">
        <v>100</v>
      </c>
      <c r="H1524" t="s">
        <v>88</v>
      </c>
      <c r="I1524" t="s">
        <v>101</v>
      </c>
      <c r="J1524" t="s">
        <v>57</v>
      </c>
      <c r="K1524" t="s">
        <v>81</v>
      </c>
      <c r="L1524" t="s">
        <v>82</v>
      </c>
      <c r="M1524" s="24">
        <v>7</v>
      </c>
      <c r="N1524" s="25">
        <v>35857.99</v>
      </c>
      <c r="O1524" s="25">
        <f t="shared" si="188"/>
        <v>251005.93</v>
      </c>
      <c r="P1524" s="25">
        <v>20227.71</v>
      </c>
      <c r="Q1524" s="25">
        <f t="shared" si="189"/>
        <v>141593.97</v>
      </c>
      <c r="R1524" s="25">
        <f t="shared" si="190"/>
        <v>109411.95999999999</v>
      </c>
      <c r="S1524" s="26">
        <f t="shared" si="191"/>
        <v>0.43589392489651535</v>
      </c>
    </row>
    <row r="1525" spans="1:19" ht="15" x14ac:dyDescent="0.2">
      <c r="A1525" s="23">
        <v>46059</v>
      </c>
      <c r="B1525">
        <f t="shared" si="184"/>
        <v>2026</v>
      </c>
      <c r="C1525">
        <f t="shared" si="185"/>
        <v>2</v>
      </c>
      <c r="D1525" t="str">
        <f t="shared" si="186"/>
        <v>Febrero</v>
      </c>
      <c r="E1525" t="str">
        <f t="shared" si="187"/>
        <v>T1</v>
      </c>
      <c r="F1525" t="s">
        <v>1652</v>
      </c>
      <c r="G1525" t="s">
        <v>54</v>
      </c>
      <c r="H1525" t="s">
        <v>55</v>
      </c>
      <c r="I1525" t="s">
        <v>56</v>
      </c>
      <c r="J1525" t="s">
        <v>70</v>
      </c>
      <c r="K1525" t="s">
        <v>71</v>
      </c>
      <c r="L1525" t="s">
        <v>72</v>
      </c>
      <c r="M1525" s="24">
        <v>7</v>
      </c>
      <c r="N1525" s="25">
        <v>48329.13</v>
      </c>
      <c r="O1525" s="25">
        <f t="shared" si="188"/>
        <v>338303.91</v>
      </c>
      <c r="P1525" s="25">
        <v>39501.360000000001</v>
      </c>
      <c r="Q1525" s="25">
        <f t="shared" si="189"/>
        <v>276509.52</v>
      </c>
      <c r="R1525" s="25">
        <f t="shared" si="190"/>
        <v>61794.389999999956</v>
      </c>
      <c r="S1525" s="26">
        <f t="shared" si="191"/>
        <v>0.18265940231078015</v>
      </c>
    </row>
    <row r="1526" spans="1:19" ht="15" x14ac:dyDescent="0.2">
      <c r="A1526" s="23">
        <v>46059</v>
      </c>
      <c r="B1526">
        <f t="shared" si="184"/>
        <v>2026</v>
      </c>
      <c r="C1526">
        <f t="shared" si="185"/>
        <v>2</v>
      </c>
      <c r="D1526" t="str">
        <f t="shared" si="186"/>
        <v>Febrero</v>
      </c>
      <c r="E1526" t="str">
        <f t="shared" si="187"/>
        <v>T1</v>
      </c>
      <c r="F1526" t="s">
        <v>1653</v>
      </c>
      <c r="G1526" t="s">
        <v>74</v>
      </c>
      <c r="H1526" t="s">
        <v>75</v>
      </c>
      <c r="I1526" t="s">
        <v>76</v>
      </c>
      <c r="J1526" t="s">
        <v>70</v>
      </c>
      <c r="K1526" t="s">
        <v>71</v>
      </c>
      <c r="L1526" t="s">
        <v>90</v>
      </c>
      <c r="M1526" s="24">
        <v>3</v>
      </c>
      <c r="N1526" s="25">
        <v>44263.37</v>
      </c>
      <c r="O1526" s="25">
        <f t="shared" si="188"/>
        <v>132790.11000000002</v>
      </c>
      <c r="P1526" s="25">
        <v>32221.15</v>
      </c>
      <c r="Q1526" s="25">
        <f t="shared" si="189"/>
        <v>96663.450000000012</v>
      </c>
      <c r="R1526" s="25">
        <f t="shared" si="190"/>
        <v>36126.660000000003</v>
      </c>
      <c r="S1526" s="26">
        <f t="shared" si="191"/>
        <v>0.27205836338263445</v>
      </c>
    </row>
    <row r="1527" spans="1:19" ht="15" x14ac:dyDescent="0.2">
      <c r="A1527" s="23">
        <v>46059</v>
      </c>
      <c r="B1527">
        <f t="shared" si="184"/>
        <v>2026</v>
      </c>
      <c r="C1527">
        <f t="shared" si="185"/>
        <v>2</v>
      </c>
      <c r="D1527" t="str">
        <f t="shared" si="186"/>
        <v>Febrero</v>
      </c>
      <c r="E1527" t="str">
        <f t="shared" si="187"/>
        <v>T1</v>
      </c>
      <c r="F1527" t="s">
        <v>1654</v>
      </c>
      <c r="G1527" t="s">
        <v>100</v>
      </c>
      <c r="H1527" t="s">
        <v>88</v>
      </c>
      <c r="I1527" t="s">
        <v>101</v>
      </c>
      <c r="J1527" t="s">
        <v>57</v>
      </c>
      <c r="K1527" t="s">
        <v>81</v>
      </c>
      <c r="L1527" t="s">
        <v>82</v>
      </c>
      <c r="M1527" s="24">
        <v>12</v>
      </c>
      <c r="N1527" s="25">
        <v>38146.93</v>
      </c>
      <c r="O1527" s="25">
        <f t="shared" si="188"/>
        <v>457763.16000000003</v>
      </c>
      <c r="P1527" s="25">
        <v>21383.49</v>
      </c>
      <c r="Q1527" s="25">
        <f t="shared" si="189"/>
        <v>256601.88</v>
      </c>
      <c r="R1527" s="25">
        <f t="shared" si="190"/>
        <v>201161.28000000003</v>
      </c>
      <c r="S1527" s="26">
        <f t="shared" si="191"/>
        <v>0.43944401292581081</v>
      </c>
    </row>
    <row r="1528" spans="1:19" ht="15" x14ac:dyDescent="0.2">
      <c r="A1528" s="23">
        <v>46059</v>
      </c>
      <c r="B1528">
        <f t="shared" si="184"/>
        <v>2026</v>
      </c>
      <c r="C1528">
        <f t="shared" si="185"/>
        <v>2</v>
      </c>
      <c r="D1528" t="str">
        <f t="shared" si="186"/>
        <v>Febrero</v>
      </c>
      <c r="E1528" t="str">
        <f t="shared" si="187"/>
        <v>T1</v>
      </c>
      <c r="F1528" t="s">
        <v>1655</v>
      </c>
      <c r="G1528" t="s">
        <v>87</v>
      </c>
      <c r="H1528" t="s">
        <v>88</v>
      </c>
      <c r="I1528" t="s">
        <v>89</v>
      </c>
      <c r="J1528" t="s">
        <v>57</v>
      </c>
      <c r="K1528" t="s">
        <v>58</v>
      </c>
      <c r="L1528" t="s">
        <v>59</v>
      </c>
      <c r="M1528" s="24">
        <v>5</v>
      </c>
      <c r="N1528" s="25">
        <v>64454.33</v>
      </c>
      <c r="O1528" s="25">
        <f t="shared" si="188"/>
        <v>322271.65000000002</v>
      </c>
      <c r="P1528" s="25">
        <v>35105.480000000003</v>
      </c>
      <c r="Q1528" s="25">
        <f t="shared" si="189"/>
        <v>175527.40000000002</v>
      </c>
      <c r="R1528" s="25">
        <f t="shared" si="190"/>
        <v>146744.25</v>
      </c>
      <c r="S1528" s="26">
        <f t="shared" si="191"/>
        <v>0.45534334155672701</v>
      </c>
    </row>
    <row r="1529" spans="1:19" ht="15" x14ac:dyDescent="0.2">
      <c r="A1529" s="23">
        <v>46060</v>
      </c>
      <c r="B1529">
        <f t="shared" si="184"/>
        <v>2026</v>
      </c>
      <c r="C1529">
        <f t="shared" si="185"/>
        <v>2</v>
      </c>
      <c r="D1529" t="str">
        <f t="shared" si="186"/>
        <v>Febrero</v>
      </c>
      <c r="E1529" t="str">
        <f t="shared" si="187"/>
        <v>T1</v>
      </c>
      <c r="F1529" t="s">
        <v>1656</v>
      </c>
      <c r="G1529" t="s">
        <v>110</v>
      </c>
      <c r="H1529" t="s">
        <v>62</v>
      </c>
      <c r="I1529" t="s">
        <v>69</v>
      </c>
      <c r="J1529" t="s">
        <v>57</v>
      </c>
      <c r="K1529" t="s">
        <v>81</v>
      </c>
      <c r="L1529" t="s">
        <v>129</v>
      </c>
      <c r="M1529" s="24">
        <v>60</v>
      </c>
      <c r="N1529" s="25">
        <v>6610.86</v>
      </c>
      <c r="O1529" s="25">
        <f t="shared" si="188"/>
        <v>396651.6</v>
      </c>
      <c r="P1529" s="25">
        <v>5405.93</v>
      </c>
      <c r="Q1529" s="25">
        <f t="shared" si="189"/>
        <v>324355.80000000005</v>
      </c>
      <c r="R1529" s="25">
        <f t="shared" si="190"/>
        <v>72295.79999999993</v>
      </c>
      <c r="S1529" s="26">
        <f t="shared" si="191"/>
        <v>0.1822652423436586</v>
      </c>
    </row>
    <row r="1530" spans="1:19" ht="15" x14ac:dyDescent="0.2">
      <c r="A1530" s="23">
        <v>46060</v>
      </c>
      <c r="B1530">
        <f t="shared" si="184"/>
        <v>2026</v>
      </c>
      <c r="C1530">
        <f t="shared" si="185"/>
        <v>2</v>
      </c>
      <c r="D1530" t="str">
        <f t="shared" si="186"/>
        <v>Febrero</v>
      </c>
      <c r="E1530" t="str">
        <f t="shared" si="187"/>
        <v>T1</v>
      </c>
      <c r="F1530" t="s">
        <v>1657</v>
      </c>
      <c r="G1530" t="s">
        <v>188</v>
      </c>
      <c r="H1530" t="s">
        <v>88</v>
      </c>
      <c r="I1530" t="s">
        <v>189</v>
      </c>
      <c r="J1530" t="s">
        <v>125</v>
      </c>
      <c r="K1530" t="s">
        <v>126</v>
      </c>
      <c r="L1530" t="s">
        <v>127</v>
      </c>
      <c r="M1530" s="24">
        <v>3</v>
      </c>
      <c r="N1530" s="25">
        <v>70020.42</v>
      </c>
      <c r="O1530" s="25">
        <f t="shared" si="188"/>
        <v>210061.26</v>
      </c>
      <c r="P1530" s="25">
        <v>38100.54</v>
      </c>
      <c r="Q1530" s="25">
        <f t="shared" si="189"/>
        <v>114301.62</v>
      </c>
      <c r="R1530" s="25">
        <f t="shared" si="190"/>
        <v>95759.640000000014</v>
      </c>
      <c r="S1530" s="26">
        <f t="shared" si="191"/>
        <v>0.45586530329295372</v>
      </c>
    </row>
    <row r="1531" spans="1:19" ht="15" x14ac:dyDescent="0.2">
      <c r="A1531" s="23">
        <v>46061</v>
      </c>
      <c r="B1531">
        <f t="shared" si="184"/>
        <v>2026</v>
      </c>
      <c r="C1531">
        <f t="shared" si="185"/>
        <v>2</v>
      </c>
      <c r="D1531" t="str">
        <f t="shared" si="186"/>
        <v>Febrero</v>
      </c>
      <c r="E1531" t="str">
        <f t="shared" si="187"/>
        <v>T1</v>
      </c>
      <c r="F1531" t="s">
        <v>1658</v>
      </c>
      <c r="G1531" t="s">
        <v>54</v>
      </c>
      <c r="H1531" t="s">
        <v>55</v>
      </c>
      <c r="I1531" t="s">
        <v>56</v>
      </c>
      <c r="J1531" t="s">
        <v>70</v>
      </c>
      <c r="K1531" t="s">
        <v>84</v>
      </c>
      <c r="L1531" t="s">
        <v>147</v>
      </c>
      <c r="M1531" s="24">
        <v>6</v>
      </c>
      <c r="N1531" s="25">
        <v>55751.83</v>
      </c>
      <c r="O1531" s="25">
        <f t="shared" si="188"/>
        <v>334510.98</v>
      </c>
      <c r="P1531" s="25">
        <v>45020.73</v>
      </c>
      <c r="Q1531" s="25">
        <f t="shared" si="189"/>
        <v>270124.38</v>
      </c>
      <c r="R1531" s="25">
        <f t="shared" si="190"/>
        <v>64386.599999999977</v>
      </c>
      <c r="S1531" s="26">
        <f t="shared" si="191"/>
        <v>0.19247978048433562</v>
      </c>
    </row>
    <row r="1532" spans="1:19" ht="15" x14ac:dyDescent="0.2">
      <c r="A1532" s="23">
        <v>46061</v>
      </c>
      <c r="B1532">
        <f t="shared" si="184"/>
        <v>2026</v>
      </c>
      <c r="C1532">
        <f t="shared" si="185"/>
        <v>2</v>
      </c>
      <c r="D1532" t="str">
        <f t="shared" si="186"/>
        <v>Febrero</v>
      </c>
      <c r="E1532" t="str">
        <f t="shared" si="187"/>
        <v>T1</v>
      </c>
      <c r="F1532" t="s">
        <v>1659</v>
      </c>
      <c r="G1532" t="s">
        <v>61</v>
      </c>
      <c r="H1532" t="s">
        <v>62</v>
      </c>
      <c r="I1532" t="s">
        <v>63</v>
      </c>
      <c r="J1532" t="s">
        <v>64</v>
      </c>
      <c r="K1532" t="s">
        <v>96</v>
      </c>
      <c r="L1532" t="s">
        <v>97</v>
      </c>
      <c r="M1532" s="24">
        <v>185</v>
      </c>
      <c r="N1532" s="25">
        <v>5753.14</v>
      </c>
      <c r="O1532" s="25">
        <f t="shared" si="188"/>
        <v>1064330.9000000001</v>
      </c>
      <c r="P1532" s="25">
        <v>4800.1400000000003</v>
      </c>
      <c r="Q1532" s="25">
        <f t="shared" si="189"/>
        <v>888025.9</v>
      </c>
      <c r="R1532" s="25">
        <f t="shared" si="190"/>
        <v>176305.00000000012</v>
      </c>
      <c r="S1532" s="26">
        <f t="shared" si="191"/>
        <v>0.16564867185571713</v>
      </c>
    </row>
    <row r="1533" spans="1:19" ht="15" x14ac:dyDescent="0.2">
      <c r="A1533" s="23">
        <v>46061</v>
      </c>
      <c r="B1533">
        <f t="shared" si="184"/>
        <v>2026</v>
      </c>
      <c r="C1533">
        <f t="shared" si="185"/>
        <v>2</v>
      </c>
      <c r="D1533" t="str">
        <f t="shared" si="186"/>
        <v>Febrero</v>
      </c>
      <c r="E1533" t="str">
        <f t="shared" si="187"/>
        <v>T1</v>
      </c>
      <c r="F1533" t="s">
        <v>1660</v>
      </c>
      <c r="G1533" t="s">
        <v>114</v>
      </c>
      <c r="H1533" t="s">
        <v>75</v>
      </c>
      <c r="I1533" t="s">
        <v>115</v>
      </c>
      <c r="J1533" t="s">
        <v>125</v>
      </c>
      <c r="K1533" t="s">
        <v>126</v>
      </c>
      <c r="L1533" t="s">
        <v>127</v>
      </c>
      <c r="M1533" s="24">
        <v>2</v>
      </c>
      <c r="N1533" s="25">
        <v>99553.87</v>
      </c>
      <c r="O1533" s="25">
        <f t="shared" si="188"/>
        <v>199107.74</v>
      </c>
      <c r="P1533" s="25">
        <v>66904.479999999996</v>
      </c>
      <c r="Q1533" s="25">
        <f t="shared" si="189"/>
        <v>133808.95999999999</v>
      </c>
      <c r="R1533" s="25">
        <f t="shared" si="190"/>
        <v>65298.78</v>
      </c>
      <c r="S1533" s="26">
        <f t="shared" si="191"/>
        <v>0.32795701462936599</v>
      </c>
    </row>
    <row r="1534" spans="1:19" ht="15" x14ac:dyDescent="0.2">
      <c r="A1534" s="23">
        <v>46061</v>
      </c>
      <c r="B1534">
        <f t="shared" si="184"/>
        <v>2026</v>
      </c>
      <c r="C1534">
        <f t="shared" si="185"/>
        <v>2</v>
      </c>
      <c r="D1534" t="str">
        <f t="shared" si="186"/>
        <v>Febrero</v>
      </c>
      <c r="E1534" t="str">
        <f t="shared" si="187"/>
        <v>T1</v>
      </c>
      <c r="F1534" t="s">
        <v>1661</v>
      </c>
      <c r="G1534" t="s">
        <v>87</v>
      </c>
      <c r="H1534" t="s">
        <v>88</v>
      </c>
      <c r="I1534" t="s">
        <v>89</v>
      </c>
      <c r="J1534" t="s">
        <v>77</v>
      </c>
      <c r="K1534" t="s">
        <v>107</v>
      </c>
      <c r="L1534" t="s">
        <v>108</v>
      </c>
      <c r="M1534" s="24">
        <v>3</v>
      </c>
      <c r="N1534" s="25">
        <v>57346.62</v>
      </c>
      <c r="O1534" s="25">
        <f t="shared" si="188"/>
        <v>172039.86000000002</v>
      </c>
      <c r="P1534" s="25">
        <v>30046.5</v>
      </c>
      <c r="Q1534" s="25">
        <f t="shared" si="189"/>
        <v>90139.5</v>
      </c>
      <c r="R1534" s="25">
        <f t="shared" si="190"/>
        <v>81900.360000000015</v>
      </c>
      <c r="S1534" s="26">
        <f t="shared" si="191"/>
        <v>0.47605456084421371</v>
      </c>
    </row>
    <row r="1535" spans="1:19" ht="15" x14ac:dyDescent="0.2">
      <c r="A1535" s="23">
        <v>46061</v>
      </c>
      <c r="B1535">
        <f t="shared" si="184"/>
        <v>2026</v>
      </c>
      <c r="C1535">
        <f t="shared" si="185"/>
        <v>2</v>
      </c>
      <c r="D1535" t="str">
        <f t="shared" si="186"/>
        <v>Febrero</v>
      </c>
      <c r="E1535" t="str">
        <f t="shared" si="187"/>
        <v>T1</v>
      </c>
      <c r="F1535" t="s">
        <v>1662</v>
      </c>
      <c r="G1535" t="s">
        <v>92</v>
      </c>
      <c r="H1535" t="s">
        <v>93</v>
      </c>
      <c r="I1535" t="s">
        <v>94</v>
      </c>
      <c r="J1535" t="s">
        <v>125</v>
      </c>
      <c r="K1535" t="s">
        <v>138</v>
      </c>
      <c r="L1535" t="s">
        <v>142</v>
      </c>
      <c r="M1535" s="24">
        <v>5</v>
      </c>
      <c r="N1535" s="25">
        <v>20194.060000000001</v>
      </c>
      <c r="O1535" s="25">
        <f t="shared" si="188"/>
        <v>100970.3</v>
      </c>
      <c r="P1535" s="25">
        <v>11663.26</v>
      </c>
      <c r="Q1535" s="25">
        <f t="shared" si="189"/>
        <v>58316.3</v>
      </c>
      <c r="R1535" s="25">
        <f t="shared" si="190"/>
        <v>42654</v>
      </c>
      <c r="S1535" s="26">
        <f t="shared" si="191"/>
        <v>0.42244105444868441</v>
      </c>
    </row>
    <row r="1536" spans="1:19" ht="15" x14ac:dyDescent="0.2">
      <c r="A1536" s="23">
        <v>46061</v>
      </c>
      <c r="B1536">
        <f t="shared" si="184"/>
        <v>2026</v>
      </c>
      <c r="C1536">
        <f t="shared" si="185"/>
        <v>2</v>
      </c>
      <c r="D1536" t="str">
        <f t="shared" si="186"/>
        <v>Febrero</v>
      </c>
      <c r="E1536" t="str">
        <f t="shared" si="187"/>
        <v>T1</v>
      </c>
      <c r="F1536" t="s">
        <v>1663</v>
      </c>
      <c r="G1536" t="s">
        <v>149</v>
      </c>
      <c r="H1536" t="s">
        <v>93</v>
      </c>
      <c r="I1536" t="s">
        <v>150</v>
      </c>
      <c r="J1536" t="s">
        <v>70</v>
      </c>
      <c r="K1536" t="s">
        <v>84</v>
      </c>
      <c r="L1536" t="s">
        <v>147</v>
      </c>
      <c r="M1536" s="24">
        <v>3</v>
      </c>
      <c r="N1536" s="25">
        <v>40742.660000000003</v>
      </c>
      <c r="O1536" s="25">
        <f t="shared" si="188"/>
        <v>122227.98000000001</v>
      </c>
      <c r="P1536" s="25">
        <v>24740.29</v>
      </c>
      <c r="Q1536" s="25">
        <f t="shared" si="189"/>
        <v>74220.87</v>
      </c>
      <c r="R1536" s="25">
        <f t="shared" si="190"/>
        <v>48007.110000000015</v>
      </c>
      <c r="S1536" s="26">
        <f t="shared" si="191"/>
        <v>0.39276694256094236</v>
      </c>
    </row>
    <row r="1537" spans="1:19" ht="15" x14ac:dyDescent="0.2">
      <c r="A1537" s="23">
        <v>46062</v>
      </c>
      <c r="B1537">
        <f t="shared" si="184"/>
        <v>2026</v>
      </c>
      <c r="C1537">
        <f t="shared" si="185"/>
        <v>2</v>
      </c>
      <c r="D1537" t="str">
        <f t="shared" si="186"/>
        <v>Febrero</v>
      </c>
      <c r="E1537" t="str">
        <f t="shared" si="187"/>
        <v>T1</v>
      </c>
      <c r="F1537" t="s">
        <v>1664</v>
      </c>
      <c r="G1537" t="s">
        <v>105</v>
      </c>
      <c r="H1537" t="s">
        <v>62</v>
      </c>
      <c r="I1537" t="s">
        <v>106</v>
      </c>
      <c r="J1537" t="s">
        <v>77</v>
      </c>
      <c r="K1537" t="s">
        <v>107</v>
      </c>
      <c r="L1537" t="s">
        <v>112</v>
      </c>
      <c r="M1537" s="24">
        <v>486</v>
      </c>
      <c r="N1537" s="25">
        <v>1925.79</v>
      </c>
      <c r="O1537" s="25">
        <f t="shared" si="188"/>
        <v>935933.94</v>
      </c>
      <c r="P1537" s="25">
        <v>1499.35</v>
      </c>
      <c r="Q1537" s="25">
        <f t="shared" si="189"/>
        <v>728684.1</v>
      </c>
      <c r="R1537" s="25">
        <f t="shared" si="190"/>
        <v>207249.83999999997</v>
      </c>
      <c r="S1537" s="26">
        <f t="shared" si="191"/>
        <v>0.22143639753036415</v>
      </c>
    </row>
    <row r="1538" spans="1:19" ht="15" x14ac:dyDescent="0.2">
      <c r="A1538" s="23">
        <v>46062</v>
      </c>
      <c r="B1538">
        <f t="shared" ref="B1538:B1601" si="192">YEAR($A1538)</f>
        <v>2026</v>
      </c>
      <c r="C1538">
        <f t="shared" ref="C1538:C1601" si="193">MONTH($A1538)</f>
        <v>2</v>
      </c>
      <c r="D1538" t="str">
        <f t="shared" ref="D1538:D1601" si="194">INDEX(lst_Meses,MONTH($A1538))</f>
        <v>Febrero</v>
      </c>
      <c r="E1538" t="str">
        <f t="shared" ref="E1538:E1601" si="195">"T"&amp;ROUNDUP(MONTH($A1538)/3,0)</f>
        <v>T1</v>
      </c>
      <c r="F1538" t="s">
        <v>1665</v>
      </c>
      <c r="G1538" t="s">
        <v>68</v>
      </c>
      <c r="H1538" t="s">
        <v>62</v>
      </c>
      <c r="I1538" t="s">
        <v>69</v>
      </c>
      <c r="J1538" t="s">
        <v>70</v>
      </c>
      <c r="K1538" t="s">
        <v>84</v>
      </c>
      <c r="L1538" t="s">
        <v>147</v>
      </c>
      <c r="M1538" s="24">
        <v>66</v>
      </c>
      <c r="N1538" s="25">
        <v>3021.54</v>
      </c>
      <c r="O1538" s="25">
        <f t="shared" ref="O1538:O1601" si="196">$M1538*$N1538</f>
        <v>199421.63999999998</v>
      </c>
      <c r="P1538" s="25">
        <v>2593.31</v>
      </c>
      <c r="Q1538" s="25">
        <f t="shared" ref="Q1538:Q1601" si="197">$M1538*$P1538</f>
        <v>171158.46</v>
      </c>
      <c r="R1538" s="25">
        <f t="shared" ref="R1538:R1601" si="198">$O1538-$Q1538</f>
        <v>28263.179999999993</v>
      </c>
      <c r="S1538" s="26">
        <f t="shared" ref="S1538:S1601" si="199">IFERROR($R1538/$O1538,0)</f>
        <v>0.14172574250216774</v>
      </c>
    </row>
    <row r="1539" spans="1:19" ht="15" x14ac:dyDescent="0.2">
      <c r="A1539" s="23">
        <v>46062</v>
      </c>
      <c r="B1539">
        <f t="shared" si="192"/>
        <v>2026</v>
      </c>
      <c r="C1539">
        <f t="shared" si="193"/>
        <v>2</v>
      </c>
      <c r="D1539" t="str">
        <f t="shared" si="194"/>
        <v>Febrero</v>
      </c>
      <c r="E1539" t="str">
        <f t="shared" si="195"/>
        <v>T1</v>
      </c>
      <c r="F1539" t="s">
        <v>1666</v>
      </c>
      <c r="G1539" t="s">
        <v>87</v>
      </c>
      <c r="H1539" t="s">
        <v>88</v>
      </c>
      <c r="I1539" t="s">
        <v>89</v>
      </c>
      <c r="J1539" t="s">
        <v>77</v>
      </c>
      <c r="K1539" t="s">
        <v>78</v>
      </c>
      <c r="L1539" t="s">
        <v>117</v>
      </c>
      <c r="M1539" s="24">
        <v>3</v>
      </c>
      <c r="N1539" s="25">
        <v>60076.91</v>
      </c>
      <c r="O1539" s="25">
        <f t="shared" si="196"/>
        <v>180230.73</v>
      </c>
      <c r="P1539" s="25">
        <v>31101.9</v>
      </c>
      <c r="Q1539" s="25">
        <f t="shared" si="197"/>
        <v>93305.700000000012</v>
      </c>
      <c r="R1539" s="25">
        <f t="shared" si="198"/>
        <v>86925.03</v>
      </c>
      <c r="S1539" s="26">
        <f t="shared" si="199"/>
        <v>0.48229860690238557</v>
      </c>
    </row>
    <row r="1540" spans="1:19" ht="15" x14ac:dyDescent="0.2">
      <c r="A1540" s="23">
        <v>46062</v>
      </c>
      <c r="B1540">
        <f t="shared" si="192"/>
        <v>2026</v>
      </c>
      <c r="C1540">
        <f t="shared" si="193"/>
        <v>2</v>
      </c>
      <c r="D1540" t="str">
        <f t="shared" si="194"/>
        <v>Febrero</v>
      </c>
      <c r="E1540" t="str">
        <f t="shared" si="195"/>
        <v>T1</v>
      </c>
      <c r="F1540" t="s">
        <v>1667</v>
      </c>
      <c r="G1540" t="s">
        <v>92</v>
      </c>
      <c r="H1540" t="s">
        <v>93</v>
      </c>
      <c r="I1540" t="s">
        <v>94</v>
      </c>
      <c r="J1540" t="s">
        <v>64</v>
      </c>
      <c r="K1540" t="s">
        <v>65</v>
      </c>
      <c r="L1540" t="s">
        <v>66</v>
      </c>
      <c r="M1540" s="24">
        <v>14</v>
      </c>
      <c r="N1540" s="25">
        <v>20161.14</v>
      </c>
      <c r="O1540" s="25">
        <f t="shared" si="196"/>
        <v>282255.95999999996</v>
      </c>
      <c r="P1540" s="25">
        <v>11843.01</v>
      </c>
      <c r="Q1540" s="25">
        <f t="shared" si="197"/>
        <v>165802.14000000001</v>
      </c>
      <c r="R1540" s="25">
        <f t="shared" si="198"/>
        <v>116453.81999999995</v>
      </c>
      <c r="S1540" s="26">
        <f t="shared" si="199"/>
        <v>0.41258232421380919</v>
      </c>
    </row>
    <row r="1541" spans="1:19" ht="15" x14ac:dyDescent="0.2">
      <c r="A1541" s="23">
        <v>46062</v>
      </c>
      <c r="B1541">
        <f t="shared" si="192"/>
        <v>2026</v>
      </c>
      <c r="C1541">
        <f t="shared" si="193"/>
        <v>2</v>
      </c>
      <c r="D1541" t="str">
        <f t="shared" si="194"/>
        <v>Febrero</v>
      </c>
      <c r="E1541" t="str">
        <f t="shared" si="195"/>
        <v>T1</v>
      </c>
      <c r="F1541" t="s">
        <v>1668</v>
      </c>
      <c r="G1541" t="s">
        <v>92</v>
      </c>
      <c r="H1541" t="s">
        <v>93</v>
      </c>
      <c r="I1541" t="s">
        <v>94</v>
      </c>
      <c r="J1541" t="s">
        <v>125</v>
      </c>
      <c r="K1541" t="s">
        <v>138</v>
      </c>
      <c r="L1541" t="s">
        <v>142</v>
      </c>
      <c r="M1541" s="24">
        <v>11</v>
      </c>
      <c r="N1541" s="25">
        <v>21205.67</v>
      </c>
      <c r="O1541" s="25">
        <f t="shared" si="196"/>
        <v>233262.37</v>
      </c>
      <c r="P1541" s="25">
        <v>11860.81</v>
      </c>
      <c r="Q1541" s="25">
        <f t="shared" si="197"/>
        <v>130468.90999999999</v>
      </c>
      <c r="R1541" s="25">
        <f t="shared" si="198"/>
        <v>102793.46</v>
      </c>
      <c r="S1541" s="26">
        <f t="shared" si="199"/>
        <v>0.44067742259499465</v>
      </c>
    </row>
    <row r="1542" spans="1:19" ht="15" x14ac:dyDescent="0.2">
      <c r="A1542" s="23">
        <v>46063</v>
      </c>
      <c r="B1542">
        <f t="shared" si="192"/>
        <v>2026</v>
      </c>
      <c r="C1542">
        <f t="shared" si="193"/>
        <v>2</v>
      </c>
      <c r="D1542" t="str">
        <f t="shared" si="194"/>
        <v>Febrero</v>
      </c>
      <c r="E1542" t="str">
        <f t="shared" si="195"/>
        <v>T1</v>
      </c>
      <c r="F1542" t="s">
        <v>1669</v>
      </c>
      <c r="G1542" t="s">
        <v>74</v>
      </c>
      <c r="H1542" t="s">
        <v>75</v>
      </c>
      <c r="I1542" t="s">
        <v>76</v>
      </c>
      <c r="J1542" t="s">
        <v>77</v>
      </c>
      <c r="K1542" t="s">
        <v>107</v>
      </c>
      <c r="L1542" t="s">
        <v>112</v>
      </c>
      <c r="M1542" s="24">
        <v>1</v>
      </c>
      <c r="N1542" s="25">
        <v>3077.09</v>
      </c>
      <c r="O1542" s="25">
        <f t="shared" si="196"/>
        <v>3077.09</v>
      </c>
      <c r="P1542" s="25">
        <v>2000.96</v>
      </c>
      <c r="Q1542" s="25">
        <f t="shared" si="197"/>
        <v>2000.96</v>
      </c>
      <c r="R1542" s="25">
        <f t="shared" si="198"/>
        <v>1076.1300000000001</v>
      </c>
      <c r="S1542" s="26">
        <f t="shared" si="199"/>
        <v>0.34972327751219501</v>
      </c>
    </row>
    <row r="1543" spans="1:19" ht="15" x14ac:dyDescent="0.2">
      <c r="A1543" s="23">
        <v>46063</v>
      </c>
      <c r="B1543">
        <f t="shared" si="192"/>
        <v>2026</v>
      </c>
      <c r="C1543">
        <f t="shared" si="193"/>
        <v>2</v>
      </c>
      <c r="D1543" t="str">
        <f t="shared" si="194"/>
        <v>Febrero</v>
      </c>
      <c r="E1543" t="str">
        <f t="shared" si="195"/>
        <v>T1</v>
      </c>
      <c r="F1543" t="s">
        <v>1670</v>
      </c>
      <c r="G1543" t="s">
        <v>114</v>
      </c>
      <c r="H1543" t="s">
        <v>75</v>
      </c>
      <c r="I1543" t="s">
        <v>115</v>
      </c>
      <c r="J1543" t="s">
        <v>77</v>
      </c>
      <c r="K1543" t="s">
        <v>78</v>
      </c>
      <c r="L1543" t="s">
        <v>117</v>
      </c>
      <c r="M1543" s="24">
        <v>4</v>
      </c>
      <c r="N1543" s="25">
        <v>109494.45</v>
      </c>
      <c r="O1543" s="25">
        <f t="shared" si="196"/>
        <v>437977.8</v>
      </c>
      <c r="P1543" s="25">
        <v>72651.61</v>
      </c>
      <c r="Q1543" s="25">
        <f t="shared" si="197"/>
        <v>290606.44</v>
      </c>
      <c r="R1543" s="25">
        <f t="shared" si="198"/>
        <v>147371.35999999999</v>
      </c>
      <c r="S1543" s="26">
        <f t="shared" si="199"/>
        <v>0.33648134677145736</v>
      </c>
    </row>
    <row r="1544" spans="1:19" ht="15" x14ac:dyDescent="0.2">
      <c r="A1544" s="23">
        <v>46063</v>
      </c>
      <c r="B1544">
        <f t="shared" si="192"/>
        <v>2026</v>
      </c>
      <c r="C1544">
        <f t="shared" si="193"/>
        <v>2</v>
      </c>
      <c r="D1544" t="str">
        <f t="shared" si="194"/>
        <v>Febrero</v>
      </c>
      <c r="E1544" t="str">
        <f t="shared" si="195"/>
        <v>T1</v>
      </c>
      <c r="F1544" t="s">
        <v>1671</v>
      </c>
      <c r="G1544" t="s">
        <v>188</v>
      </c>
      <c r="H1544" t="s">
        <v>88</v>
      </c>
      <c r="I1544" t="s">
        <v>189</v>
      </c>
      <c r="J1544" t="s">
        <v>125</v>
      </c>
      <c r="K1544" t="s">
        <v>138</v>
      </c>
      <c r="L1544" t="s">
        <v>139</v>
      </c>
      <c r="M1544" s="24">
        <v>3</v>
      </c>
      <c r="N1544" s="25">
        <v>75375.98</v>
      </c>
      <c r="O1544" s="25">
        <f t="shared" si="196"/>
        <v>226127.94</v>
      </c>
      <c r="P1544" s="25">
        <v>40473.800000000003</v>
      </c>
      <c r="Q1544" s="25">
        <f t="shared" si="197"/>
        <v>121421.40000000001</v>
      </c>
      <c r="R1544" s="25">
        <f t="shared" si="198"/>
        <v>104706.54</v>
      </c>
      <c r="S1544" s="26">
        <f t="shared" si="199"/>
        <v>0.46304114387633827</v>
      </c>
    </row>
    <row r="1545" spans="1:19" ht="15" x14ac:dyDescent="0.2">
      <c r="A1545" s="23">
        <v>46063</v>
      </c>
      <c r="B1545">
        <f t="shared" si="192"/>
        <v>2026</v>
      </c>
      <c r="C1545">
        <f t="shared" si="193"/>
        <v>2</v>
      </c>
      <c r="D1545" t="str">
        <f t="shared" si="194"/>
        <v>Febrero</v>
      </c>
      <c r="E1545" t="str">
        <f t="shared" si="195"/>
        <v>T1</v>
      </c>
      <c r="F1545" t="s">
        <v>1672</v>
      </c>
      <c r="G1545" t="s">
        <v>92</v>
      </c>
      <c r="H1545" t="s">
        <v>93</v>
      </c>
      <c r="I1545" t="s">
        <v>94</v>
      </c>
      <c r="J1545" t="s">
        <v>64</v>
      </c>
      <c r="K1545" t="s">
        <v>65</v>
      </c>
      <c r="L1545" t="s">
        <v>66</v>
      </c>
      <c r="M1545" s="24">
        <v>28</v>
      </c>
      <c r="N1545" s="25">
        <v>20715.98</v>
      </c>
      <c r="O1545" s="25">
        <f t="shared" si="196"/>
        <v>580047.43999999994</v>
      </c>
      <c r="P1545" s="25">
        <v>12021.77</v>
      </c>
      <c r="Q1545" s="25">
        <f t="shared" si="197"/>
        <v>336609.56</v>
      </c>
      <c r="R1545" s="25">
        <f t="shared" si="198"/>
        <v>243437.87999999995</v>
      </c>
      <c r="S1545" s="26">
        <f t="shared" si="199"/>
        <v>0.4196861553255023</v>
      </c>
    </row>
    <row r="1546" spans="1:19" ht="15" x14ac:dyDescent="0.2">
      <c r="A1546" s="23">
        <v>46063</v>
      </c>
      <c r="B1546">
        <f t="shared" si="192"/>
        <v>2026</v>
      </c>
      <c r="C1546">
        <f t="shared" si="193"/>
        <v>2</v>
      </c>
      <c r="D1546" t="str">
        <f t="shared" si="194"/>
        <v>Febrero</v>
      </c>
      <c r="E1546" t="str">
        <f t="shared" si="195"/>
        <v>T1</v>
      </c>
      <c r="F1546" t="s">
        <v>1673</v>
      </c>
      <c r="G1546" t="s">
        <v>149</v>
      </c>
      <c r="H1546" t="s">
        <v>93</v>
      </c>
      <c r="I1546" t="s">
        <v>150</v>
      </c>
      <c r="J1546" t="s">
        <v>70</v>
      </c>
      <c r="K1546" t="s">
        <v>84</v>
      </c>
      <c r="L1546" t="s">
        <v>147</v>
      </c>
      <c r="M1546" s="24">
        <v>2</v>
      </c>
      <c r="N1546" s="25">
        <v>47230.95</v>
      </c>
      <c r="O1546" s="25">
        <f t="shared" si="196"/>
        <v>94461.9</v>
      </c>
      <c r="P1546" s="25">
        <v>29366.49</v>
      </c>
      <c r="Q1546" s="25">
        <f t="shared" si="197"/>
        <v>58732.98</v>
      </c>
      <c r="R1546" s="25">
        <f t="shared" si="198"/>
        <v>35728.919999999991</v>
      </c>
      <c r="S1546" s="26">
        <f t="shared" si="199"/>
        <v>0.37823630479590176</v>
      </c>
    </row>
    <row r="1547" spans="1:19" ht="15" x14ac:dyDescent="0.2">
      <c r="A1547" s="23">
        <v>46063</v>
      </c>
      <c r="B1547">
        <f t="shared" si="192"/>
        <v>2026</v>
      </c>
      <c r="C1547">
        <f t="shared" si="193"/>
        <v>2</v>
      </c>
      <c r="D1547" t="str">
        <f t="shared" si="194"/>
        <v>Febrero</v>
      </c>
      <c r="E1547" t="str">
        <f t="shared" si="195"/>
        <v>T1</v>
      </c>
      <c r="F1547" t="s">
        <v>1674</v>
      </c>
      <c r="G1547" t="s">
        <v>92</v>
      </c>
      <c r="H1547" t="s">
        <v>93</v>
      </c>
      <c r="I1547" t="s">
        <v>94</v>
      </c>
      <c r="J1547" t="s">
        <v>70</v>
      </c>
      <c r="K1547" t="s">
        <v>71</v>
      </c>
      <c r="L1547" t="s">
        <v>90</v>
      </c>
      <c r="M1547" s="24">
        <v>2</v>
      </c>
      <c r="N1547" s="25">
        <v>23609.21</v>
      </c>
      <c r="O1547" s="25">
        <f t="shared" si="196"/>
        <v>47218.42</v>
      </c>
      <c r="P1547" s="25">
        <v>14506.79</v>
      </c>
      <c r="Q1547" s="25">
        <f t="shared" si="197"/>
        <v>29013.58</v>
      </c>
      <c r="R1547" s="25">
        <f t="shared" si="198"/>
        <v>18204.839999999997</v>
      </c>
      <c r="S1547" s="26">
        <f t="shared" si="199"/>
        <v>0.38554530202408294</v>
      </c>
    </row>
    <row r="1548" spans="1:19" ht="15" x14ac:dyDescent="0.2">
      <c r="A1548" s="23">
        <v>46064</v>
      </c>
      <c r="B1548">
        <f t="shared" si="192"/>
        <v>2026</v>
      </c>
      <c r="C1548">
        <f t="shared" si="193"/>
        <v>2</v>
      </c>
      <c r="D1548" t="str">
        <f t="shared" si="194"/>
        <v>Febrero</v>
      </c>
      <c r="E1548" t="str">
        <f t="shared" si="195"/>
        <v>T1</v>
      </c>
      <c r="F1548" t="s">
        <v>1675</v>
      </c>
      <c r="G1548" t="s">
        <v>74</v>
      </c>
      <c r="H1548" t="s">
        <v>75</v>
      </c>
      <c r="I1548" t="s">
        <v>76</v>
      </c>
      <c r="J1548" t="s">
        <v>64</v>
      </c>
      <c r="K1548" t="s">
        <v>65</v>
      </c>
      <c r="L1548" t="s">
        <v>123</v>
      </c>
      <c r="M1548" s="24">
        <v>11</v>
      </c>
      <c r="N1548" s="25">
        <v>39647.94</v>
      </c>
      <c r="O1548" s="25">
        <f t="shared" si="196"/>
        <v>436127.34</v>
      </c>
      <c r="P1548" s="25">
        <v>27290.98</v>
      </c>
      <c r="Q1548" s="25">
        <f t="shared" si="197"/>
        <v>300200.77999999997</v>
      </c>
      <c r="R1548" s="25">
        <f t="shared" si="198"/>
        <v>135926.56000000006</v>
      </c>
      <c r="S1548" s="26">
        <f t="shared" si="199"/>
        <v>0.31166713831790516</v>
      </c>
    </row>
    <row r="1549" spans="1:19" ht="15" x14ac:dyDescent="0.2">
      <c r="A1549" s="23">
        <v>46064</v>
      </c>
      <c r="B1549">
        <f t="shared" si="192"/>
        <v>2026</v>
      </c>
      <c r="C1549">
        <f t="shared" si="193"/>
        <v>2</v>
      </c>
      <c r="D1549" t="str">
        <f t="shared" si="194"/>
        <v>Febrero</v>
      </c>
      <c r="E1549" t="str">
        <f t="shared" si="195"/>
        <v>T1</v>
      </c>
      <c r="F1549" t="s">
        <v>1676</v>
      </c>
      <c r="G1549" t="s">
        <v>74</v>
      </c>
      <c r="H1549" t="s">
        <v>75</v>
      </c>
      <c r="I1549" t="s">
        <v>76</v>
      </c>
      <c r="J1549" t="s">
        <v>57</v>
      </c>
      <c r="K1549" t="s">
        <v>81</v>
      </c>
      <c r="L1549" t="s">
        <v>82</v>
      </c>
      <c r="M1549" s="24">
        <v>7</v>
      </c>
      <c r="N1549" s="25">
        <v>38847.56</v>
      </c>
      <c r="O1549" s="25">
        <f t="shared" si="196"/>
        <v>271932.92</v>
      </c>
      <c r="P1549" s="25">
        <v>26014.67</v>
      </c>
      <c r="Q1549" s="25">
        <f t="shared" si="197"/>
        <v>182102.69</v>
      </c>
      <c r="R1549" s="25">
        <f t="shared" si="198"/>
        <v>89830.229999999981</v>
      </c>
      <c r="S1549" s="26">
        <f t="shared" si="199"/>
        <v>0.33033966612060056</v>
      </c>
    </row>
    <row r="1550" spans="1:19" ht="15" x14ac:dyDescent="0.2">
      <c r="A1550" s="23">
        <v>46065</v>
      </c>
      <c r="B1550">
        <f t="shared" si="192"/>
        <v>2026</v>
      </c>
      <c r="C1550">
        <f t="shared" si="193"/>
        <v>2</v>
      </c>
      <c r="D1550" t="str">
        <f t="shared" si="194"/>
        <v>Febrero</v>
      </c>
      <c r="E1550" t="str">
        <f t="shared" si="195"/>
        <v>T1</v>
      </c>
      <c r="F1550" t="s">
        <v>1677</v>
      </c>
      <c r="G1550" t="s">
        <v>68</v>
      </c>
      <c r="H1550" t="s">
        <v>62</v>
      </c>
      <c r="I1550" t="s">
        <v>69</v>
      </c>
      <c r="J1550" t="s">
        <v>70</v>
      </c>
      <c r="K1550" t="s">
        <v>84</v>
      </c>
      <c r="L1550" t="s">
        <v>85</v>
      </c>
      <c r="M1550" s="24">
        <v>84</v>
      </c>
      <c r="N1550" s="25">
        <v>3074.69</v>
      </c>
      <c r="O1550" s="25">
        <f t="shared" si="196"/>
        <v>258273.96</v>
      </c>
      <c r="P1550" s="25">
        <v>2608.65</v>
      </c>
      <c r="Q1550" s="25">
        <f t="shared" si="197"/>
        <v>219126.6</v>
      </c>
      <c r="R1550" s="25">
        <f t="shared" si="198"/>
        <v>39147.359999999986</v>
      </c>
      <c r="S1550" s="26">
        <f t="shared" si="199"/>
        <v>0.15157300410773114</v>
      </c>
    </row>
    <row r="1551" spans="1:19" ht="15" x14ac:dyDescent="0.2">
      <c r="A1551" s="23">
        <v>46065</v>
      </c>
      <c r="B1551">
        <f t="shared" si="192"/>
        <v>2026</v>
      </c>
      <c r="C1551">
        <f t="shared" si="193"/>
        <v>2</v>
      </c>
      <c r="D1551" t="str">
        <f t="shared" si="194"/>
        <v>Febrero</v>
      </c>
      <c r="E1551" t="str">
        <f t="shared" si="195"/>
        <v>T1</v>
      </c>
      <c r="F1551" t="s">
        <v>1678</v>
      </c>
      <c r="G1551" t="s">
        <v>74</v>
      </c>
      <c r="H1551" t="s">
        <v>75</v>
      </c>
      <c r="I1551" t="s">
        <v>76</v>
      </c>
      <c r="J1551" t="s">
        <v>57</v>
      </c>
      <c r="K1551" t="s">
        <v>58</v>
      </c>
      <c r="L1551" t="s">
        <v>162</v>
      </c>
      <c r="M1551" s="24">
        <v>4</v>
      </c>
      <c r="N1551" s="25">
        <v>37927.86</v>
      </c>
      <c r="O1551" s="25">
        <f t="shared" si="196"/>
        <v>151711.44</v>
      </c>
      <c r="P1551" s="25">
        <v>25684.37</v>
      </c>
      <c r="Q1551" s="25">
        <f t="shared" si="197"/>
        <v>102737.48</v>
      </c>
      <c r="R1551" s="25">
        <f t="shared" si="198"/>
        <v>48973.960000000006</v>
      </c>
      <c r="S1551" s="26">
        <f t="shared" si="199"/>
        <v>0.32280993443869499</v>
      </c>
    </row>
    <row r="1552" spans="1:19" ht="15" x14ac:dyDescent="0.2">
      <c r="A1552" s="23">
        <v>46066</v>
      </c>
      <c r="B1552">
        <f t="shared" si="192"/>
        <v>2026</v>
      </c>
      <c r="C1552">
        <f t="shared" si="193"/>
        <v>2</v>
      </c>
      <c r="D1552" t="str">
        <f t="shared" si="194"/>
        <v>Febrero</v>
      </c>
      <c r="E1552" t="str">
        <f t="shared" si="195"/>
        <v>T1</v>
      </c>
      <c r="F1552" t="s">
        <v>1679</v>
      </c>
      <c r="G1552" t="s">
        <v>54</v>
      </c>
      <c r="H1552" t="s">
        <v>55</v>
      </c>
      <c r="I1552" t="s">
        <v>56</v>
      </c>
      <c r="J1552" t="s">
        <v>57</v>
      </c>
      <c r="K1552" t="s">
        <v>58</v>
      </c>
      <c r="L1552" t="s">
        <v>59</v>
      </c>
      <c r="M1552" s="24">
        <v>14</v>
      </c>
      <c r="N1552" s="25">
        <v>55308.06</v>
      </c>
      <c r="O1552" s="25">
        <f t="shared" si="196"/>
        <v>774312.84</v>
      </c>
      <c r="P1552" s="25">
        <v>43268.36</v>
      </c>
      <c r="Q1552" s="25">
        <f t="shared" si="197"/>
        <v>605757.04</v>
      </c>
      <c r="R1552" s="25">
        <f t="shared" si="198"/>
        <v>168555.79999999993</v>
      </c>
      <c r="S1552" s="26">
        <f t="shared" si="199"/>
        <v>0.2176843664377307</v>
      </c>
    </row>
    <row r="1553" spans="1:19" ht="15" x14ac:dyDescent="0.2">
      <c r="A1553" s="23">
        <v>46066</v>
      </c>
      <c r="B1553">
        <f t="shared" si="192"/>
        <v>2026</v>
      </c>
      <c r="C1553">
        <f t="shared" si="193"/>
        <v>2</v>
      </c>
      <c r="D1553" t="str">
        <f t="shared" si="194"/>
        <v>Febrero</v>
      </c>
      <c r="E1553" t="str">
        <f t="shared" si="195"/>
        <v>T1</v>
      </c>
      <c r="F1553" t="s">
        <v>1680</v>
      </c>
      <c r="G1553" t="s">
        <v>74</v>
      </c>
      <c r="H1553" t="s">
        <v>75</v>
      </c>
      <c r="I1553" t="s">
        <v>76</v>
      </c>
      <c r="J1553" t="s">
        <v>125</v>
      </c>
      <c r="K1553" t="s">
        <v>126</v>
      </c>
      <c r="L1553" t="s">
        <v>131</v>
      </c>
      <c r="M1553" s="24">
        <v>2</v>
      </c>
      <c r="N1553" s="25">
        <v>39847.57</v>
      </c>
      <c r="O1553" s="25">
        <f t="shared" si="196"/>
        <v>79695.14</v>
      </c>
      <c r="P1553" s="25">
        <v>27440.82</v>
      </c>
      <c r="Q1553" s="25">
        <f t="shared" si="197"/>
        <v>54881.64</v>
      </c>
      <c r="R1553" s="25">
        <f t="shared" si="198"/>
        <v>24813.5</v>
      </c>
      <c r="S1553" s="26">
        <f t="shared" si="199"/>
        <v>0.31135524700753398</v>
      </c>
    </row>
    <row r="1554" spans="1:19" ht="15" x14ac:dyDescent="0.2">
      <c r="A1554" s="23">
        <v>46066</v>
      </c>
      <c r="B1554">
        <f t="shared" si="192"/>
        <v>2026</v>
      </c>
      <c r="C1554">
        <f t="shared" si="193"/>
        <v>2</v>
      </c>
      <c r="D1554" t="str">
        <f t="shared" si="194"/>
        <v>Febrero</v>
      </c>
      <c r="E1554" t="str">
        <f t="shared" si="195"/>
        <v>T1</v>
      </c>
      <c r="F1554" t="s">
        <v>1681</v>
      </c>
      <c r="G1554" t="s">
        <v>92</v>
      </c>
      <c r="H1554" t="s">
        <v>93</v>
      </c>
      <c r="I1554" t="s">
        <v>94</v>
      </c>
      <c r="J1554" t="s">
        <v>77</v>
      </c>
      <c r="K1554" t="s">
        <v>78</v>
      </c>
      <c r="L1554" t="s">
        <v>117</v>
      </c>
      <c r="M1554" s="24">
        <v>10</v>
      </c>
      <c r="N1554" s="25">
        <v>20542.47</v>
      </c>
      <c r="O1554" s="25">
        <f t="shared" si="196"/>
        <v>205424.7</v>
      </c>
      <c r="P1554" s="25">
        <v>11428.72</v>
      </c>
      <c r="Q1554" s="25">
        <f t="shared" si="197"/>
        <v>114287.2</v>
      </c>
      <c r="R1554" s="25">
        <f t="shared" si="198"/>
        <v>91137.500000000015</v>
      </c>
      <c r="S1554" s="26">
        <f t="shared" si="199"/>
        <v>0.44365404939133418</v>
      </c>
    </row>
    <row r="1555" spans="1:19" ht="15" x14ac:dyDescent="0.2">
      <c r="A1555" s="23">
        <v>46067</v>
      </c>
      <c r="B1555">
        <f t="shared" si="192"/>
        <v>2026</v>
      </c>
      <c r="C1555">
        <f t="shared" si="193"/>
        <v>2</v>
      </c>
      <c r="D1555" t="str">
        <f t="shared" si="194"/>
        <v>Febrero</v>
      </c>
      <c r="E1555" t="str">
        <f t="shared" si="195"/>
        <v>T1</v>
      </c>
      <c r="F1555" t="s">
        <v>1682</v>
      </c>
      <c r="G1555" t="s">
        <v>54</v>
      </c>
      <c r="H1555" t="s">
        <v>55</v>
      </c>
      <c r="I1555" t="s">
        <v>56</v>
      </c>
      <c r="J1555" t="s">
        <v>57</v>
      </c>
      <c r="K1555" t="s">
        <v>58</v>
      </c>
      <c r="L1555" t="s">
        <v>162</v>
      </c>
      <c r="M1555" s="24">
        <v>5</v>
      </c>
      <c r="N1555" s="25">
        <v>58957.95</v>
      </c>
      <c r="O1555" s="25">
        <f t="shared" si="196"/>
        <v>294789.75</v>
      </c>
      <c r="P1555" s="25">
        <v>45724.91</v>
      </c>
      <c r="Q1555" s="25">
        <f t="shared" si="197"/>
        <v>228624.55000000002</v>
      </c>
      <c r="R1555" s="25">
        <f t="shared" si="198"/>
        <v>66165.199999999983</v>
      </c>
      <c r="S1555" s="26">
        <f t="shared" si="199"/>
        <v>0.22444878086839851</v>
      </c>
    </row>
    <row r="1556" spans="1:19" ht="15" x14ac:dyDescent="0.2">
      <c r="A1556" s="23">
        <v>46067</v>
      </c>
      <c r="B1556">
        <f t="shared" si="192"/>
        <v>2026</v>
      </c>
      <c r="C1556">
        <f t="shared" si="193"/>
        <v>2</v>
      </c>
      <c r="D1556" t="str">
        <f t="shared" si="194"/>
        <v>Febrero</v>
      </c>
      <c r="E1556" t="str">
        <f t="shared" si="195"/>
        <v>T1</v>
      </c>
      <c r="F1556" t="s">
        <v>1683</v>
      </c>
      <c r="G1556" t="s">
        <v>105</v>
      </c>
      <c r="H1556" t="s">
        <v>62</v>
      </c>
      <c r="I1556" t="s">
        <v>106</v>
      </c>
      <c r="J1556" t="s">
        <v>64</v>
      </c>
      <c r="K1556" t="s">
        <v>65</v>
      </c>
      <c r="L1556" t="s">
        <v>123</v>
      </c>
      <c r="M1556" s="24">
        <v>672</v>
      </c>
      <c r="N1556" s="25">
        <v>1812.63</v>
      </c>
      <c r="O1556" s="25">
        <f t="shared" si="196"/>
        <v>1218087.3600000001</v>
      </c>
      <c r="P1556" s="25">
        <v>1500.26</v>
      </c>
      <c r="Q1556" s="25">
        <f t="shared" si="197"/>
        <v>1008174.72</v>
      </c>
      <c r="R1556" s="25">
        <f t="shared" si="198"/>
        <v>209912.64000000013</v>
      </c>
      <c r="S1556" s="26">
        <f t="shared" si="199"/>
        <v>0.17232970876571621</v>
      </c>
    </row>
    <row r="1557" spans="1:19" ht="15" x14ac:dyDescent="0.2">
      <c r="A1557" s="23">
        <v>46067</v>
      </c>
      <c r="B1557">
        <f t="shared" si="192"/>
        <v>2026</v>
      </c>
      <c r="C1557">
        <f t="shared" si="193"/>
        <v>2</v>
      </c>
      <c r="D1557" t="str">
        <f t="shared" si="194"/>
        <v>Febrero</v>
      </c>
      <c r="E1557" t="str">
        <f t="shared" si="195"/>
        <v>T1</v>
      </c>
      <c r="F1557" t="s">
        <v>1684</v>
      </c>
      <c r="G1557" t="s">
        <v>110</v>
      </c>
      <c r="H1557" t="s">
        <v>62</v>
      </c>
      <c r="I1557" t="s">
        <v>69</v>
      </c>
      <c r="J1557" t="s">
        <v>77</v>
      </c>
      <c r="K1557" t="s">
        <v>107</v>
      </c>
      <c r="L1557" t="s">
        <v>108</v>
      </c>
      <c r="M1557" s="24">
        <v>62</v>
      </c>
      <c r="N1557" s="25">
        <v>6871.93</v>
      </c>
      <c r="O1557" s="25">
        <f t="shared" si="196"/>
        <v>426059.66000000003</v>
      </c>
      <c r="P1557" s="25">
        <v>5407.02</v>
      </c>
      <c r="Q1557" s="25">
        <f t="shared" si="197"/>
        <v>335235.24000000005</v>
      </c>
      <c r="R1557" s="25">
        <f t="shared" si="198"/>
        <v>90824.419999999984</v>
      </c>
      <c r="S1557" s="26">
        <f t="shared" si="199"/>
        <v>0.21317300962029584</v>
      </c>
    </row>
    <row r="1558" spans="1:19" ht="15" x14ac:dyDescent="0.2">
      <c r="A1558" s="23">
        <v>46067</v>
      </c>
      <c r="B1558">
        <f t="shared" si="192"/>
        <v>2026</v>
      </c>
      <c r="C1558">
        <f t="shared" si="193"/>
        <v>2</v>
      </c>
      <c r="D1558" t="str">
        <f t="shared" si="194"/>
        <v>Febrero</v>
      </c>
      <c r="E1558" t="str">
        <f t="shared" si="195"/>
        <v>T1</v>
      </c>
      <c r="F1558" t="s">
        <v>1685</v>
      </c>
      <c r="G1558" t="s">
        <v>110</v>
      </c>
      <c r="H1558" t="s">
        <v>62</v>
      </c>
      <c r="I1558" t="s">
        <v>69</v>
      </c>
      <c r="J1558" t="s">
        <v>57</v>
      </c>
      <c r="K1558" t="s">
        <v>81</v>
      </c>
      <c r="L1558" t="s">
        <v>129</v>
      </c>
      <c r="M1558" s="24">
        <v>117</v>
      </c>
      <c r="N1558" s="25">
        <v>6552.58</v>
      </c>
      <c r="O1558" s="25">
        <f t="shared" si="196"/>
        <v>766651.86</v>
      </c>
      <c r="P1558" s="25">
        <v>5390.05</v>
      </c>
      <c r="Q1558" s="25">
        <f t="shared" si="197"/>
        <v>630635.85</v>
      </c>
      <c r="R1558" s="25">
        <f t="shared" si="198"/>
        <v>136016.01</v>
      </c>
      <c r="S1558" s="26">
        <f t="shared" si="199"/>
        <v>0.17741561339197692</v>
      </c>
    </row>
    <row r="1559" spans="1:19" ht="15" x14ac:dyDescent="0.2">
      <c r="A1559" s="23">
        <v>46067</v>
      </c>
      <c r="B1559">
        <f t="shared" si="192"/>
        <v>2026</v>
      </c>
      <c r="C1559">
        <f t="shared" si="193"/>
        <v>2</v>
      </c>
      <c r="D1559" t="str">
        <f t="shared" si="194"/>
        <v>Febrero</v>
      </c>
      <c r="E1559" t="str">
        <f t="shared" si="195"/>
        <v>T1</v>
      </c>
      <c r="F1559" t="s">
        <v>1686</v>
      </c>
      <c r="G1559" t="s">
        <v>114</v>
      </c>
      <c r="H1559" t="s">
        <v>75</v>
      </c>
      <c r="I1559" t="s">
        <v>115</v>
      </c>
      <c r="J1559" t="s">
        <v>77</v>
      </c>
      <c r="K1559" t="s">
        <v>107</v>
      </c>
      <c r="L1559" t="s">
        <v>112</v>
      </c>
      <c r="M1559" s="24">
        <v>3</v>
      </c>
      <c r="N1559" s="25">
        <v>111643.99</v>
      </c>
      <c r="O1559" s="25">
        <f t="shared" si="196"/>
        <v>334931.97000000003</v>
      </c>
      <c r="P1559" s="25">
        <v>73177.039999999994</v>
      </c>
      <c r="Q1559" s="25">
        <f t="shared" si="197"/>
        <v>219531.12</v>
      </c>
      <c r="R1559" s="25">
        <f t="shared" si="198"/>
        <v>115400.85000000003</v>
      </c>
      <c r="S1559" s="26">
        <f t="shared" si="199"/>
        <v>0.34455011864051088</v>
      </c>
    </row>
    <row r="1560" spans="1:19" ht="15" x14ac:dyDescent="0.2">
      <c r="A1560" s="23">
        <v>46067</v>
      </c>
      <c r="B1560">
        <f t="shared" si="192"/>
        <v>2026</v>
      </c>
      <c r="C1560">
        <f t="shared" si="193"/>
        <v>2</v>
      </c>
      <c r="D1560" t="str">
        <f t="shared" si="194"/>
        <v>Febrero</v>
      </c>
      <c r="E1560" t="str">
        <f t="shared" si="195"/>
        <v>T1</v>
      </c>
      <c r="F1560" t="s">
        <v>1687</v>
      </c>
      <c r="G1560" t="s">
        <v>144</v>
      </c>
      <c r="H1560" t="s">
        <v>88</v>
      </c>
      <c r="I1560" t="s">
        <v>145</v>
      </c>
      <c r="J1560" t="s">
        <v>70</v>
      </c>
      <c r="K1560" t="s">
        <v>71</v>
      </c>
      <c r="L1560" t="s">
        <v>72</v>
      </c>
      <c r="M1560" s="24">
        <v>14</v>
      </c>
      <c r="N1560" s="25">
        <v>12475.91</v>
      </c>
      <c r="O1560" s="25">
        <f t="shared" si="196"/>
        <v>174662.74</v>
      </c>
      <c r="P1560" s="25">
        <v>7218.47</v>
      </c>
      <c r="Q1560" s="25">
        <f t="shared" si="197"/>
        <v>101058.58</v>
      </c>
      <c r="R1560" s="25">
        <f t="shared" si="198"/>
        <v>73604.159999999989</v>
      </c>
      <c r="S1560" s="26">
        <f t="shared" si="199"/>
        <v>0.42140733621835996</v>
      </c>
    </row>
    <row r="1561" spans="1:19" ht="15" x14ac:dyDescent="0.2">
      <c r="A1561" s="23">
        <v>46068</v>
      </c>
      <c r="B1561">
        <f t="shared" si="192"/>
        <v>2026</v>
      </c>
      <c r="C1561">
        <f t="shared" si="193"/>
        <v>2</v>
      </c>
      <c r="D1561" t="str">
        <f t="shared" si="194"/>
        <v>Febrero</v>
      </c>
      <c r="E1561" t="str">
        <f t="shared" si="195"/>
        <v>T1</v>
      </c>
      <c r="F1561" t="s">
        <v>1688</v>
      </c>
      <c r="G1561" t="s">
        <v>282</v>
      </c>
      <c r="H1561" t="s">
        <v>55</v>
      </c>
      <c r="I1561" t="s">
        <v>56</v>
      </c>
      <c r="J1561" t="s">
        <v>64</v>
      </c>
      <c r="K1561" t="s">
        <v>65</v>
      </c>
      <c r="L1561" t="s">
        <v>123</v>
      </c>
      <c r="M1561" s="24">
        <v>5</v>
      </c>
      <c r="N1561" s="25">
        <v>453672.72</v>
      </c>
      <c r="O1561" s="25">
        <f t="shared" si="196"/>
        <v>2268363.5999999996</v>
      </c>
      <c r="P1561" s="25">
        <v>355787.79</v>
      </c>
      <c r="Q1561" s="25">
        <f t="shared" si="197"/>
        <v>1778938.95</v>
      </c>
      <c r="R1561" s="25">
        <f t="shared" si="198"/>
        <v>489424.64999999967</v>
      </c>
      <c r="S1561" s="26">
        <f t="shared" si="199"/>
        <v>0.21576111078488464</v>
      </c>
    </row>
    <row r="1562" spans="1:19" ht="15" x14ac:dyDescent="0.2">
      <c r="A1562" s="23">
        <v>46068</v>
      </c>
      <c r="B1562">
        <f t="shared" si="192"/>
        <v>2026</v>
      </c>
      <c r="C1562">
        <f t="shared" si="193"/>
        <v>2</v>
      </c>
      <c r="D1562" t="str">
        <f t="shared" si="194"/>
        <v>Febrero</v>
      </c>
      <c r="E1562" t="str">
        <f t="shared" si="195"/>
        <v>T1</v>
      </c>
      <c r="F1562" t="s">
        <v>1689</v>
      </c>
      <c r="G1562" t="s">
        <v>282</v>
      </c>
      <c r="H1562" t="s">
        <v>55</v>
      </c>
      <c r="I1562" t="s">
        <v>56</v>
      </c>
      <c r="J1562" t="s">
        <v>64</v>
      </c>
      <c r="K1562" t="s">
        <v>96</v>
      </c>
      <c r="L1562" t="s">
        <v>103</v>
      </c>
      <c r="M1562" s="24">
        <v>3</v>
      </c>
      <c r="N1562" s="25">
        <v>411265.16</v>
      </c>
      <c r="O1562" s="25">
        <f t="shared" si="196"/>
        <v>1233795.48</v>
      </c>
      <c r="P1562" s="25">
        <v>327546</v>
      </c>
      <c r="Q1562" s="25">
        <f t="shared" si="197"/>
        <v>982638</v>
      </c>
      <c r="R1562" s="25">
        <f t="shared" si="198"/>
        <v>251157.47999999998</v>
      </c>
      <c r="S1562" s="26">
        <f t="shared" si="199"/>
        <v>0.20356492147304672</v>
      </c>
    </row>
    <row r="1563" spans="1:19" ht="15" x14ac:dyDescent="0.2">
      <c r="A1563" s="23">
        <v>46068</v>
      </c>
      <c r="B1563">
        <f t="shared" si="192"/>
        <v>2026</v>
      </c>
      <c r="C1563">
        <f t="shared" si="193"/>
        <v>2</v>
      </c>
      <c r="D1563" t="str">
        <f t="shared" si="194"/>
        <v>Febrero</v>
      </c>
      <c r="E1563" t="str">
        <f t="shared" si="195"/>
        <v>T1</v>
      </c>
      <c r="F1563" t="s">
        <v>1690</v>
      </c>
      <c r="G1563" t="s">
        <v>282</v>
      </c>
      <c r="H1563" t="s">
        <v>55</v>
      </c>
      <c r="I1563" t="s">
        <v>56</v>
      </c>
      <c r="J1563" t="s">
        <v>64</v>
      </c>
      <c r="K1563" t="s">
        <v>96</v>
      </c>
      <c r="L1563" t="s">
        <v>97</v>
      </c>
      <c r="M1563" s="24">
        <v>3</v>
      </c>
      <c r="N1563" s="25">
        <v>495620.18</v>
      </c>
      <c r="O1563" s="25">
        <f t="shared" si="196"/>
        <v>1486860.54</v>
      </c>
      <c r="P1563" s="25">
        <v>396332.38</v>
      </c>
      <c r="Q1563" s="25">
        <f t="shared" si="197"/>
        <v>1188997.1400000001</v>
      </c>
      <c r="R1563" s="25">
        <f t="shared" si="198"/>
        <v>297863.39999999991</v>
      </c>
      <c r="S1563" s="26">
        <f t="shared" si="199"/>
        <v>0.20033042238110638</v>
      </c>
    </row>
    <row r="1564" spans="1:19" ht="15" x14ac:dyDescent="0.2">
      <c r="A1564" s="23">
        <v>46068</v>
      </c>
      <c r="B1564">
        <f t="shared" si="192"/>
        <v>2026</v>
      </c>
      <c r="C1564">
        <f t="shared" si="193"/>
        <v>2</v>
      </c>
      <c r="D1564" t="str">
        <f t="shared" si="194"/>
        <v>Febrero</v>
      </c>
      <c r="E1564" t="str">
        <f t="shared" si="195"/>
        <v>T1</v>
      </c>
      <c r="F1564" t="s">
        <v>1691</v>
      </c>
      <c r="G1564" t="s">
        <v>100</v>
      </c>
      <c r="H1564" t="s">
        <v>88</v>
      </c>
      <c r="I1564" t="s">
        <v>101</v>
      </c>
      <c r="J1564" t="s">
        <v>64</v>
      </c>
      <c r="K1564" t="s">
        <v>65</v>
      </c>
      <c r="L1564" t="s">
        <v>123</v>
      </c>
      <c r="M1564" s="24">
        <v>3</v>
      </c>
      <c r="N1564" s="25">
        <v>41815.699999999997</v>
      </c>
      <c r="O1564" s="25">
        <f t="shared" si="196"/>
        <v>125447.09999999999</v>
      </c>
      <c r="P1564" s="25">
        <v>23762.12</v>
      </c>
      <c r="Q1564" s="25">
        <f t="shared" si="197"/>
        <v>71286.36</v>
      </c>
      <c r="R1564" s="25">
        <f t="shared" si="198"/>
        <v>54160.739999999991</v>
      </c>
      <c r="S1564" s="26">
        <f t="shared" si="199"/>
        <v>0.43174166640759326</v>
      </c>
    </row>
    <row r="1565" spans="1:19" ht="15" x14ac:dyDescent="0.2">
      <c r="A1565" s="23">
        <v>46068</v>
      </c>
      <c r="B1565">
        <f t="shared" si="192"/>
        <v>2026</v>
      </c>
      <c r="C1565">
        <f t="shared" si="193"/>
        <v>2</v>
      </c>
      <c r="D1565" t="str">
        <f t="shared" si="194"/>
        <v>Febrero</v>
      </c>
      <c r="E1565" t="str">
        <f t="shared" si="195"/>
        <v>T1</v>
      </c>
      <c r="F1565" t="s">
        <v>1692</v>
      </c>
      <c r="G1565" t="s">
        <v>144</v>
      </c>
      <c r="H1565" t="s">
        <v>88</v>
      </c>
      <c r="I1565" t="s">
        <v>145</v>
      </c>
      <c r="J1565" t="s">
        <v>64</v>
      </c>
      <c r="K1565" t="s">
        <v>65</v>
      </c>
      <c r="L1565" t="s">
        <v>123</v>
      </c>
      <c r="M1565" s="24">
        <v>53</v>
      </c>
      <c r="N1565" s="25">
        <v>12731.65</v>
      </c>
      <c r="O1565" s="25">
        <f t="shared" si="196"/>
        <v>674777.45</v>
      </c>
      <c r="P1565" s="25">
        <v>7008.95</v>
      </c>
      <c r="Q1565" s="25">
        <f t="shared" si="197"/>
        <v>371474.35</v>
      </c>
      <c r="R1565" s="25">
        <f t="shared" si="198"/>
        <v>303303.09999999998</v>
      </c>
      <c r="S1565" s="26">
        <f t="shared" si="199"/>
        <v>0.44948612316549702</v>
      </c>
    </row>
    <row r="1566" spans="1:19" ht="15" x14ac:dyDescent="0.2">
      <c r="A1566" s="23">
        <v>46068</v>
      </c>
      <c r="B1566">
        <f t="shared" si="192"/>
        <v>2026</v>
      </c>
      <c r="C1566">
        <f t="shared" si="193"/>
        <v>2</v>
      </c>
      <c r="D1566" t="str">
        <f t="shared" si="194"/>
        <v>Febrero</v>
      </c>
      <c r="E1566" t="str">
        <f t="shared" si="195"/>
        <v>T1</v>
      </c>
      <c r="F1566" t="s">
        <v>1693</v>
      </c>
      <c r="G1566" t="s">
        <v>149</v>
      </c>
      <c r="H1566" t="s">
        <v>93</v>
      </c>
      <c r="I1566" t="s">
        <v>150</v>
      </c>
      <c r="J1566" t="s">
        <v>64</v>
      </c>
      <c r="K1566" t="s">
        <v>96</v>
      </c>
      <c r="L1566" t="s">
        <v>97</v>
      </c>
      <c r="M1566" s="24">
        <v>5</v>
      </c>
      <c r="N1566" s="25">
        <v>44727.19</v>
      </c>
      <c r="O1566" s="25">
        <f t="shared" si="196"/>
        <v>223635.95</v>
      </c>
      <c r="P1566" s="25">
        <v>26207.56</v>
      </c>
      <c r="Q1566" s="25">
        <f t="shared" si="197"/>
        <v>131037.8</v>
      </c>
      <c r="R1566" s="25">
        <f t="shared" si="198"/>
        <v>92598.150000000009</v>
      </c>
      <c r="S1566" s="26">
        <f t="shared" si="199"/>
        <v>0.41405753413080504</v>
      </c>
    </row>
    <row r="1567" spans="1:19" ht="15" x14ac:dyDescent="0.2">
      <c r="A1567" s="23">
        <v>46070</v>
      </c>
      <c r="B1567">
        <f t="shared" si="192"/>
        <v>2026</v>
      </c>
      <c r="C1567">
        <f t="shared" si="193"/>
        <v>2</v>
      </c>
      <c r="D1567" t="str">
        <f t="shared" si="194"/>
        <v>Febrero</v>
      </c>
      <c r="E1567" t="str">
        <f t="shared" si="195"/>
        <v>T1</v>
      </c>
      <c r="F1567" t="s">
        <v>1694</v>
      </c>
      <c r="G1567" t="s">
        <v>54</v>
      </c>
      <c r="H1567" t="s">
        <v>55</v>
      </c>
      <c r="I1567" t="s">
        <v>56</v>
      </c>
      <c r="J1567" t="s">
        <v>125</v>
      </c>
      <c r="K1567" t="s">
        <v>138</v>
      </c>
      <c r="L1567" t="s">
        <v>139</v>
      </c>
      <c r="M1567" s="24">
        <v>12</v>
      </c>
      <c r="N1567" s="25">
        <v>56660.98</v>
      </c>
      <c r="O1567" s="25">
        <f t="shared" si="196"/>
        <v>679931.76</v>
      </c>
      <c r="P1567" s="25">
        <v>42972.75</v>
      </c>
      <c r="Q1567" s="25">
        <f t="shared" si="197"/>
        <v>515673</v>
      </c>
      <c r="R1567" s="25">
        <f t="shared" si="198"/>
        <v>164258.76</v>
      </c>
      <c r="S1567" s="26">
        <f t="shared" si="199"/>
        <v>0.24158124338830708</v>
      </c>
    </row>
    <row r="1568" spans="1:19" ht="15" x14ac:dyDescent="0.2">
      <c r="A1568" s="23">
        <v>46070</v>
      </c>
      <c r="B1568">
        <f t="shared" si="192"/>
        <v>2026</v>
      </c>
      <c r="C1568">
        <f t="shared" si="193"/>
        <v>2</v>
      </c>
      <c r="D1568" t="str">
        <f t="shared" si="194"/>
        <v>Febrero</v>
      </c>
      <c r="E1568" t="str">
        <f t="shared" si="195"/>
        <v>T1</v>
      </c>
      <c r="F1568" t="s">
        <v>1695</v>
      </c>
      <c r="G1568" t="s">
        <v>68</v>
      </c>
      <c r="H1568" t="s">
        <v>62</v>
      </c>
      <c r="I1568" t="s">
        <v>69</v>
      </c>
      <c r="J1568" t="s">
        <v>57</v>
      </c>
      <c r="K1568" t="s">
        <v>58</v>
      </c>
      <c r="L1568" t="s">
        <v>59</v>
      </c>
      <c r="M1568" s="24">
        <v>103</v>
      </c>
      <c r="N1568" s="25">
        <v>3146.5</v>
      </c>
      <c r="O1568" s="25">
        <f t="shared" si="196"/>
        <v>324089.5</v>
      </c>
      <c r="P1568" s="25">
        <v>2600.75</v>
      </c>
      <c r="Q1568" s="25">
        <f t="shared" si="197"/>
        <v>267877.25</v>
      </c>
      <c r="R1568" s="25">
        <f t="shared" si="198"/>
        <v>56212.25</v>
      </c>
      <c r="S1568" s="26">
        <f t="shared" si="199"/>
        <v>0.17344668679485142</v>
      </c>
    </row>
    <row r="1569" spans="1:19" ht="15" x14ac:dyDescent="0.2">
      <c r="A1569" s="23">
        <v>46070</v>
      </c>
      <c r="B1569">
        <f t="shared" si="192"/>
        <v>2026</v>
      </c>
      <c r="C1569">
        <f t="shared" si="193"/>
        <v>2</v>
      </c>
      <c r="D1569" t="str">
        <f t="shared" si="194"/>
        <v>Febrero</v>
      </c>
      <c r="E1569" t="str">
        <f t="shared" si="195"/>
        <v>T1</v>
      </c>
      <c r="F1569" t="s">
        <v>1696</v>
      </c>
      <c r="G1569" t="s">
        <v>105</v>
      </c>
      <c r="H1569" t="s">
        <v>62</v>
      </c>
      <c r="I1569" t="s">
        <v>106</v>
      </c>
      <c r="J1569" t="s">
        <v>125</v>
      </c>
      <c r="K1569" t="s">
        <v>126</v>
      </c>
      <c r="L1569" t="s">
        <v>131</v>
      </c>
      <c r="M1569" s="24">
        <v>135</v>
      </c>
      <c r="N1569" s="25">
        <v>1838.22</v>
      </c>
      <c r="O1569" s="25">
        <f t="shared" si="196"/>
        <v>248159.7</v>
      </c>
      <c r="P1569" s="25">
        <v>1496.82</v>
      </c>
      <c r="Q1569" s="25">
        <f t="shared" si="197"/>
        <v>202070.69999999998</v>
      </c>
      <c r="R1569" s="25">
        <f t="shared" si="198"/>
        <v>46089.000000000029</v>
      </c>
      <c r="S1569" s="26">
        <f t="shared" si="199"/>
        <v>0.1857231452165683</v>
      </c>
    </row>
    <row r="1570" spans="1:19" ht="15" x14ac:dyDescent="0.2">
      <c r="A1570" s="23">
        <v>46070</v>
      </c>
      <c r="B1570">
        <f t="shared" si="192"/>
        <v>2026</v>
      </c>
      <c r="C1570">
        <f t="shared" si="193"/>
        <v>2</v>
      </c>
      <c r="D1570" t="str">
        <f t="shared" si="194"/>
        <v>Febrero</v>
      </c>
      <c r="E1570" t="str">
        <f t="shared" si="195"/>
        <v>T1</v>
      </c>
      <c r="F1570" t="s">
        <v>1697</v>
      </c>
      <c r="G1570" t="s">
        <v>74</v>
      </c>
      <c r="H1570" t="s">
        <v>75</v>
      </c>
      <c r="I1570" t="s">
        <v>76</v>
      </c>
      <c r="J1570" t="s">
        <v>125</v>
      </c>
      <c r="K1570" t="s">
        <v>138</v>
      </c>
      <c r="L1570" t="s">
        <v>139</v>
      </c>
      <c r="M1570" s="24">
        <v>8</v>
      </c>
      <c r="N1570" s="25">
        <v>39545.120000000003</v>
      </c>
      <c r="O1570" s="25">
        <f t="shared" si="196"/>
        <v>316360.96000000002</v>
      </c>
      <c r="P1570" s="25">
        <v>26877.55</v>
      </c>
      <c r="Q1570" s="25">
        <f t="shared" si="197"/>
        <v>215020.4</v>
      </c>
      <c r="R1570" s="25">
        <f t="shared" si="198"/>
        <v>101340.56000000003</v>
      </c>
      <c r="S1570" s="26">
        <f t="shared" si="199"/>
        <v>0.32033206625748012</v>
      </c>
    </row>
    <row r="1571" spans="1:19" ht="15" x14ac:dyDescent="0.2">
      <c r="A1571" s="23">
        <v>46070</v>
      </c>
      <c r="B1571">
        <f t="shared" si="192"/>
        <v>2026</v>
      </c>
      <c r="C1571">
        <f t="shared" si="193"/>
        <v>2</v>
      </c>
      <c r="D1571" t="str">
        <f t="shared" si="194"/>
        <v>Febrero</v>
      </c>
      <c r="E1571" t="str">
        <f t="shared" si="195"/>
        <v>T1</v>
      </c>
      <c r="F1571" t="s">
        <v>1698</v>
      </c>
      <c r="G1571" t="s">
        <v>74</v>
      </c>
      <c r="H1571" t="s">
        <v>75</v>
      </c>
      <c r="I1571" t="s">
        <v>76</v>
      </c>
      <c r="J1571" t="s">
        <v>70</v>
      </c>
      <c r="K1571" t="s">
        <v>84</v>
      </c>
      <c r="L1571" t="s">
        <v>85</v>
      </c>
      <c r="M1571" s="24">
        <v>8</v>
      </c>
      <c r="N1571" s="25">
        <v>38277.93</v>
      </c>
      <c r="O1571" s="25">
        <f t="shared" si="196"/>
        <v>306223.44</v>
      </c>
      <c r="P1571" s="25">
        <v>27518.78</v>
      </c>
      <c r="Q1571" s="25">
        <f t="shared" si="197"/>
        <v>220150.24</v>
      </c>
      <c r="R1571" s="25">
        <f t="shared" si="198"/>
        <v>86073.200000000012</v>
      </c>
      <c r="S1571" s="26">
        <f t="shared" si="199"/>
        <v>0.28107972400806419</v>
      </c>
    </row>
    <row r="1572" spans="1:19" ht="15" x14ac:dyDescent="0.2">
      <c r="A1572" s="23">
        <v>46070</v>
      </c>
      <c r="B1572">
        <f t="shared" si="192"/>
        <v>2026</v>
      </c>
      <c r="C1572">
        <f t="shared" si="193"/>
        <v>2</v>
      </c>
      <c r="D1572" t="str">
        <f t="shared" si="194"/>
        <v>Febrero</v>
      </c>
      <c r="E1572" t="str">
        <f t="shared" si="195"/>
        <v>T1</v>
      </c>
      <c r="F1572" t="s">
        <v>1699</v>
      </c>
      <c r="G1572" t="s">
        <v>100</v>
      </c>
      <c r="H1572" t="s">
        <v>88</v>
      </c>
      <c r="I1572" t="s">
        <v>101</v>
      </c>
      <c r="J1572" t="s">
        <v>64</v>
      </c>
      <c r="K1572" t="s">
        <v>96</v>
      </c>
      <c r="L1572" t="s">
        <v>103</v>
      </c>
      <c r="M1572" s="24">
        <v>12</v>
      </c>
      <c r="N1572" s="25">
        <v>37221.9</v>
      </c>
      <c r="O1572" s="25">
        <f t="shared" si="196"/>
        <v>446662.80000000005</v>
      </c>
      <c r="P1572" s="25">
        <v>20774.599999999999</v>
      </c>
      <c r="Q1572" s="25">
        <f t="shared" si="197"/>
        <v>249295.19999999998</v>
      </c>
      <c r="R1572" s="25">
        <f t="shared" si="198"/>
        <v>197367.60000000006</v>
      </c>
      <c r="S1572" s="26">
        <f t="shared" si="199"/>
        <v>0.44187158635104612</v>
      </c>
    </row>
    <row r="1573" spans="1:19" ht="15" x14ac:dyDescent="0.2">
      <c r="A1573" s="23">
        <v>46071</v>
      </c>
      <c r="B1573">
        <f t="shared" si="192"/>
        <v>2026</v>
      </c>
      <c r="C1573">
        <f t="shared" si="193"/>
        <v>2</v>
      </c>
      <c r="D1573" t="str">
        <f t="shared" si="194"/>
        <v>Febrero</v>
      </c>
      <c r="E1573" t="str">
        <f t="shared" si="195"/>
        <v>T1</v>
      </c>
      <c r="F1573" t="s">
        <v>1700</v>
      </c>
      <c r="G1573" t="s">
        <v>54</v>
      </c>
      <c r="H1573" t="s">
        <v>55</v>
      </c>
      <c r="I1573" t="s">
        <v>56</v>
      </c>
      <c r="J1573" t="s">
        <v>77</v>
      </c>
      <c r="K1573" t="s">
        <v>78</v>
      </c>
      <c r="L1573" t="s">
        <v>117</v>
      </c>
      <c r="M1573" s="24">
        <v>19</v>
      </c>
      <c r="N1573" s="25">
        <v>55769.77</v>
      </c>
      <c r="O1573" s="25">
        <f t="shared" si="196"/>
        <v>1059625.6299999999</v>
      </c>
      <c r="P1573" s="25">
        <v>42610.55</v>
      </c>
      <c r="Q1573" s="25">
        <f t="shared" si="197"/>
        <v>809600.45000000007</v>
      </c>
      <c r="R1573" s="25">
        <f t="shared" si="198"/>
        <v>250025.17999999982</v>
      </c>
      <c r="S1573" s="26">
        <f t="shared" si="199"/>
        <v>0.23595614613436619</v>
      </c>
    </row>
    <row r="1574" spans="1:19" ht="15" x14ac:dyDescent="0.2">
      <c r="A1574" s="23">
        <v>46071</v>
      </c>
      <c r="B1574">
        <f t="shared" si="192"/>
        <v>2026</v>
      </c>
      <c r="C1574">
        <f t="shared" si="193"/>
        <v>2</v>
      </c>
      <c r="D1574" t="str">
        <f t="shared" si="194"/>
        <v>Febrero</v>
      </c>
      <c r="E1574" t="str">
        <f t="shared" si="195"/>
        <v>T1</v>
      </c>
      <c r="F1574" t="s">
        <v>1701</v>
      </c>
      <c r="G1574" t="s">
        <v>68</v>
      </c>
      <c r="H1574" t="s">
        <v>62</v>
      </c>
      <c r="I1574" t="s">
        <v>69</v>
      </c>
      <c r="J1574" t="s">
        <v>70</v>
      </c>
      <c r="K1574" t="s">
        <v>71</v>
      </c>
      <c r="L1574" t="s">
        <v>90</v>
      </c>
      <c r="M1574" s="24">
        <v>72</v>
      </c>
      <c r="N1574" s="25">
        <v>3034.25</v>
      </c>
      <c r="O1574" s="25">
        <f t="shared" si="196"/>
        <v>218466</v>
      </c>
      <c r="P1574" s="25">
        <v>2594.3000000000002</v>
      </c>
      <c r="Q1574" s="25">
        <f t="shared" si="197"/>
        <v>186789.6</v>
      </c>
      <c r="R1574" s="25">
        <f t="shared" si="198"/>
        <v>31676.399999999994</v>
      </c>
      <c r="S1574" s="26">
        <f t="shared" si="199"/>
        <v>0.14499464447557053</v>
      </c>
    </row>
    <row r="1575" spans="1:19" ht="15" x14ac:dyDescent="0.2">
      <c r="A1575" s="23">
        <v>46071</v>
      </c>
      <c r="B1575">
        <f t="shared" si="192"/>
        <v>2026</v>
      </c>
      <c r="C1575">
        <f t="shared" si="193"/>
        <v>2</v>
      </c>
      <c r="D1575" t="str">
        <f t="shared" si="194"/>
        <v>Febrero</v>
      </c>
      <c r="E1575" t="str">
        <f t="shared" si="195"/>
        <v>T1</v>
      </c>
      <c r="F1575" t="s">
        <v>1702</v>
      </c>
      <c r="G1575" t="s">
        <v>74</v>
      </c>
      <c r="H1575" t="s">
        <v>75</v>
      </c>
      <c r="I1575" t="s">
        <v>76</v>
      </c>
      <c r="J1575" t="s">
        <v>64</v>
      </c>
      <c r="K1575" t="s">
        <v>65</v>
      </c>
      <c r="L1575" t="s">
        <v>123</v>
      </c>
      <c r="M1575" s="24">
        <v>1</v>
      </c>
      <c r="N1575" s="25">
        <v>48941.97</v>
      </c>
      <c r="O1575" s="25">
        <f t="shared" si="196"/>
        <v>48941.97</v>
      </c>
      <c r="P1575" s="25">
        <v>33500.93</v>
      </c>
      <c r="Q1575" s="25">
        <f t="shared" si="197"/>
        <v>33500.93</v>
      </c>
      <c r="R1575" s="25">
        <f t="shared" si="198"/>
        <v>15441.04</v>
      </c>
      <c r="S1575" s="26">
        <f t="shared" si="199"/>
        <v>0.31549690378217304</v>
      </c>
    </row>
    <row r="1576" spans="1:19" ht="15" x14ac:dyDescent="0.2">
      <c r="A1576" s="23">
        <v>46071</v>
      </c>
      <c r="B1576">
        <f t="shared" si="192"/>
        <v>2026</v>
      </c>
      <c r="C1576">
        <f t="shared" si="193"/>
        <v>2</v>
      </c>
      <c r="D1576" t="str">
        <f t="shared" si="194"/>
        <v>Febrero</v>
      </c>
      <c r="E1576" t="str">
        <f t="shared" si="195"/>
        <v>T1</v>
      </c>
      <c r="F1576" t="s">
        <v>1703</v>
      </c>
      <c r="G1576" t="s">
        <v>114</v>
      </c>
      <c r="H1576" t="s">
        <v>75</v>
      </c>
      <c r="I1576" t="s">
        <v>115</v>
      </c>
      <c r="J1576" t="s">
        <v>57</v>
      </c>
      <c r="K1576" t="s">
        <v>58</v>
      </c>
      <c r="L1576" t="s">
        <v>59</v>
      </c>
      <c r="M1576" s="24">
        <v>4</v>
      </c>
      <c r="N1576" s="25">
        <v>106565.81</v>
      </c>
      <c r="O1576" s="25">
        <f t="shared" si="196"/>
        <v>426263.24</v>
      </c>
      <c r="P1576" s="25">
        <v>72707.28</v>
      </c>
      <c r="Q1576" s="25">
        <f t="shared" si="197"/>
        <v>290829.12</v>
      </c>
      <c r="R1576" s="25">
        <f t="shared" si="198"/>
        <v>135434.12</v>
      </c>
      <c r="S1576" s="26">
        <f t="shared" si="199"/>
        <v>0.31772413685027118</v>
      </c>
    </row>
    <row r="1577" spans="1:19" ht="15" x14ac:dyDescent="0.2">
      <c r="A1577" s="23">
        <v>46071</v>
      </c>
      <c r="B1577">
        <f t="shared" si="192"/>
        <v>2026</v>
      </c>
      <c r="C1577">
        <f t="shared" si="193"/>
        <v>2</v>
      </c>
      <c r="D1577" t="str">
        <f t="shared" si="194"/>
        <v>Febrero</v>
      </c>
      <c r="E1577" t="str">
        <f t="shared" si="195"/>
        <v>T1</v>
      </c>
      <c r="F1577" t="s">
        <v>1704</v>
      </c>
      <c r="G1577" t="s">
        <v>144</v>
      </c>
      <c r="H1577" t="s">
        <v>88</v>
      </c>
      <c r="I1577" t="s">
        <v>145</v>
      </c>
      <c r="J1577" t="s">
        <v>64</v>
      </c>
      <c r="K1577" t="s">
        <v>65</v>
      </c>
      <c r="L1577" t="s">
        <v>66</v>
      </c>
      <c r="M1577" s="24">
        <v>41</v>
      </c>
      <c r="N1577" s="25">
        <v>12144.87</v>
      </c>
      <c r="O1577" s="25">
        <f t="shared" si="196"/>
        <v>497939.67000000004</v>
      </c>
      <c r="P1577" s="25">
        <v>6916.86</v>
      </c>
      <c r="Q1577" s="25">
        <f t="shared" si="197"/>
        <v>283591.26</v>
      </c>
      <c r="R1577" s="25">
        <f t="shared" si="198"/>
        <v>214348.41000000003</v>
      </c>
      <c r="S1577" s="26">
        <f t="shared" si="199"/>
        <v>0.43047064316044553</v>
      </c>
    </row>
    <row r="1578" spans="1:19" ht="15" x14ac:dyDescent="0.2">
      <c r="A1578" s="23">
        <v>46071</v>
      </c>
      <c r="B1578">
        <f t="shared" si="192"/>
        <v>2026</v>
      </c>
      <c r="C1578">
        <f t="shared" si="193"/>
        <v>2</v>
      </c>
      <c r="D1578" t="str">
        <f t="shared" si="194"/>
        <v>Febrero</v>
      </c>
      <c r="E1578" t="str">
        <f t="shared" si="195"/>
        <v>T1</v>
      </c>
      <c r="F1578" t="s">
        <v>1705</v>
      </c>
      <c r="G1578" t="s">
        <v>144</v>
      </c>
      <c r="H1578" t="s">
        <v>88</v>
      </c>
      <c r="I1578" t="s">
        <v>145</v>
      </c>
      <c r="J1578" t="s">
        <v>77</v>
      </c>
      <c r="K1578" t="s">
        <v>107</v>
      </c>
      <c r="L1578" t="s">
        <v>112</v>
      </c>
      <c r="M1578" s="24">
        <v>17</v>
      </c>
      <c r="N1578" s="25">
        <v>13910.55</v>
      </c>
      <c r="O1578" s="25">
        <f t="shared" si="196"/>
        <v>236479.34999999998</v>
      </c>
      <c r="P1578" s="25">
        <v>7188.74</v>
      </c>
      <c r="Q1578" s="25">
        <f t="shared" si="197"/>
        <v>122208.58</v>
      </c>
      <c r="R1578" s="25">
        <f t="shared" si="198"/>
        <v>114270.76999999997</v>
      </c>
      <c r="S1578" s="26">
        <f t="shared" si="199"/>
        <v>0.48321669524210037</v>
      </c>
    </row>
    <row r="1579" spans="1:19" ht="15" x14ac:dyDescent="0.2">
      <c r="A1579" s="23">
        <v>46071</v>
      </c>
      <c r="B1579">
        <f t="shared" si="192"/>
        <v>2026</v>
      </c>
      <c r="C1579">
        <f t="shared" si="193"/>
        <v>2</v>
      </c>
      <c r="D1579" t="str">
        <f t="shared" si="194"/>
        <v>Febrero</v>
      </c>
      <c r="E1579" t="str">
        <f t="shared" si="195"/>
        <v>T1</v>
      </c>
      <c r="F1579" t="s">
        <v>1706</v>
      </c>
      <c r="G1579" t="s">
        <v>149</v>
      </c>
      <c r="H1579" t="s">
        <v>93</v>
      </c>
      <c r="I1579" t="s">
        <v>150</v>
      </c>
      <c r="J1579" t="s">
        <v>57</v>
      </c>
      <c r="K1579" t="s">
        <v>81</v>
      </c>
      <c r="L1579" t="s">
        <v>129</v>
      </c>
      <c r="M1579" s="24">
        <v>3</v>
      </c>
      <c r="N1579" s="25">
        <v>43153.55</v>
      </c>
      <c r="O1579" s="25">
        <f t="shared" si="196"/>
        <v>129460.65000000001</v>
      </c>
      <c r="P1579" s="25">
        <v>25325.9</v>
      </c>
      <c r="Q1579" s="25">
        <f t="shared" si="197"/>
        <v>75977.700000000012</v>
      </c>
      <c r="R1579" s="25">
        <f t="shared" si="198"/>
        <v>53482.95</v>
      </c>
      <c r="S1579" s="26">
        <f t="shared" si="199"/>
        <v>0.41312128434392992</v>
      </c>
    </row>
    <row r="1580" spans="1:19" ht="15" x14ac:dyDescent="0.2">
      <c r="A1580" s="23">
        <v>46072</v>
      </c>
      <c r="B1580">
        <f t="shared" si="192"/>
        <v>2026</v>
      </c>
      <c r="C1580">
        <f t="shared" si="193"/>
        <v>2</v>
      </c>
      <c r="D1580" t="str">
        <f t="shared" si="194"/>
        <v>Febrero</v>
      </c>
      <c r="E1580" t="str">
        <f t="shared" si="195"/>
        <v>T1</v>
      </c>
      <c r="F1580" t="s">
        <v>1707</v>
      </c>
      <c r="G1580" t="s">
        <v>74</v>
      </c>
      <c r="H1580" t="s">
        <v>75</v>
      </c>
      <c r="I1580" t="s">
        <v>76</v>
      </c>
      <c r="J1580" t="s">
        <v>57</v>
      </c>
      <c r="K1580" t="s">
        <v>81</v>
      </c>
      <c r="L1580" t="s">
        <v>82</v>
      </c>
      <c r="M1580" s="24">
        <v>9</v>
      </c>
      <c r="N1580" s="25">
        <v>41500.28</v>
      </c>
      <c r="O1580" s="25">
        <f t="shared" si="196"/>
        <v>373502.52</v>
      </c>
      <c r="P1580" s="25">
        <v>28268.07</v>
      </c>
      <c r="Q1580" s="25">
        <f t="shared" si="197"/>
        <v>254412.63</v>
      </c>
      <c r="R1580" s="25">
        <f t="shared" si="198"/>
        <v>119089.89000000001</v>
      </c>
      <c r="S1580" s="26">
        <f t="shared" si="199"/>
        <v>0.31884628248291341</v>
      </c>
    </row>
    <row r="1581" spans="1:19" ht="15" x14ac:dyDescent="0.2">
      <c r="A1581" s="23">
        <v>46072</v>
      </c>
      <c r="B1581">
        <f t="shared" si="192"/>
        <v>2026</v>
      </c>
      <c r="C1581">
        <f t="shared" si="193"/>
        <v>2</v>
      </c>
      <c r="D1581" t="str">
        <f t="shared" si="194"/>
        <v>Febrero</v>
      </c>
      <c r="E1581" t="str">
        <f t="shared" si="195"/>
        <v>T1</v>
      </c>
      <c r="F1581" t="s">
        <v>1708</v>
      </c>
      <c r="G1581" t="s">
        <v>149</v>
      </c>
      <c r="H1581" t="s">
        <v>93</v>
      </c>
      <c r="I1581" t="s">
        <v>150</v>
      </c>
      <c r="J1581" t="s">
        <v>77</v>
      </c>
      <c r="K1581" t="s">
        <v>107</v>
      </c>
      <c r="L1581" t="s">
        <v>108</v>
      </c>
      <c r="M1581" s="24">
        <v>5</v>
      </c>
      <c r="N1581" s="25">
        <v>46092.74</v>
      </c>
      <c r="O1581" s="25">
        <f t="shared" si="196"/>
        <v>230463.69999999998</v>
      </c>
      <c r="P1581" s="25">
        <v>25349.22</v>
      </c>
      <c r="Q1581" s="25">
        <f t="shared" si="197"/>
        <v>126746.1</v>
      </c>
      <c r="R1581" s="25">
        <f t="shared" si="198"/>
        <v>103717.59999999998</v>
      </c>
      <c r="S1581" s="26">
        <f t="shared" si="199"/>
        <v>0.45003876966307488</v>
      </c>
    </row>
    <row r="1582" spans="1:19" ht="15" x14ac:dyDescent="0.2">
      <c r="A1582" s="23">
        <v>46073</v>
      </c>
      <c r="B1582">
        <f t="shared" si="192"/>
        <v>2026</v>
      </c>
      <c r="C1582">
        <f t="shared" si="193"/>
        <v>2</v>
      </c>
      <c r="D1582" t="str">
        <f t="shared" si="194"/>
        <v>Febrero</v>
      </c>
      <c r="E1582" t="str">
        <f t="shared" si="195"/>
        <v>T1</v>
      </c>
      <c r="F1582" t="s">
        <v>1709</v>
      </c>
      <c r="G1582" t="s">
        <v>54</v>
      </c>
      <c r="H1582" t="s">
        <v>55</v>
      </c>
      <c r="I1582" t="s">
        <v>56</v>
      </c>
      <c r="J1582" t="s">
        <v>125</v>
      </c>
      <c r="K1582" t="s">
        <v>126</v>
      </c>
      <c r="L1582" t="s">
        <v>127</v>
      </c>
      <c r="M1582" s="24">
        <v>9</v>
      </c>
      <c r="N1582" s="25">
        <v>52485.89</v>
      </c>
      <c r="O1582" s="25">
        <f t="shared" si="196"/>
        <v>472373.01</v>
      </c>
      <c r="P1582" s="25">
        <v>40247.94</v>
      </c>
      <c r="Q1582" s="25">
        <f t="shared" si="197"/>
        <v>362231.46</v>
      </c>
      <c r="R1582" s="25">
        <f t="shared" si="198"/>
        <v>110141.54999999999</v>
      </c>
      <c r="S1582" s="26">
        <f t="shared" si="199"/>
        <v>0.23316647578996944</v>
      </c>
    </row>
    <row r="1583" spans="1:19" ht="15" x14ac:dyDescent="0.2">
      <c r="A1583" s="23">
        <v>46073</v>
      </c>
      <c r="B1583">
        <f t="shared" si="192"/>
        <v>2026</v>
      </c>
      <c r="C1583">
        <f t="shared" si="193"/>
        <v>2</v>
      </c>
      <c r="D1583" t="str">
        <f t="shared" si="194"/>
        <v>Febrero</v>
      </c>
      <c r="E1583" t="str">
        <f t="shared" si="195"/>
        <v>T1</v>
      </c>
      <c r="F1583" t="s">
        <v>1710</v>
      </c>
      <c r="G1583" t="s">
        <v>87</v>
      </c>
      <c r="H1583" t="s">
        <v>88</v>
      </c>
      <c r="I1583" t="s">
        <v>89</v>
      </c>
      <c r="J1583" t="s">
        <v>64</v>
      </c>
      <c r="K1583" t="s">
        <v>96</v>
      </c>
      <c r="L1583" t="s">
        <v>103</v>
      </c>
      <c r="M1583" s="24">
        <v>10</v>
      </c>
      <c r="N1583" s="25">
        <v>56527.98</v>
      </c>
      <c r="O1583" s="25">
        <f t="shared" si="196"/>
        <v>565279.80000000005</v>
      </c>
      <c r="P1583" s="25">
        <v>32301.65</v>
      </c>
      <c r="Q1583" s="25">
        <f t="shared" si="197"/>
        <v>323016.5</v>
      </c>
      <c r="R1583" s="25">
        <f t="shared" si="198"/>
        <v>242263.30000000005</v>
      </c>
      <c r="S1583" s="26">
        <f t="shared" si="199"/>
        <v>0.42857236363301859</v>
      </c>
    </row>
    <row r="1584" spans="1:19" ht="15" x14ac:dyDescent="0.2">
      <c r="A1584" s="23">
        <v>46073</v>
      </c>
      <c r="B1584">
        <f t="shared" si="192"/>
        <v>2026</v>
      </c>
      <c r="C1584">
        <f t="shared" si="193"/>
        <v>2</v>
      </c>
      <c r="D1584" t="str">
        <f t="shared" si="194"/>
        <v>Febrero</v>
      </c>
      <c r="E1584" t="str">
        <f t="shared" si="195"/>
        <v>T1</v>
      </c>
      <c r="F1584" t="s">
        <v>1711</v>
      </c>
      <c r="G1584" t="s">
        <v>92</v>
      </c>
      <c r="H1584" t="s">
        <v>93</v>
      </c>
      <c r="I1584" t="s">
        <v>94</v>
      </c>
      <c r="J1584" t="s">
        <v>125</v>
      </c>
      <c r="K1584" t="s">
        <v>126</v>
      </c>
      <c r="L1584" t="s">
        <v>131</v>
      </c>
      <c r="M1584" s="24">
        <v>4</v>
      </c>
      <c r="N1584" s="25">
        <v>19171.46</v>
      </c>
      <c r="O1584" s="25">
        <f t="shared" si="196"/>
        <v>76685.84</v>
      </c>
      <c r="P1584" s="25">
        <v>11006.96</v>
      </c>
      <c r="Q1584" s="25">
        <f t="shared" si="197"/>
        <v>44027.839999999997</v>
      </c>
      <c r="R1584" s="25">
        <f t="shared" si="198"/>
        <v>32658</v>
      </c>
      <c r="S1584" s="26">
        <f t="shared" si="199"/>
        <v>0.42586740915923987</v>
      </c>
    </row>
    <row r="1585" spans="1:19" ht="15" x14ac:dyDescent="0.2">
      <c r="A1585" s="23">
        <v>46074</v>
      </c>
      <c r="B1585">
        <f t="shared" si="192"/>
        <v>2026</v>
      </c>
      <c r="C1585">
        <f t="shared" si="193"/>
        <v>2</v>
      </c>
      <c r="D1585" t="str">
        <f t="shared" si="194"/>
        <v>Febrero</v>
      </c>
      <c r="E1585" t="str">
        <f t="shared" si="195"/>
        <v>T1</v>
      </c>
      <c r="F1585" t="s">
        <v>1712</v>
      </c>
      <c r="G1585" t="s">
        <v>54</v>
      </c>
      <c r="H1585" t="s">
        <v>55</v>
      </c>
      <c r="I1585" t="s">
        <v>56</v>
      </c>
      <c r="J1585" t="s">
        <v>77</v>
      </c>
      <c r="K1585" t="s">
        <v>107</v>
      </c>
      <c r="L1585" t="s">
        <v>112</v>
      </c>
      <c r="M1585" s="24">
        <v>11</v>
      </c>
      <c r="N1585" s="25">
        <v>54953.120000000003</v>
      </c>
      <c r="O1585" s="25">
        <f t="shared" si="196"/>
        <v>604484.32000000007</v>
      </c>
      <c r="P1585" s="25">
        <v>40752.11</v>
      </c>
      <c r="Q1585" s="25">
        <f t="shared" si="197"/>
        <v>448273.21</v>
      </c>
      <c r="R1585" s="25">
        <f t="shared" si="198"/>
        <v>156211.11000000004</v>
      </c>
      <c r="S1585" s="26">
        <f t="shared" si="199"/>
        <v>0.25842045001266539</v>
      </c>
    </row>
    <row r="1586" spans="1:19" ht="15" x14ac:dyDescent="0.2">
      <c r="A1586" s="23">
        <v>46074</v>
      </c>
      <c r="B1586">
        <f t="shared" si="192"/>
        <v>2026</v>
      </c>
      <c r="C1586">
        <f t="shared" si="193"/>
        <v>2</v>
      </c>
      <c r="D1586" t="str">
        <f t="shared" si="194"/>
        <v>Febrero</v>
      </c>
      <c r="E1586" t="str">
        <f t="shared" si="195"/>
        <v>T1</v>
      </c>
      <c r="F1586" t="s">
        <v>1713</v>
      </c>
      <c r="G1586" t="s">
        <v>54</v>
      </c>
      <c r="H1586" t="s">
        <v>55</v>
      </c>
      <c r="I1586" t="s">
        <v>56</v>
      </c>
      <c r="J1586" t="s">
        <v>57</v>
      </c>
      <c r="K1586" t="s">
        <v>81</v>
      </c>
      <c r="L1586" t="s">
        <v>82</v>
      </c>
      <c r="M1586" s="24">
        <v>10</v>
      </c>
      <c r="N1586" s="25">
        <v>52690.29</v>
      </c>
      <c r="O1586" s="25">
        <f t="shared" si="196"/>
        <v>526902.9</v>
      </c>
      <c r="P1586" s="25">
        <v>40464.14</v>
      </c>
      <c r="Q1586" s="25">
        <f t="shared" si="197"/>
        <v>404641.4</v>
      </c>
      <c r="R1586" s="25">
        <f t="shared" si="198"/>
        <v>122261.5</v>
      </c>
      <c r="S1586" s="26">
        <f t="shared" si="199"/>
        <v>0.23203800928026777</v>
      </c>
    </row>
    <row r="1587" spans="1:19" ht="15" x14ac:dyDescent="0.2">
      <c r="A1587" s="23">
        <v>46074</v>
      </c>
      <c r="B1587">
        <f t="shared" si="192"/>
        <v>2026</v>
      </c>
      <c r="C1587">
        <f t="shared" si="193"/>
        <v>2</v>
      </c>
      <c r="D1587" t="str">
        <f t="shared" si="194"/>
        <v>Febrero</v>
      </c>
      <c r="E1587" t="str">
        <f t="shared" si="195"/>
        <v>T1</v>
      </c>
      <c r="F1587" t="s">
        <v>1714</v>
      </c>
      <c r="G1587" t="s">
        <v>54</v>
      </c>
      <c r="H1587" t="s">
        <v>55</v>
      </c>
      <c r="I1587" t="s">
        <v>56</v>
      </c>
      <c r="J1587" t="s">
        <v>125</v>
      </c>
      <c r="K1587" t="s">
        <v>138</v>
      </c>
      <c r="L1587" t="s">
        <v>139</v>
      </c>
      <c r="M1587" s="24">
        <v>13</v>
      </c>
      <c r="N1587" s="25">
        <v>52945.53</v>
      </c>
      <c r="O1587" s="25">
        <f t="shared" si="196"/>
        <v>688291.89</v>
      </c>
      <c r="P1587" s="25">
        <v>40738.480000000003</v>
      </c>
      <c r="Q1587" s="25">
        <f t="shared" si="197"/>
        <v>529600.24</v>
      </c>
      <c r="R1587" s="25">
        <f t="shared" si="198"/>
        <v>158691.65000000002</v>
      </c>
      <c r="S1587" s="26">
        <f t="shared" si="199"/>
        <v>0.23055865150466906</v>
      </c>
    </row>
    <row r="1588" spans="1:19" ht="15" x14ac:dyDescent="0.2">
      <c r="A1588" s="23">
        <v>46074</v>
      </c>
      <c r="B1588">
        <f t="shared" si="192"/>
        <v>2026</v>
      </c>
      <c r="C1588">
        <f t="shared" si="193"/>
        <v>2</v>
      </c>
      <c r="D1588" t="str">
        <f t="shared" si="194"/>
        <v>Febrero</v>
      </c>
      <c r="E1588" t="str">
        <f t="shared" si="195"/>
        <v>T1</v>
      </c>
      <c r="F1588" t="s">
        <v>1715</v>
      </c>
      <c r="G1588" t="s">
        <v>54</v>
      </c>
      <c r="H1588" t="s">
        <v>55</v>
      </c>
      <c r="I1588" t="s">
        <v>56</v>
      </c>
      <c r="J1588" t="s">
        <v>125</v>
      </c>
      <c r="K1588" t="s">
        <v>126</v>
      </c>
      <c r="L1588" t="s">
        <v>131</v>
      </c>
      <c r="M1588" s="24">
        <v>5</v>
      </c>
      <c r="N1588" s="25">
        <v>54516.21</v>
      </c>
      <c r="O1588" s="25">
        <f t="shared" si="196"/>
        <v>272581.05</v>
      </c>
      <c r="P1588" s="25">
        <v>41789.089999999997</v>
      </c>
      <c r="Q1588" s="25">
        <f t="shared" si="197"/>
        <v>208945.44999999998</v>
      </c>
      <c r="R1588" s="25">
        <f t="shared" si="198"/>
        <v>63635.600000000006</v>
      </c>
      <c r="S1588" s="26">
        <f t="shared" si="199"/>
        <v>0.23345570060721393</v>
      </c>
    </row>
    <row r="1589" spans="1:19" ht="15" x14ac:dyDescent="0.2">
      <c r="A1589" s="23">
        <v>46074</v>
      </c>
      <c r="B1589">
        <f t="shared" si="192"/>
        <v>2026</v>
      </c>
      <c r="C1589">
        <f t="shared" si="193"/>
        <v>2</v>
      </c>
      <c r="D1589" t="str">
        <f t="shared" si="194"/>
        <v>Febrero</v>
      </c>
      <c r="E1589" t="str">
        <f t="shared" si="195"/>
        <v>T1</v>
      </c>
      <c r="F1589" t="s">
        <v>1716</v>
      </c>
      <c r="G1589" t="s">
        <v>74</v>
      </c>
      <c r="H1589" t="s">
        <v>75</v>
      </c>
      <c r="I1589" t="s">
        <v>76</v>
      </c>
      <c r="J1589" t="s">
        <v>70</v>
      </c>
      <c r="K1589" t="s">
        <v>84</v>
      </c>
      <c r="L1589" t="s">
        <v>147</v>
      </c>
      <c r="M1589" s="24">
        <v>3</v>
      </c>
      <c r="N1589" s="25">
        <v>42100.44</v>
      </c>
      <c r="O1589" s="25">
        <f t="shared" si="196"/>
        <v>126301.32</v>
      </c>
      <c r="P1589" s="25">
        <v>29706.45</v>
      </c>
      <c r="Q1589" s="25">
        <f t="shared" si="197"/>
        <v>89119.35</v>
      </c>
      <c r="R1589" s="25">
        <f t="shared" si="198"/>
        <v>37181.97</v>
      </c>
      <c r="S1589" s="26">
        <f t="shared" si="199"/>
        <v>0.2943909849873303</v>
      </c>
    </row>
    <row r="1590" spans="1:19" ht="15" x14ac:dyDescent="0.2">
      <c r="A1590" s="23">
        <v>46075</v>
      </c>
      <c r="B1590">
        <f t="shared" si="192"/>
        <v>2026</v>
      </c>
      <c r="C1590">
        <f t="shared" si="193"/>
        <v>2</v>
      </c>
      <c r="D1590" t="str">
        <f t="shared" si="194"/>
        <v>Febrero</v>
      </c>
      <c r="E1590" t="str">
        <f t="shared" si="195"/>
        <v>T1</v>
      </c>
      <c r="F1590" t="s">
        <v>1717</v>
      </c>
      <c r="G1590" t="s">
        <v>54</v>
      </c>
      <c r="H1590" t="s">
        <v>55</v>
      </c>
      <c r="I1590" t="s">
        <v>56</v>
      </c>
      <c r="J1590" t="s">
        <v>70</v>
      </c>
      <c r="K1590" t="s">
        <v>71</v>
      </c>
      <c r="L1590" t="s">
        <v>90</v>
      </c>
      <c r="M1590" s="24">
        <v>4</v>
      </c>
      <c r="N1590" s="25">
        <v>49366.35</v>
      </c>
      <c r="O1590" s="25">
        <f t="shared" si="196"/>
        <v>197465.4</v>
      </c>
      <c r="P1590" s="25">
        <v>40100.18</v>
      </c>
      <c r="Q1590" s="25">
        <f t="shared" si="197"/>
        <v>160400.72</v>
      </c>
      <c r="R1590" s="25">
        <f t="shared" si="198"/>
        <v>37064.679999999993</v>
      </c>
      <c r="S1590" s="26">
        <f t="shared" si="199"/>
        <v>0.18770214933856763</v>
      </c>
    </row>
    <row r="1591" spans="1:19" ht="15" x14ac:dyDescent="0.2">
      <c r="A1591" s="23">
        <v>46075</v>
      </c>
      <c r="B1591">
        <f t="shared" si="192"/>
        <v>2026</v>
      </c>
      <c r="C1591">
        <f t="shared" si="193"/>
        <v>2</v>
      </c>
      <c r="D1591" t="str">
        <f t="shared" si="194"/>
        <v>Febrero</v>
      </c>
      <c r="E1591" t="str">
        <f t="shared" si="195"/>
        <v>T1</v>
      </c>
      <c r="F1591" t="s">
        <v>1718</v>
      </c>
      <c r="G1591" t="s">
        <v>110</v>
      </c>
      <c r="H1591" t="s">
        <v>62</v>
      </c>
      <c r="I1591" t="s">
        <v>69</v>
      </c>
      <c r="J1591" t="s">
        <v>57</v>
      </c>
      <c r="K1591" t="s">
        <v>58</v>
      </c>
      <c r="L1591" t="s">
        <v>59</v>
      </c>
      <c r="M1591" s="24">
        <v>69</v>
      </c>
      <c r="N1591" s="25">
        <v>6631.56</v>
      </c>
      <c r="O1591" s="25">
        <f t="shared" si="196"/>
        <v>457577.64</v>
      </c>
      <c r="P1591" s="25">
        <v>5422.23</v>
      </c>
      <c r="Q1591" s="25">
        <f t="shared" si="197"/>
        <v>374133.87</v>
      </c>
      <c r="R1591" s="25">
        <f t="shared" si="198"/>
        <v>83443.770000000019</v>
      </c>
      <c r="S1591" s="26">
        <f t="shared" si="199"/>
        <v>0.18235980674230501</v>
      </c>
    </row>
    <row r="1592" spans="1:19" ht="15" x14ac:dyDescent="0.2">
      <c r="A1592" s="23">
        <v>46075</v>
      </c>
      <c r="B1592">
        <f t="shared" si="192"/>
        <v>2026</v>
      </c>
      <c r="C1592">
        <f t="shared" si="193"/>
        <v>2</v>
      </c>
      <c r="D1592" t="str">
        <f t="shared" si="194"/>
        <v>Febrero</v>
      </c>
      <c r="E1592" t="str">
        <f t="shared" si="195"/>
        <v>T1</v>
      </c>
      <c r="F1592" t="s">
        <v>1719</v>
      </c>
      <c r="G1592" t="s">
        <v>105</v>
      </c>
      <c r="H1592" t="s">
        <v>62</v>
      </c>
      <c r="I1592" t="s">
        <v>106</v>
      </c>
      <c r="J1592" t="s">
        <v>125</v>
      </c>
      <c r="K1592" t="s">
        <v>138</v>
      </c>
      <c r="L1592" t="s">
        <v>139</v>
      </c>
      <c r="M1592" s="24">
        <v>190</v>
      </c>
      <c r="N1592" s="25">
        <v>1865.82</v>
      </c>
      <c r="O1592" s="25">
        <f t="shared" si="196"/>
        <v>354505.8</v>
      </c>
      <c r="P1592" s="25">
        <v>1502.44</v>
      </c>
      <c r="Q1592" s="25">
        <f t="shared" si="197"/>
        <v>285463.60000000003</v>
      </c>
      <c r="R1592" s="25">
        <f t="shared" si="198"/>
        <v>69042.199999999953</v>
      </c>
      <c r="S1592" s="26">
        <f t="shared" si="199"/>
        <v>0.19475619298753349</v>
      </c>
    </row>
    <row r="1593" spans="1:19" ht="15" x14ac:dyDescent="0.2">
      <c r="A1593" s="23">
        <v>46075</v>
      </c>
      <c r="B1593">
        <f t="shared" si="192"/>
        <v>2026</v>
      </c>
      <c r="C1593">
        <f t="shared" si="193"/>
        <v>2</v>
      </c>
      <c r="D1593" t="str">
        <f t="shared" si="194"/>
        <v>Febrero</v>
      </c>
      <c r="E1593" t="str">
        <f t="shared" si="195"/>
        <v>T1</v>
      </c>
      <c r="F1593" t="s">
        <v>1720</v>
      </c>
      <c r="G1593" t="s">
        <v>74</v>
      </c>
      <c r="H1593" t="s">
        <v>75</v>
      </c>
      <c r="I1593" t="s">
        <v>76</v>
      </c>
      <c r="J1593" t="s">
        <v>64</v>
      </c>
      <c r="K1593" t="s">
        <v>96</v>
      </c>
      <c r="L1593" t="s">
        <v>103</v>
      </c>
      <c r="M1593" s="24">
        <v>21</v>
      </c>
      <c r="N1593" s="25">
        <v>38639.4</v>
      </c>
      <c r="O1593" s="25">
        <f t="shared" si="196"/>
        <v>811427.4</v>
      </c>
      <c r="P1593" s="25">
        <v>27481.5</v>
      </c>
      <c r="Q1593" s="25">
        <f t="shared" si="197"/>
        <v>577111.5</v>
      </c>
      <c r="R1593" s="25">
        <f t="shared" si="198"/>
        <v>234315.90000000002</v>
      </c>
      <c r="S1593" s="26">
        <f t="shared" si="199"/>
        <v>0.28877001195670743</v>
      </c>
    </row>
    <row r="1594" spans="1:19" ht="15" x14ac:dyDescent="0.2">
      <c r="A1594" s="23">
        <v>46075</v>
      </c>
      <c r="B1594">
        <f t="shared" si="192"/>
        <v>2026</v>
      </c>
      <c r="C1594">
        <f t="shared" si="193"/>
        <v>2</v>
      </c>
      <c r="D1594" t="str">
        <f t="shared" si="194"/>
        <v>Febrero</v>
      </c>
      <c r="E1594" t="str">
        <f t="shared" si="195"/>
        <v>T1</v>
      </c>
      <c r="F1594" t="s">
        <v>1721</v>
      </c>
      <c r="G1594" t="s">
        <v>206</v>
      </c>
      <c r="H1594" t="s">
        <v>93</v>
      </c>
      <c r="I1594" t="s">
        <v>207</v>
      </c>
      <c r="J1594" t="s">
        <v>64</v>
      </c>
      <c r="K1594" t="s">
        <v>96</v>
      </c>
      <c r="L1594" t="s">
        <v>97</v>
      </c>
      <c r="M1594" s="24">
        <v>4</v>
      </c>
      <c r="N1594" s="25">
        <v>119088.61</v>
      </c>
      <c r="O1594" s="25">
        <f t="shared" si="196"/>
        <v>476354.44</v>
      </c>
      <c r="P1594" s="25">
        <v>69802.17</v>
      </c>
      <c r="Q1594" s="25">
        <f t="shared" si="197"/>
        <v>279208.68</v>
      </c>
      <c r="R1594" s="25">
        <f t="shared" si="198"/>
        <v>197145.76</v>
      </c>
      <c r="S1594" s="26">
        <f t="shared" si="199"/>
        <v>0.41386359283226165</v>
      </c>
    </row>
    <row r="1595" spans="1:19" ht="15" x14ac:dyDescent="0.2">
      <c r="A1595" s="23">
        <v>46075</v>
      </c>
      <c r="B1595">
        <f t="shared" si="192"/>
        <v>2026</v>
      </c>
      <c r="C1595">
        <f t="shared" si="193"/>
        <v>2</v>
      </c>
      <c r="D1595" t="str">
        <f t="shared" si="194"/>
        <v>Febrero</v>
      </c>
      <c r="E1595" t="str">
        <f t="shared" si="195"/>
        <v>T1</v>
      </c>
      <c r="F1595" t="s">
        <v>1722</v>
      </c>
      <c r="G1595" t="s">
        <v>92</v>
      </c>
      <c r="H1595" t="s">
        <v>93</v>
      </c>
      <c r="I1595" t="s">
        <v>94</v>
      </c>
      <c r="J1595" t="s">
        <v>77</v>
      </c>
      <c r="K1595" t="s">
        <v>78</v>
      </c>
      <c r="L1595" t="s">
        <v>79</v>
      </c>
      <c r="M1595" s="24">
        <v>6</v>
      </c>
      <c r="N1595" s="25">
        <v>21552.01</v>
      </c>
      <c r="O1595" s="25">
        <f t="shared" si="196"/>
        <v>129312.06</v>
      </c>
      <c r="P1595" s="25">
        <v>12198.58</v>
      </c>
      <c r="Q1595" s="25">
        <f t="shared" si="197"/>
        <v>73191.48</v>
      </c>
      <c r="R1595" s="25">
        <f t="shared" si="198"/>
        <v>56120.58</v>
      </c>
      <c r="S1595" s="26">
        <f t="shared" si="199"/>
        <v>0.43399339551160193</v>
      </c>
    </row>
    <row r="1596" spans="1:19" ht="15" x14ac:dyDescent="0.2">
      <c r="A1596" s="23">
        <v>46075</v>
      </c>
      <c r="B1596">
        <f t="shared" si="192"/>
        <v>2026</v>
      </c>
      <c r="C1596">
        <f t="shared" si="193"/>
        <v>2</v>
      </c>
      <c r="D1596" t="str">
        <f t="shared" si="194"/>
        <v>Febrero</v>
      </c>
      <c r="E1596" t="str">
        <f t="shared" si="195"/>
        <v>T1</v>
      </c>
      <c r="F1596" t="s">
        <v>1723</v>
      </c>
      <c r="G1596" t="s">
        <v>92</v>
      </c>
      <c r="H1596" t="s">
        <v>93</v>
      </c>
      <c r="I1596" t="s">
        <v>94</v>
      </c>
      <c r="J1596" t="s">
        <v>125</v>
      </c>
      <c r="K1596" t="s">
        <v>126</v>
      </c>
      <c r="L1596" t="s">
        <v>127</v>
      </c>
      <c r="M1596" s="24">
        <v>5</v>
      </c>
      <c r="N1596" s="25">
        <v>20029.810000000001</v>
      </c>
      <c r="O1596" s="25">
        <f t="shared" si="196"/>
        <v>100149.05</v>
      </c>
      <c r="P1596" s="25">
        <v>11651.84</v>
      </c>
      <c r="Q1596" s="25">
        <f t="shared" si="197"/>
        <v>58259.199999999997</v>
      </c>
      <c r="R1596" s="25">
        <f t="shared" si="198"/>
        <v>41889.850000000006</v>
      </c>
      <c r="S1596" s="26">
        <f t="shared" si="199"/>
        <v>0.41827506102154743</v>
      </c>
    </row>
    <row r="1597" spans="1:19" ht="15" x14ac:dyDescent="0.2">
      <c r="A1597" s="23">
        <v>46076</v>
      </c>
      <c r="B1597">
        <f t="shared" si="192"/>
        <v>2026</v>
      </c>
      <c r="C1597">
        <f t="shared" si="193"/>
        <v>2</v>
      </c>
      <c r="D1597" t="str">
        <f t="shared" si="194"/>
        <v>Febrero</v>
      </c>
      <c r="E1597" t="str">
        <f t="shared" si="195"/>
        <v>T1</v>
      </c>
      <c r="F1597" t="s">
        <v>1724</v>
      </c>
      <c r="G1597" t="s">
        <v>61</v>
      </c>
      <c r="H1597" t="s">
        <v>62</v>
      </c>
      <c r="I1597" t="s">
        <v>63</v>
      </c>
      <c r="J1597" t="s">
        <v>64</v>
      </c>
      <c r="K1597" t="s">
        <v>96</v>
      </c>
      <c r="L1597" t="s">
        <v>103</v>
      </c>
      <c r="M1597" s="24">
        <v>74</v>
      </c>
      <c r="N1597" s="25">
        <v>5709.77</v>
      </c>
      <c r="O1597" s="25">
        <f t="shared" si="196"/>
        <v>422522.98000000004</v>
      </c>
      <c r="P1597" s="25">
        <v>4791.3100000000004</v>
      </c>
      <c r="Q1597" s="25">
        <f t="shared" si="197"/>
        <v>354556.94</v>
      </c>
      <c r="R1597" s="25">
        <f t="shared" si="198"/>
        <v>67966.040000000037</v>
      </c>
      <c r="S1597" s="26">
        <f t="shared" si="199"/>
        <v>0.16085761773241311</v>
      </c>
    </row>
    <row r="1598" spans="1:19" ht="15" x14ac:dyDescent="0.2">
      <c r="A1598" s="23">
        <v>46076</v>
      </c>
      <c r="B1598">
        <f t="shared" si="192"/>
        <v>2026</v>
      </c>
      <c r="C1598">
        <f t="shared" si="193"/>
        <v>2</v>
      </c>
      <c r="D1598" t="str">
        <f t="shared" si="194"/>
        <v>Febrero</v>
      </c>
      <c r="E1598" t="str">
        <f t="shared" si="195"/>
        <v>T1</v>
      </c>
      <c r="F1598" t="s">
        <v>1725</v>
      </c>
      <c r="G1598" t="s">
        <v>188</v>
      </c>
      <c r="H1598" t="s">
        <v>88</v>
      </c>
      <c r="I1598" t="s">
        <v>189</v>
      </c>
      <c r="J1598" t="s">
        <v>77</v>
      </c>
      <c r="K1598" t="s">
        <v>78</v>
      </c>
      <c r="L1598" t="s">
        <v>117</v>
      </c>
      <c r="M1598" s="24">
        <v>5</v>
      </c>
      <c r="N1598" s="25">
        <v>80271.600000000006</v>
      </c>
      <c r="O1598" s="25">
        <f t="shared" si="196"/>
        <v>401358</v>
      </c>
      <c r="P1598" s="25">
        <v>44452.09</v>
      </c>
      <c r="Q1598" s="25">
        <f t="shared" si="197"/>
        <v>222260.44999999998</v>
      </c>
      <c r="R1598" s="25">
        <f t="shared" si="198"/>
        <v>179097.55000000002</v>
      </c>
      <c r="S1598" s="26">
        <f t="shared" si="199"/>
        <v>0.4462289277901525</v>
      </c>
    </row>
    <row r="1599" spans="1:19" ht="15" x14ac:dyDescent="0.2">
      <c r="A1599" s="23">
        <v>46076</v>
      </c>
      <c r="B1599">
        <f t="shared" si="192"/>
        <v>2026</v>
      </c>
      <c r="C1599">
        <f t="shared" si="193"/>
        <v>2</v>
      </c>
      <c r="D1599" t="str">
        <f t="shared" si="194"/>
        <v>Febrero</v>
      </c>
      <c r="E1599" t="str">
        <f t="shared" si="195"/>
        <v>T1</v>
      </c>
      <c r="F1599" t="s">
        <v>1726</v>
      </c>
      <c r="G1599" t="s">
        <v>92</v>
      </c>
      <c r="H1599" t="s">
        <v>93</v>
      </c>
      <c r="I1599" t="s">
        <v>94</v>
      </c>
      <c r="J1599" t="s">
        <v>77</v>
      </c>
      <c r="K1599" t="s">
        <v>107</v>
      </c>
      <c r="L1599" t="s">
        <v>112</v>
      </c>
      <c r="M1599" s="24">
        <v>12</v>
      </c>
      <c r="N1599" s="25">
        <v>21014.18</v>
      </c>
      <c r="O1599" s="25">
        <f t="shared" si="196"/>
        <v>252170.16</v>
      </c>
      <c r="P1599" s="25">
        <v>11686.5</v>
      </c>
      <c r="Q1599" s="25">
        <f t="shared" si="197"/>
        <v>140238</v>
      </c>
      <c r="R1599" s="25">
        <f t="shared" si="198"/>
        <v>111932.16</v>
      </c>
      <c r="S1599" s="26">
        <f t="shared" si="199"/>
        <v>0.44387551643699635</v>
      </c>
    </row>
    <row r="1600" spans="1:19" ht="15" x14ac:dyDescent="0.2">
      <c r="A1600" s="23">
        <v>46077</v>
      </c>
      <c r="B1600">
        <f t="shared" si="192"/>
        <v>2026</v>
      </c>
      <c r="C1600">
        <f t="shared" si="193"/>
        <v>2</v>
      </c>
      <c r="D1600" t="str">
        <f t="shared" si="194"/>
        <v>Febrero</v>
      </c>
      <c r="E1600" t="str">
        <f t="shared" si="195"/>
        <v>T1</v>
      </c>
      <c r="F1600" t="s">
        <v>1727</v>
      </c>
      <c r="G1600" t="s">
        <v>282</v>
      </c>
      <c r="H1600" t="s">
        <v>55</v>
      </c>
      <c r="I1600" t="s">
        <v>56</v>
      </c>
      <c r="J1600" t="s">
        <v>64</v>
      </c>
      <c r="K1600" t="s">
        <v>65</v>
      </c>
      <c r="L1600" t="s">
        <v>123</v>
      </c>
      <c r="M1600" s="24">
        <v>2</v>
      </c>
      <c r="N1600" s="25">
        <v>508853.52</v>
      </c>
      <c r="O1600" s="25">
        <f t="shared" si="196"/>
        <v>1017707.04</v>
      </c>
      <c r="P1600" s="25">
        <v>404513.15</v>
      </c>
      <c r="Q1600" s="25">
        <f t="shared" si="197"/>
        <v>809026.3</v>
      </c>
      <c r="R1600" s="25">
        <f t="shared" si="198"/>
        <v>208680.74</v>
      </c>
      <c r="S1600" s="26">
        <f t="shared" si="199"/>
        <v>0.20504991298871234</v>
      </c>
    </row>
    <row r="1601" spans="1:19" ht="15" x14ac:dyDescent="0.2">
      <c r="A1601" s="23">
        <v>46077</v>
      </c>
      <c r="B1601">
        <f t="shared" si="192"/>
        <v>2026</v>
      </c>
      <c r="C1601">
        <f t="shared" si="193"/>
        <v>2</v>
      </c>
      <c r="D1601" t="str">
        <f t="shared" si="194"/>
        <v>Febrero</v>
      </c>
      <c r="E1601" t="str">
        <f t="shared" si="195"/>
        <v>T1</v>
      </c>
      <c r="F1601" t="s">
        <v>1728</v>
      </c>
      <c r="G1601" t="s">
        <v>110</v>
      </c>
      <c r="H1601" t="s">
        <v>62</v>
      </c>
      <c r="I1601" t="s">
        <v>69</v>
      </c>
      <c r="J1601" t="s">
        <v>125</v>
      </c>
      <c r="K1601" t="s">
        <v>126</v>
      </c>
      <c r="L1601" t="s">
        <v>127</v>
      </c>
      <c r="M1601" s="24">
        <v>34</v>
      </c>
      <c r="N1601" s="25">
        <v>6582.72</v>
      </c>
      <c r="O1601" s="25">
        <f t="shared" si="196"/>
        <v>223812.48000000001</v>
      </c>
      <c r="P1601" s="25">
        <v>5378.24</v>
      </c>
      <c r="Q1601" s="25">
        <f t="shared" si="197"/>
        <v>182860.16</v>
      </c>
      <c r="R1601" s="25">
        <f t="shared" si="198"/>
        <v>40952.320000000007</v>
      </c>
      <c r="S1601" s="26">
        <f t="shared" si="199"/>
        <v>0.18297603422293524</v>
      </c>
    </row>
    <row r="1602" spans="1:19" ht="15" x14ac:dyDescent="0.2">
      <c r="A1602" s="23">
        <v>46077</v>
      </c>
      <c r="B1602">
        <f t="shared" ref="B1602:B1665" si="200">YEAR($A1602)</f>
        <v>2026</v>
      </c>
      <c r="C1602">
        <f t="shared" ref="C1602:C1665" si="201">MONTH($A1602)</f>
        <v>2</v>
      </c>
      <c r="D1602" t="str">
        <f t="shared" ref="D1602:D1665" si="202">INDEX(lst_Meses,MONTH($A1602))</f>
        <v>Febrero</v>
      </c>
      <c r="E1602" t="str">
        <f t="shared" ref="E1602:E1665" si="203">"T"&amp;ROUNDUP(MONTH($A1602)/3,0)</f>
        <v>T1</v>
      </c>
      <c r="F1602" t="s">
        <v>1729</v>
      </c>
      <c r="G1602" t="s">
        <v>74</v>
      </c>
      <c r="H1602" t="s">
        <v>75</v>
      </c>
      <c r="I1602" t="s">
        <v>76</v>
      </c>
      <c r="J1602" t="s">
        <v>77</v>
      </c>
      <c r="K1602" t="s">
        <v>78</v>
      </c>
      <c r="L1602" t="s">
        <v>79</v>
      </c>
      <c r="M1602" s="24">
        <v>6</v>
      </c>
      <c r="N1602" s="25">
        <v>44788.81</v>
      </c>
      <c r="O1602" s="25">
        <f t="shared" ref="O1602:O1665" si="204">$M1602*$N1602</f>
        <v>268732.86</v>
      </c>
      <c r="P1602" s="25">
        <v>30257.58</v>
      </c>
      <c r="Q1602" s="25">
        <f t="shared" ref="Q1602:Q1665" si="205">$M1602*$P1602</f>
        <v>181545.48</v>
      </c>
      <c r="R1602" s="25">
        <f t="shared" ref="R1602:R1665" si="206">$O1602-$Q1602</f>
        <v>87187.379999999976</v>
      </c>
      <c r="S1602" s="26">
        <f t="shared" ref="S1602:S1665" si="207">IFERROR($R1602/$O1602,0)</f>
        <v>0.32443884979306209</v>
      </c>
    </row>
    <row r="1603" spans="1:19" ht="15" x14ac:dyDescent="0.2">
      <c r="A1603" s="23">
        <v>46077</v>
      </c>
      <c r="B1603">
        <f t="shared" si="200"/>
        <v>2026</v>
      </c>
      <c r="C1603">
        <f t="shared" si="201"/>
        <v>2</v>
      </c>
      <c r="D1603" t="str">
        <f t="shared" si="202"/>
        <v>Febrero</v>
      </c>
      <c r="E1603" t="str">
        <f t="shared" si="203"/>
        <v>T1</v>
      </c>
      <c r="F1603" t="s">
        <v>1730</v>
      </c>
      <c r="G1603" t="s">
        <v>144</v>
      </c>
      <c r="H1603" t="s">
        <v>88</v>
      </c>
      <c r="I1603" t="s">
        <v>145</v>
      </c>
      <c r="J1603" t="s">
        <v>125</v>
      </c>
      <c r="K1603" t="s">
        <v>138</v>
      </c>
      <c r="L1603" t="s">
        <v>139</v>
      </c>
      <c r="M1603" s="24">
        <v>25</v>
      </c>
      <c r="N1603" s="25">
        <v>12775.39</v>
      </c>
      <c r="O1603" s="25">
        <f t="shared" si="204"/>
        <v>319384.75</v>
      </c>
      <c r="P1603" s="25">
        <v>6956.13</v>
      </c>
      <c r="Q1603" s="25">
        <f t="shared" si="205"/>
        <v>173903.25</v>
      </c>
      <c r="R1603" s="25">
        <f t="shared" si="206"/>
        <v>145481.5</v>
      </c>
      <c r="S1603" s="26">
        <f t="shared" si="207"/>
        <v>0.4555054679348341</v>
      </c>
    </row>
    <row r="1604" spans="1:19" ht="15" x14ac:dyDescent="0.2">
      <c r="A1604" s="23">
        <v>46078</v>
      </c>
      <c r="B1604">
        <f t="shared" si="200"/>
        <v>2026</v>
      </c>
      <c r="C1604">
        <f t="shared" si="201"/>
        <v>2</v>
      </c>
      <c r="D1604" t="str">
        <f t="shared" si="202"/>
        <v>Febrero</v>
      </c>
      <c r="E1604" t="str">
        <f t="shared" si="203"/>
        <v>T1</v>
      </c>
      <c r="F1604" t="s">
        <v>1731</v>
      </c>
      <c r="G1604" t="s">
        <v>61</v>
      </c>
      <c r="H1604" t="s">
        <v>62</v>
      </c>
      <c r="I1604" t="s">
        <v>63</v>
      </c>
      <c r="J1604" t="s">
        <v>64</v>
      </c>
      <c r="K1604" t="s">
        <v>65</v>
      </c>
      <c r="L1604" t="s">
        <v>66</v>
      </c>
      <c r="M1604" s="24">
        <v>139</v>
      </c>
      <c r="N1604" s="25">
        <v>5799.25</v>
      </c>
      <c r="O1604" s="25">
        <f t="shared" si="204"/>
        <v>806095.75</v>
      </c>
      <c r="P1604" s="25">
        <v>4791.3</v>
      </c>
      <c r="Q1604" s="25">
        <f t="shared" si="205"/>
        <v>665990.70000000007</v>
      </c>
      <c r="R1604" s="25">
        <f t="shared" si="206"/>
        <v>140105.04999999993</v>
      </c>
      <c r="S1604" s="26">
        <f t="shared" si="207"/>
        <v>0.17380695779626668</v>
      </c>
    </row>
    <row r="1605" spans="1:19" ht="15" x14ac:dyDescent="0.2">
      <c r="A1605" s="23">
        <v>46078</v>
      </c>
      <c r="B1605">
        <f t="shared" si="200"/>
        <v>2026</v>
      </c>
      <c r="C1605">
        <f t="shared" si="201"/>
        <v>2</v>
      </c>
      <c r="D1605" t="str">
        <f t="shared" si="202"/>
        <v>Febrero</v>
      </c>
      <c r="E1605" t="str">
        <f t="shared" si="203"/>
        <v>T1</v>
      </c>
      <c r="F1605" t="s">
        <v>1732</v>
      </c>
      <c r="G1605" t="s">
        <v>144</v>
      </c>
      <c r="H1605" t="s">
        <v>88</v>
      </c>
      <c r="I1605" t="s">
        <v>145</v>
      </c>
      <c r="J1605" t="s">
        <v>70</v>
      </c>
      <c r="K1605" t="s">
        <v>71</v>
      </c>
      <c r="L1605" t="s">
        <v>72</v>
      </c>
      <c r="M1605" s="24">
        <v>7</v>
      </c>
      <c r="N1605" s="25">
        <v>12445.13</v>
      </c>
      <c r="O1605" s="25">
        <f t="shared" si="204"/>
        <v>87115.909999999989</v>
      </c>
      <c r="P1605" s="25">
        <v>7234.64</v>
      </c>
      <c r="Q1605" s="25">
        <f t="shared" si="205"/>
        <v>50642.48</v>
      </c>
      <c r="R1605" s="25">
        <f t="shared" si="206"/>
        <v>36473.429999999986</v>
      </c>
      <c r="S1605" s="26">
        <f t="shared" si="207"/>
        <v>0.41867702466748025</v>
      </c>
    </row>
    <row r="1606" spans="1:19" ht="15" x14ac:dyDescent="0.2">
      <c r="A1606" s="23">
        <v>46079</v>
      </c>
      <c r="B1606">
        <f t="shared" si="200"/>
        <v>2026</v>
      </c>
      <c r="C1606">
        <f t="shared" si="201"/>
        <v>2</v>
      </c>
      <c r="D1606" t="str">
        <f t="shared" si="202"/>
        <v>Febrero</v>
      </c>
      <c r="E1606" t="str">
        <f t="shared" si="203"/>
        <v>T1</v>
      </c>
      <c r="F1606" t="s">
        <v>1733</v>
      </c>
      <c r="G1606" t="s">
        <v>183</v>
      </c>
      <c r="H1606" t="s">
        <v>55</v>
      </c>
      <c r="I1606" t="s">
        <v>184</v>
      </c>
      <c r="J1606" t="s">
        <v>77</v>
      </c>
      <c r="K1606" t="s">
        <v>107</v>
      </c>
      <c r="L1606" t="s">
        <v>112</v>
      </c>
      <c r="M1606" s="24">
        <v>4</v>
      </c>
      <c r="N1606" s="25">
        <v>419009.81</v>
      </c>
      <c r="O1606" s="25">
        <f t="shared" si="204"/>
        <v>1676039.24</v>
      </c>
      <c r="P1606" s="25">
        <v>306916.83</v>
      </c>
      <c r="Q1606" s="25">
        <f t="shared" si="205"/>
        <v>1227667.32</v>
      </c>
      <c r="R1606" s="25">
        <f t="shared" si="206"/>
        <v>448371.91999999993</v>
      </c>
      <c r="S1606" s="26">
        <f t="shared" si="207"/>
        <v>0.26751874854672253</v>
      </c>
    </row>
    <row r="1607" spans="1:19" ht="15" x14ac:dyDescent="0.2">
      <c r="A1607" s="23">
        <v>46079</v>
      </c>
      <c r="B1607">
        <f t="shared" si="200"/>
        <v>2026</v>
      </c>
      <c r="C1607">
        <f t="shared" si="201"/>
        <v>2</v>
      </c>
      <c r="D1607" t="str">
        <f t="shared" si="202"/>
        <v>Febrero</v>
      </c>
      <c r="E1607" t="str">
        <f t="shared" si="203"/>
        <v>T1</v>
      </c>
      <c r="F1607" t="s">
        <v>1734</v>
      </c>
      <c r="G1607" t="s">
        <v>54</v>
      </c>
      <c r="H1607" t="s">
        <v>55</v>
      </c>
      <c r="I1607" t="s">
        <v>56</v>
      </c>
      <c r="J1607" t="s">
        <v>77</v>
      </c>
      <c r="K1607" t="s">
        <v>78</v>
      </c>
      <c r="L1607" t="s">
        <v>79</v>
      </c>
      <c r="M1607" s="24">
        <v>7</v>
      </c>
      <c r="N1607" s="25">
        <v>52951.64</v>
      </c>
      <c r="O1607" s="25">
        <f t="shared" si="204"/>
        <v>370661.48</v>
      </c>
      <c r="P1607" s="25">
        <v>40042.85</v>
      </c>
      <c r="Q1607" s="25">
        <f t="shared" si="205"/>
        <v>280299.95</v>
      </c>
      <c r="R1607" s="25">
        <f t="shared" si="206"/>
        <v>90361.52999999997</v>
      </c>
      <c r="S1607" s="26">
        <f t="shared" si="207"/>
        <v>0.24378451734450521</v>
      </c>
    </row>
    <row r="1608" spans="1:19" ht="15" x14ac:dyDescent="0.2">
      <c r="A1608" s="23">
        <v>46079</v>
      </c>
      <c r="B1608">
        <f t="shared" si="200"/>
        <v>2026</v>
      </c>
      <c r="C1608">
        <f t="shared" si="201"/>
        <v>2</v>
      </c>
      <c r="D1608" t="str">
        <f t="shared" si="202"/>
        <v>Febrero</v>
      </c>
      <c r="E1608" t="str">
        <f t="shared" si="203"/>
        <v>T1</v>
      </c>
      <c r="F1608" t="s">
        <v>1735</v>
      </c>
      <c r="G1608" t="s">
        <v>68</v>
      </c>
      <c r="H1608" t="s">
        <v>62</v>
      </c>
      <c r="I1608" t="s">
        <v>69</v>
      </c>
      <c r="J1608" t="s">
        <v>77</v>
      </c>
      <c r="K1608" t="s">
        <v>78</v>
      </c>
      <c r="L1608" t="s">
        <v>117</v>
      </c>
      <c r="M1608" s="24">
        <v>86</v>
      </c>
      <c r="N1608" s="25">
        <v>3230.1</v>
      </c>
      <c r="O1608" s="25">
        <f t="shared" si="204"/>
        <v>277788.59999999998</v>
      </c>
      <c r="P1608" s="25">
        <v>2595.5500000000002</v>
      </c>
      <c r="Q1608" s="25">
        <f t="shared" si="205"/>
        <v>223217.30000000002</v>
      </c>
      <c r="R1608" s="25">
        <f t="shared" si="206"/>
        <v>54571.299999999959</v>
      </c>
      <c r="S1608" s="26">
        <f t="shared" si="207"/>
        <v>0.19644902634593342</v>
      </c>
    </row>
    <row r="1609" spans="1:19" ht="15" x14ac:dyDescent="0.2">
      <c r="A1609" s="23">
        <v>46079</v>
      </c>
      <c r="B1609">
        <f t="shared" si="200"/>
        <v>2026</v>
      </c>
      <c r="C1609">
        <f t="shared" si="201"/>
        <v>2</v>
      </c>
      <c r="D1609" t="str">
        <f t="shared" si="202"/>
        <v>Febrero</v>
      </c>
      <c r="E1609" t="str">
        <f t="shared" si="203"/>
        <v>T1</v>
      </c>
      <c r="F1609" t="s">
        <v>1736</v>
      </c>
      <c r="G1609" t="s">
        <v>74</v>
      </c>
      <c r="H1609" t="s">
        <v>75</v>
      </c>
      <c r="I1609" t="s">
        <v>76</v>
      </c>
      <c r="J1609" t="s">
        <v>125</v>
      </c>
      <c r="K1609" t="s">
        <v>138</v>
      </c>
      <c r="L1609" t="s">
        <v>142</v>
      </c>
      <c r="M1609" s="24">
        <v>8</v>
      </c>
      <c r="N1609" s="25">
        <v>40513.07</v>
      </c>
      <c r="O1609" s="25">
        <f t="shared" si="204"/>
        <v>324104.56</v>
      </c>
      <c r="P1609" s="25">
        <v>26911.69</v>
      </c>
      <c r="Q1609" s="25">
        <f t="shared" si="205"/>
        <v>215293.52</v>
      </c>
      <c r="R1609" s="25">
        <f t="shared" si="206"/>
        <v>108811.04000000001</v>
      </c>
      <c r="S1609" s="26">
        <f t="shared" si="207"/>
        <v>0.33572819833204448</v>
      </c>
    </row>
    <row r="1610" spans="1:19" ht="15" x14ac:dyDescent="0.2">
      <c r="A1610" s="23">
        <v>46079</v>
      </c>
      <c r="B1610">
        <f t="shared" si="200"/>
        <v>2026</v>
      </c>
      <c r="C1610">
        <f t="shared" si="201"/>
        <v>2</v>
      </c>
      <c r="D1610" t="str">
        <f t="shared" si="202"/>
        <v>Febrero</v>
      </c>
      <c r="E1610" t="str">
        <f t="shared" si="203"/>
        <v>T1</v>
      </c>
      <c r="F1610" t="s">
        <v>1737</v>
      </c>
      <c r="G1610" t="s">
        <v>92</v>
      </c>
      <c r="H1610" t="s">
        <v>93</v>
      </c>
      <c r="I1610" t="s">
        <v>94</v>
      </c>
      <c r="J1610" t="s">
        <v>57</v>
      </c>
      <c r="K1610" t="s">
        <v>81</v>
      </c>
      <c r="L1610" t="s">
        <v>129</v>
      </c>
      <c r="M1610" s="24">
        <v>6</v>
      </c>
      <c r="N1610" s="25">
        <v>19953.75</v>
      </c>
      <c r="O1610" s="25">
        <f t="shared" si="204"/>
        <v>119722.5</v>
      </c>
      <c r="P1610" s="25">
        <v>11752.96</v>
      </c>
      <c r="Q1610" s="25">
        <f t="shared" si="205"/>
        <v>70517.759999999995</v>
      </c>
      <c r="R1610" s="25">
        <f t="shared" si="206"/>
        <v>49204.740000000005</v>
      </c>
      <c r="S1610" s="26">
        <f t="shared" si="207"/>
        <v>0.4109899141765333</v>
      </c>
    </row>
    <row r="1611" spans="1:19" ht="15" x14ac:dyDescent="0.2">
      <c r="A1611" s="23">
        <v>46080</v>
      </c>
      <c r="B1611">
        <f t="shared" si="200"/>
        <v>2026</v>
      </c>
      <c r="C1611">
        <f t="shared" si="201"/>
        <v>2</v>
      </c>
      <c r="D1611" t="str">
        <f t="shared" si="202"/>
        <v>Febrero</v>
      </c>
      <c r="E1611" t="str">
        <f t="shared" si="203"/>
        <v>T1</v>
      </c>
      <c r="F1611" t="s">
        <v>1738</v>
      </c>
      <c r="G1611" t="s">
        <v>61</v>
      </c>
      <c r="H1611" t="s">
        <v>62</v>
      </c>
      <c r="I1611" t="s">
        <v>63</v>
      </c>
      <c r="J1611" t="s">
        <v>70</v>
      </c>
      <c r="K1611" t="s">
        <v>84</v>
      </c>
      <c r="L1611" t="s">
        <v>85</v>
      </c>
      <c r="M1611" s="24">
        <v>25</v>
      </c>
      <c r="N1611" s="25">
        <v>5644.53</v>
      </c>
      <c r="O1611" s="25">
        <f t="shared" si="204"/>
        <v>141113.25</v>
      </c>
      <c r="P1611" s="25">
        <v>4828.63</v>
      </c>
      <c r="Q1611" s="25">
        <f t="shared" si="205"/>
        <v>120715.75</v>
      </c>
      <c r="R1611" s="25">
        <f t="shared" si="206"/>
        <v>20397.5</v>
      </c>
      <c r="S1611" s="26">
        <f t="shared" si="207"/>
        <v>0.14454702162979025</v>
      </c>
    </row>
    <row r="1612" spans="1:19" ht="15" x14ac:dyDescent="0.2">
      <c r="A1612" s="23">
        <v>46080</v>
      </c>
      <c r="B1612">
        <f t="shared" si="200"/>
        <v>2026</v>
      </c>
      <c r="C1612">
        <f t="shared" si="201"/>
        <v>2</v>
      </c>
      <c r="D1612" t="str">
        <f t="shared" si="202"/>
        <v>Febrero</v>
      </c>
      <c r="E1612" t="str">
        <f t="shared" si="203"/>
        <v>T1</v>
      </c>
      <c r="F1612" t="s">
        <v>1739</v>
      </c>
      <c r="G1612" t="s">
        <v>114</v>
      </c>
      <c r="H1612" t="s">
        <v>75</v>
      </c>
      <c r="I1612" t="s">
        <v>115</v>
      </c>
      <c r="J1612" t="s">
        <v>77</v>
      </c>
      <c r="K1612" t="s">
        <v>107</v>
      </c>
      <c r="L1612" t="s">
        <v>112</v>
      </c>
      <c r="M1612" s="24">
        <v>7</v>
      </c>
      <c r="N1612" s="25">
        <v>99798.07</v>
      </c>
      <c r="O1612" s="25">
        <f t="shared" si="204"/>
        <v>698586.49</v>
      </c>
      <c r="P1612" s="25">
        <v>63029.63</v>
      </c>
      <c r="Q1612" s="25">
        <f t="shared" si="205"/>
        <v>441207.41</v>
      </c>
      <c r="R1612" s="25">
        <f t="shared" si="206"/>
        <v>257379.08000000002</v>
      </c>
      <c r="S1612" s="26">
        <f t="shared" si="207"/>
        <v>0.36842836740229551</v>
      </c>
    </row>
    <row r="1613" spans="1:19" ht="15" x14ac:dyDescent="0.2">
      <c r="A1613" s="23">
        <v>46080</v>
      </c>
      <c r="B1613">
        <f t="shared" si="200"/>
        <v>2026</v>
      </c>
      <c r="C1613">
        <f t="shared" si="201"/>
        <v>2</v>
      </c>
      <c r="D1613" t="str">
        <f t="shared" si="202"/>
        <v>Febrero</v>
      </c>
      <c r="E1613" t="str">
        <f t="shared" si="203"/>
        <v>T1</v>
      </c>
      <c r="F1613" t="s">
        <v>1740</v>
      </c>
      <c r="G1613" t="s">
        <v>100</v>
      </c>
      <c r="H1613" t="s">
        <v>88</v>
      </c>
      <c r="I1613" t="s">
        <v>101</v>
      </c>
      <c r="J1613" t="s">
        <v>70</v>
      </c>
      <c r="K1613" t="s">
        <v>84</v>
      </c>
      <c r="L1613" t="s">
        <v>85</v>
      </c>
      <c r="M1613" s="24">
        <v>6</v>
      </c>
      <c r="N1613" s="25">
        <v>38167.06</v>
      </c>
      <c r="O1613" s="25">
        <f t="shared" si="204"/>
        <v>229002.36</v>
      </c>
      <c r="P1613" s="25">
        <v>22655.08</v>
      </c>
      <c r="Q1613" s="25">
        <f t="shared" si="205"/>
        <v>135930.48000000001</v>
      </c>
      <c r="R1613" s="25">
        <f t="shared" si="206"/>
        <v>93071.879999999976</v>
      </c>
      <c r="S1613" s="26">
        <f t="shared" si="207"/>
        <v>0.40642323511425815</v>
      </c>
    </row>
    <row r="1614" spans="1:19" ht="15" x14ac:dyDescent="0.2">
      <c r="A1614" s="23">
        <v>46081</v>
      </c>
      <c r="B1614">
        <f t="shared" si="200"/>
        <v>2026</v>
      </c>
      <c r="C1614">
        <f t="shared" si="201"/>
        <v>2</v>
      </c>
      <c r="D1614" t="str">
        <f t="shared" si="202"/>
        <v>Febrero</v>
      </c>
      <c r="E1614" t="str">
        <f t="shared" si="203"/>
        <v>T1</v>
      </c>
      <c r="F1614" t="s">
        <v>1741</v>
      </c>
      <c r="G1614" t="s">
        <v>105</v>
      </c>
      <c r="H1614" t="s">
        <v>62</v>
      </c>
      <c r="I1614" t="s">
        <v>106</v>
      </c>
      <c r="J1614" t="s">
        <v>125</v>
      </c>
      <c r="K1614" t="s">
        <v>138</v>
      </c>
      <c r="L1614" t="s">
        <v>139</v>
      </c>
      <c r="M1614" s="24">
        <v>288</v>
      </c>
      <c r="N1614" s="25">
        <v>1843.88</v>
      </c>
      <c r="O1614" s="25">
        <f t="shared" si="204"/>
        <v>531037.44000000006</v>
      </c>
      <c r="P1614" s="25">
        <v>1501.18</v>
      </c>
      <c r="Q1614" s="25">
        <f t="shared" si="205"/>
        <v>432339.84</v>
      </c>
      <c r="R1614" s="25">
        <f t="shared" si="206"/>
        <v>98697.600000000035</v>
      </c>
      <c r="S1614" s="26">
        <f t="shared" si="207"/>
        <v>0.18585808187083763</v>
      </c>
    </row>
    <row r="1615" spans="1:19" ht="15" x14ac:dyDescent="0.2">
      <c r="A1615" s="23">
        <v>46081</v>
      </c>
      <c r="B1615">
        <f t="shared" si="200"/>
        <v>2026</v>
      </c>
      <c r="C1615">
        <f t="shared" si="201"/>
        <v>2</v>
      </c>
      <c r="D1615" t="str">
        <f t="shared" si="202"/>
        <v>Febrero</v>
      </c>
      <c r="E1615" t="str">
        <f t="shared" si="203"/>
        <v>T1</v>
      </c>
      <c r="F1615" t="s">
        <v>1742</v>
      </c>
      <c r="G1615" t="s">
        <v>74</v>
      </c>
      <c r="H1615" t="s">
        <v>75</v>
      </c>
      <c r="I1615" t="s">
        <v>76</v>
      </c>
      <c r="J1615" t="s">
        <v>125</v>
      </c>
      <c r="K1615" t="s">
        <v>126</v>
      </c>
      <c r="L1615" t="s">
        <v>131</v>
      </c>
      <c r="M1615" s="24">
        <v>1</v>
      </c>
      <c r="N1615" s="25">
        <v>24487.51</v>
      </c>
      <c r="O1615" s="25">
        <f t="shared" si="204"/>
        <v>24487.51</v>
      </c>
      <c r="P1615" s="25">
        <v>16696.38</v>
      </c>
      <c r="Q1615" s="25">
        <f t="shared" si="205"/>
        <v>16696.38</v>
      </c>
      <c r="R1615" s="25">
        <f t="shared" si="206"/>
        <v>7791.1299999999974</v>
      </c>
      <c r="S1615" s="26">
        <f t="shared" si="207"/>
        <v>0.31816750661868021</v>
      </c>
    </row>
    <row r="1616" spans="1:19" ht="15" x14ac:dyDescent="0.2">
      <c r="A1616" s="23">
        <v>46081</v>
      </c>
      <c r="B1616">
        <f t="shared" si="200"/>
        <v>2026</v>
      </c>
      <c r="C1616">
        <f t="shared" si="201"/>
        <v>2</v>
      </c>
      <c r="D1616" t="str">
        <f t="shared" si="202"/>
        <v>Febrero</v>
      </c>
      <c r="E1616" t="str">
        <f t="shared" si="203"/>
        <v>T1</v>
      </c>
      <c r="F1616" t="s">
        <v>1743</v>
      </c>
      <c r="G1616" t="s">
        <v>149</v>
      </c>
      <c r="H1616" t="s">
        <v>93</v>
      </c>
      <c r="I1616" t="s">
        <v>150</v>
      </c>
      <c r="J1616" t="s">
        <v>57</v>
      </c>
      <c r="K1616" t="s">
        <v>81</v>
      </c>
      <c r="L1616" t="s">
        <v>82</v>
      </c>
      <c r="M1616" s="24">
        <v>4</v>
      </c>
      <c r="N1616" s="25">
        <v>42762.11</v>
      </c>
      <c r="O1616" s="25">
        <f t="shared" si="204"/>
        <v>171048.44</v>
      </c>
      <c r="P1616" s="25">
        <v>24721.46</v>
      </c>
      <c r="Q1616" s="25">
        <f t="shared" si="205"/>
        <v>98885.84</v>
      </c>
      <c r="R1616" s="25">
        <f t="shared" si="206"/>
        <v>72162.600000000006</v>
      </c>
      <c r="S1616" s="26">
        <f t="shared" si="207"/>
        <v>0.42188399964360973</v>
      </c>
    </row>
    <row r="1617" spans="1:19" ht="15" x14ac:dyDescent="0.2">
      <c r="A1617" s="23">
        <v>46081</v>
      </c>
      <c r="B1617">
        <f t="shared" si="200"/>
        <v>2026</v>
      </c>
      <c r="C1617">
        <f t="shared" si="201"/>
        <v>2</v>
      </c>
      <c r="D1617" t="str">
        <f t="shared" si="202"/>
        <v>Febrero</v>
      </c>
      <c r="E1617" t="str">
        <f t="shared" si="203"/>
        <v>T1</v>
      </c>
      <c r="F1617" t="s">
        <v>1744</v>
      </c>
      <c r="G1617" t="s">
        <v>149</v>
      </c>
      <c r="H1617" t="s">
        <v>93</v>
      </c>
      <c r="I1617" t="s">
        <v>150</v>
      </c>
      <c r="J1617" t="s">
        <v>57</v>
      </c>
      <c r="K1617" t="s">
        <v>58</v>
      </c>
      <c r="L1617" t="s">
        <v>59</v>
      </c>
      <c r="M1617" s="24">
        <v>3</v>
      </c>
      <c r="N1617" s="25">
        <v>41480.639999999999</v>
      </c>
      <c r="O1617" s="25">
        <f t="shared" si="204"/>
        <v>124441.92</v>
      </c>
      <c r="P1617" s="25">
        <v>23703.45</v>
      </c>
      <c r="Q1617" s="25">
        <f t="shared" si="205"/>
        <v>71110.350000000006</v>
      </c>
      <c r="R1617" s="25">
        <f t="shared" si="206"/>
        <v>53331.569999999992</v>
      </c>
      <c r="S1617" s="26">
        <f t="shared" si="207"/>
        <v>0.42856595269504033</v>
      </c>
    </row>
    <row r="1618" spans="1:19" ht="15" x14ac:dyDescent="0.2">
      <c r="A1618" s="23">
        <v>46081</v>
      </c>
      <c r="B1618">
        <f t="shared" si="200"/>
        <v>2026</v>
      </c>
      <c r="C1618">
        <f t="shared" si="201"/>
        <v>2</v>
      </c>
      <c r="D1618" t="str">
        <f t="shared" si="202"/>
        <v>Febrero</v>
      </c>
      <c r="E1618" t="str">
        <f t="shared" si="203"/>
        <v>T1</v>
      </c>
      <c r="F1618" t="s">
        <v>1745</v>
      </c>
      <c r="G1618" t="s">
        <v>149</v>
      </c>
      <c r="H1618" t="s">
        <v>93</v>
      </c>
      <c r="I1618" t="s">
        <v>150</v>
      </c>
      <c r="J1618" t="s">
        <v>70</v>
      </c>
      <c r="K1618" t="s">
        <v>71</v>
      </c>
      <c r="L1618" t="s">
        <v>90</v>
      </c>
      <c r="M1618" s="24">
        <v>3</v>
      </c>
      <c r="N1618" s="25">
        <v>39637.75</v>
      </c>
      <c r="O1618" s="25">
        <f t="shared" si="204"/>
        <v>118913.25</v>
      </c>
      <c r="P1618" s="25">
        <v>24515.87</v>
      </c>
      <c r="Q1618" s="25">
        <f t="shared" si="205"/>
        <v>73547.61</v>
      </c>
      <c r="R1618" s="25">
        <f t="shared" si="206"/>
        <v>45365.64</v>
      </c>
      <c r="S1618" s="26">
        <f t="shared" si="207"/>
        <v>0.38150197728175794</v>
      </c>
    </row>
    <row r="1619" spans="1:19" ht="15" x14ac:dyDescent="0.2">
      <c r="A1619" s="23">
        <v>46082</v>
      </c>
      <c r="B1619">
        <f t="shared" si="200"/>
        <v>2026</v>
      </c>
      <c r="C1619">
        <f t="shared" si="201"/>
        <v>3</v>
      </c>
      <c r="D1619" t="str">
        <f t="shared" si="202"/>
        <v>Marzo</v>
      </c>
      <c r="E1619" t="str">
        <f t="shared" si="203"/>
        <v>T1</v>
      </c>
      <c r="F1619" t="s">
        <v>1746</v>
      </c>
      <c r="G1619" t="s">
        <v>74</v>
      </c>
      <c r="H1619" t="s">
        <v>75</v>
      </c>
      <c r="I1619" t="s">
        <v>76</v>
      </c>
      <c r="J1619" t="s">
        <v>70</v>
      </c>
      <c r="K1619" t="s">
        <v>71</v>
      </c>
      <c r="L1619" t="s">
        <v>90</v>
      </c>
      <c r="M1619" s="24">
        <v>1</v>
      </c>
      <c r="N1619" s="25">
        <v>24386.95</v>
      </c>
      <c r="O1619" s="25">
        <f t="shared" si="204"/>
        <v>24386.95</v>
      </c>
      <c r="P1619" s="25">
        <v>17545.169999999998</v>
      </c>
      <c r="Q1619" s="25">
        <f t="shared" si="205"/>
        <v>17545.169999999998</v>
      </c>
      <c r="R1619" s="25">
        <f t="shared" si="206"/>
        <v>6841.7800000000025</v>
      </c>
      <c r="S1619" s="26">
        <f t="shared" si="207"/>
        <v>0.28055086839477683</v>
      </c>
    </row>
    <row r="1620" spans="1:19" ht="15" x14ac:dyDescent="0.2">
      <c r="A1620" s="23">
        <v>46083</v>
      </c>
      <c r="B1620">
        <f t="shared" si="200"/>
        <v>2026</v>
      </c>
      <c r="C1620">
        <f t="shared" si="201"/>
        <v>3</v>
      </c>
      <c r="D1620" t="str">
        <f t="shared" si="202"/>
        <v>Marzo</v>
      </c>
      <c r="E1620" t="str">
        <f t="shared" si="203"/>
        <v>T1</v>
      </c>
      <c r="F1620" t="s">
        <v>1747</v>
      </c>
      <c r="G1620" t="s">
        <v>1035</v>
      </c>
      <c r="H1620" t="s">
        <v>55</v>
      </c>
      <c r="I1620" t="s">
        <v>1036</v>
      </c>
      <c r="J1620" t="s">
        <v>64</v>
      </c>
      <c r="K1620" t="s">
        <v>65</v>
      </c>
      <c r="L1620" t="s">
        <v>66</v>
      </c>
      <c r="M1620" s="24">
        <v>3</v>
      </c>
      <c r="N1620" s="25">
        <v>816827.54</v>
      </c>
      <c r="O1620" s="25">
        <f t="shared" si="204"/>
        <v>2450482.62</v>
      </c>
      <c r="P1620" s="25">
        <v>642573.30000000005</v>
      </c>
      <c r="Q1620" s="25">
        <f t="shared" si="205"/>
        <v>1927719.9000000001</v>
      </c>
      <c r="R1620" s="25">
        <f t="shared" si="206"/>
        <v>522762.72</v>
      </c>
      <c r="S1620" s="26">
        <f t="shared" si="207"/>
        <v>0.21333051527621116</v>
      </c>
    </row>
    <row r="1621" spans="1:19" ht="15" x14ac:dyDescent="0.2">
      <c r="A1621" s="23">
        <v>46083</v>
      </c>
      <c r="B1621">
        <f t="shared" si="200"/>
        <v>2026</v>
      </c>
      <c r="C1621">
        <f t="shared" si="201"/>
        <v>3</v>
      </c>
      <c r="D1621" t="str">
        <f t="shared" si="202"/>
        <v>Marzo</v>
      </c>
      <c r="E1621" t="str">
        <f t="shared" si="203"/>
        <v>T1</v>
      </c>
      <c r="F1621" t="s">
        <v>1748</v>
      </c>
      <c r="G1621" t="s">
        <v>183</v>
      </c>
      <c r="H1621" t="s">
        <v>55</v>
      </c>
      <c r="I1621" t="s">
        <v>184</v>
      </c>
      <c r="J1621" t="s">
        <v>64</v>
      </c>
      <c r="K1621" t="s">
        <v>96</v>
      </c>
      <c r="L1621" t="s">
        <v>103</v>
      </c>
      <c r="M1621" s="24">
        <v>4</v>
      </c>
      <c r="N1621" s="25">
        <v>396908.84</v>
      </c>
      <c r="O1621" s="25">
        <f t="shared" si="204"/>
        <v>1587635.36</v>
      </c>
      <c r="P1621" s="25">
        <v>319466.27</v>
      </c>
      <c r="Q1621" s="25">
        <f t="shared" si="205"/>
        <v>1277865.08</v>
      </c>
      <c r="R1621" s="25">
        <f t="shared" si="206"/>
        <v>309770.28000000003</v>
      </c>
      <c r="S1621" s="26">
        <f t="shared" si="207"/>
        <v>0.19511424840021199</v>
      </c>
    </row>
    <row r="1622" spans="1:19" ht="15" x14ac:dyDescent="0.2">
      <c r="A1622" s="23">
        <v>46083</v>
      </c>
      <c r="B1622">
        <f t="shared" si="200"/>
        <v>2026</v>
      </c>
      <c r="C1622">
        <f t="shared" si="201"/>
        <v>3</v>
      </c>
      <c r="D1622" t="str">
        <f t="shared" si="202"/>
        <v>Marzo</v>
      </c>
      <c r="E1622" t="str">
        <f t="shared" si="203"/>
        <v>T1</v>
      </c>
      <c r="F1622" t="s">
        <v>1749</v>
      </c>
      <c r="G1622" t="s">
        <v>68</v>
      </c>
      <c r="H1622" t="s">
        <v>62</v>
      </c>
      <c r="I1622" t="s">
        <v>69</v>
      </c>
      <c r="J1622" t="s">
        <v>77</v>
      </c>
      <c r="K1622" t="s">
        <v>107</v>
      </c>
      <c r="L1622" t="s">
        <v>112</v>
      </c>
      <c r="M1622" s="24">
        <v>278</v>
      </c>
      <c r="N1622" s="25">
        <v>3300.84</v>
      </c>
      <c r="O1622" s="25">
        <f t="shared" si="204"/>
        <v>917633.52</v>
      </c>
      <c r="P1622" s="25">
        <v>2598.46</v>
      </c>
      <c r="Q1622" s="25">
        <f t="shared" si="205"/>
        <v>722371.88</v>
      </c>
      <c r="R1622" s="25">
        <f t="shared" si="206"/>
        <v>195261.64</v>
      </c>
      <c r="S1622" s="26">
        <f t="shared" si="207"/>
        <v>0.2127882599580713</v>
      </c>
    </row>
    <row r="1623" spans="1:19" ht="15" x14ac:dyDescent="0.2">
      <c r="A1623" s="23">
        <v>46083</v>
      </c>
      <c r="B1623">
        <f t="shared" si="200"/>
        <v>2026</v>
      </c>
      <c r="C1623">
        <f t="shared" si="201"/>
        <v>3</v>
      </c>
      <c r="D1623" t="str">
        <f t="shared" si="202"/>
        <v>Marzo</v>
      </c>
      <c r="E1623" t="str">
        <f t="shared" si="203"/>
        <v>T1</v>
      </c>
      <c r="F1623" t="s">
        <v>1750</v>
      </c>
      <c r="G1623" t="s">
        <v>144</v>
      </c>
      <c r="H1623" t="s">
        <v>88</v>
      </c>
      <c r="I1623" t="s">
        <v>145</v>
      </c>
      <c r="J1623" t="s">
        <v>64</v>
      </c>
      <c r="K1623" t="s">
        <v>65</v>
      </c>
      <c r="L1623" t="s">
        <v>66</v>
      </c>
      <c r="M1623" s="24">
        <v>39</v>
      </c>
      <c r="N1623" s="25">
        <v>12243.09</v>
      </c>
      <c r="O1623" s="25">
        <f t="shared" si="204"/>
        <v>477480.51</v>
      </c>
      <c r="P1623" s="25">
        <v>7065.55</v>
      </c>
      <c r="Q1623" s="25">
        <f t="shared" si="205"/>
        <v>275556.45</v>
      </c>
      <c r="R1623" s="25">
        <f t="shared" si="206"/>
        <v>201924.06</v>
      </c>
      <c r="S1623" s="26">
        <f t="shared" si="207"/>
        <v>0.42289487376144419</v>
      </c>
    </row>
    <row r="1624" spans="1:19" ht="15" x14ac:dyDescent="0.2">
      <c r="A1624" s="23">
        <v>46083</v>
      </c>
      <c r="B1624">
        <f t="shared" si="200"/>
        <v>2026</v>
      </c>
      <c r="C1624">
        <f t="shared" si="201"/>
        <v>3</v>
      </c>
      <c r="D1624" t="str">
        <f t="shared" si="202"/>
        <v>Marzo</v>
      </c>
      <c r="E1624" t="str">
        <f t="shared" si="203"/>
        <v>T1</v>
      </c>
      <c r="F1624" t="s">
        <v>1751</v>
      </c>
      <c r="G1624" t="s">
        <v>149</v>
      </c>
      <c r="H1624" t="s">
        <v>93</v>
      </c>
      <c r="I1624" t="s">
        <v>150</v>
      </c>
      <c r="J1624" t="s">
        <v>57</v>
      </c>
      <c r="K1624" t="s">
        <v>81</v>
      </c>
      <c r="L1624" t="s">
        <v>82</v>
      </c>
      <c r="M1624" s="24">
        <v>3</v>
      </c>
      <c r="N1624" s="25">
        <v>43251.56</v>
      </c>
      <c r="O1624" s="25">
        <f t="shared" si="204"/>
        <v>129754.68</v>
      </c>
      <c r="P1624" s="25">
        <v>24441.67</v>
      </c>
      <c r="Q1624" s="25">
        <f t="shared" si="205"/>
        <v>73325.009999999995</v>
      </c>
      <c r="R1624" s="25">
        <f t="shared" si="206"/>
        <v>56429.67</v>
      </c>
      <c r="S1624" s="26">
        <f t="shared" si="207"/>
        <v>0.43489506505661302</v>
      </c>
    </row>
    <row r="1625" spans="1:19" ht="15" x14ac:dyDescent="0.2">
      <c r="A1625" s="23">
        <v>46084</v>
      </c>
      <c r="B1625">
        <f t="shared" si="200"/>
        <v>2026</v>
      </c>
      <c r="C1625">
        <f t="shared" si="201"/>
        <v>3</v>
      </c>
      <c r="D1625" t="str">
        <f t="shared" si="202"/>
        <v>Marzo</v>
      </c>
      <c r="E1625" t="str">
        <f t="shared" si="203"/>
        <v>T1</v>
      </c>
      <c r="F1625" t="s">
        <v>1752</v>
      </c>
      <c r="G1625" t="s">
        <v>105</v>
      </c>
      <c r="H1625" t="s">
        <v>62</v>
      </c>
      <c r="I1625" t="s">
        <v>106</v>
      </c>
      <c r="J1625" t="s">
        <v>64</v>
      </c>
      <c r="K1625" t="s">
        <v>96</v>
      </c>
      <c r="L1625" t="s">
        <v>97</v>
      </c>
      <c r="M1625" s="24">
        <v>560</v>
      </c>
      <c r="N1625" s="25">
        <v>1787.63</v>
      </c>
      <c r="O1625" s="25">
        <f t="shared" si="204"/>
        <v>1001072.8</v>
      </c>
      <c r="P1625" s="25">
        <v>1500.72</v>
      </c>
      <c r="Q1625" s="25">
        <f t="shared" si="205"/>
        <v>840403.20000000007</v>
      </c>
      <c r="R1625" s="25">
        <f t="shared" si="206"/>
        <v>160669.59999999998</v>
      </c>
      <c r="S1625" s="26">
        <f t="shared" si="207"/>
        <v>0.1604974183695731</v>
      </c>
    </row>
    <row r="1626" spans="1:19" ht="15" x14ac:dyDescent="0.2">
      <c r="A1626" s="23">
        <v>46084</v>
      </c>
      <c r="B1626">
        <f t="shared" si="200"/>
        <v>2026</v>
      </c>
      <c r="C1626">
        <f t="shared" si="201"/>
        <v>3</v>
      </c>
      <c r="D1626" t="str">
        <f t="shared" si="202"/>
        <v>Marzo</v>
      </c>
      <c r="E1626" t="str">
        <f t="shared" si="203"/>
        <v>T1</v>
      </c>
      <c r="F1626" t="s">
        <v>1753</v>
      </c>
      <c r="G1626" t="s">
        <v>61</v>
      </c>
      <c r="H1626" t="s">
        <v>62</v>
      </c>
      <c r="I1626" t="s">
        <v>63</v>
      </c>
      <c r="J1626" t="s">
        <v>70</v>
      </c>
      <c r="K1626" t="s">
        <v>84</v>
      </c>
      <c r="L1626" t="s">
        <v>85</v>
      </c>
      <c r="M1626" s="24">
        <v>37</v>
      </c>
      <c r="N1626" s="25">
        <v>5630.6</v>
      </c>
      <c r="O1626" s="25">
        <f t="shared" si="204"/>
        <v>208332.2</v>
      </c>
      <c r="P1626" s="25">
        <v>4788.7</v>
      </c>
      <c r="Q1626" s="25">
        <f t="shared" si="205"/>
        <v>177181.9</v>
      </c>
      <c r="R1626" s="25">
        <f t="shared" si="206"/>
        <v>31150.300000000017</v>
      </c>
      <c r="S1626" s="26">
        <f t="shared" si="207"/>
        <v>0.14952225340105857</v>
      </c>
    </row>
    <row r="1627" spans="1:19" ht="15" x14ac:dyDescent="0.2">
      <c r="A1627" s="23">
        <v>46084</v>
      </c>
      <c r="B1627">
        <f t="shared" si="200"/>
        <v>2026</v>
      </c>
      <c r="C1627">
        <f t="shared" si="201"/>
        <v>3</v>
      </c>
      <c r="D1627" t="str">
        <f t="shared" si="202"/>
        <v>Marzo</v>
      </c>
      <c r="E1627" t="str">
        <f t="shared" si="203"/>
        <v>T1</v>
      </c>
      <c r="F1627" t="s">
        <v>1754</v>
      </c>
      <c r="G1627" t="s">
        <v>87</v>
      </c>
      <c r="H1627" t="s">
        <v>88</v>
      </c>
      <c r="I1627" t="s">
        <v>89</v>
      </c>
      <c r="J1627" t="s">
        <v>57</v>
      </c>
      <c r="K1627" t="s">
        <v>58</v>
      </c>
      <c r="L1627" t="s">
        <v>59</v>
      </c>
      <c r="M1627" s="24">
        <v>3</v>
      </c>
      <c r="N1627" s="25">
        <v>66756.149999999994</v>
      </c>
      <c r="O1627" s="25">
        <f t="shared" si="204"/>
        <v>200268.44999999998</v>
      </c>
      <c r="P1627" s="25">
        <v>36343.9</v>
      </c>
      <c r="Q1627" s="25">
        <f t="shared" si="205"/>
        <v>109031.70000000001</v>
      </c>
      <c r="R1627" s="25">
        <f t="shared" si="206"/>
        <v>91236.749999999971</v>
      </c>
      <c r="S1627" s="26">
        <f t="shared" si="207"/>
        <v>0.45557225813651614</v>
      </c>
    </row>
    <row r="1628" spans="1:19" ht="15" x14ac:dyDescent="0.2">
      <c r="A1628" s="23">
        <v>46085</v>
      </c>
      <c r="B1628">
        <f t="shared" si="200"/>
        <v>2026</v>
      </c>
      <c r="C1628">
        <f t="shared" si="201"/>
        <v>3</v>
      </c>
      <c r="D1628" t="str">
        <f t="shared" si="202"/>
        <v>Marzo</v>
      </c>
      <c r="E1628" t="str">
        <f t="shared" si="203"/>
        <v>T1</v>
      </c>
      <c r="F1628" t="s">
        <v>1755</v>
      </c>
      <c r="G1628" t="s">
        <v>105</v>
      </c>
      <c r="H1628" t="s">
        <v>62</v>
      </c>
      <c r="I1628" t="s">
        <v>106</v>
      </c>
      <c r="J1628" t="s">
        <v>77</v>
      </c>
      <c r="K1628" t="s">
        <v>78</v>
      </c>
      <c r="L1628" t="s">
        <v>117</v>
      </c>
      <c r="M1628" s="24">
        <v>408</v>
      </c>
      <c r="N1628" s="25">
        <v>1881.91</v>
      </c>
      <c r="O1628" s="25">
        <f t="shared" si="204"/>
        <v>767819.28</v>
      </c>
      <c r="P1628" s="25">
        <v>1500.47</v>
      </c>
      <c r="Q1628" s="25">
        <f t="shared" si="205"/>
        <v>612191.76</v>
      </c>
      <c r="R1628" s="25">
        <f t="shared" si="206"/>
        <v>155627.52000000002</v>
      </c>
      <c r="S1628" s="26">
        <f t="shared" si="207"/>
        <v>0.20268769494821751</v>
      </c>
    </row>
    <row r="1629" spans="1:19" ht="15" x14ac:dyDescent="0.2">
      <c r="A1629" s="23">
        <v>46085</v>
      </c>
      <c r="B1629">
        <f t="shared" si="200"/>
        <v>2026</v>
      </c>
      <c r="C1629">
        <f t="shared" si="201"/>
        <v>3</v>
      </c>
      <c r="D1629" t="str">
        <f t="shared" si="202"/>
        <v>Marzo</v>
      </c>
      <c r="E1629" t="str">
        <f t="shared" si="203"/>
        <v>T1</v>
      </c>
      <c r="F1629" t="s">
        <v>1756</v>
      </c>
      <c r="G1629" t="s">
        <v>206</v>
      </c>
      <c r="H1629" t="s">
        <v>93</v>
      </c>
      <c r="I1629" t="s">
        <v>207</v>
      </c>
      <c r="J1629" t="s">
        <v>64</v>
      </c>
      <c r="K1629" t="s">
        <v>65</v>
      </c>
      <c r="L1629" t="s">
        <v>66</v>
      </c>
      <c r="M1629" s="24">
        <v>5</v>
      </c>
      <c r="N1629" s="25">
        <v>102834.97</v>
      </c>
      <c r="O1629" s="25">
        <f t="shared" si="204"/>
        <v>514174.85</v>
      </c>
      <c r="P1629" s="25">
        <v>62400.66</v>
      </c>
      <c r="Q1629" s="25">
        <f t="shared" si="205"/>
        <v>312003.30000000005</v>
      </c>
      <c r="R1629" s="25">
        <f t="shared" si="206"/>
        <v>202171.54999999993</v>
      </c>
      <c r="S1629" s="26">
        <f t="shared" si="207"/>
        <v>0.39319610828884366</v>
      </c>
    </row>
    <row r="1630" spans="1:19" ht="15" x14ac:dyDescent="0.2">
      <c r="A1630" s="23">
        <v>46085</v>
      </c>
      <c r="B1630">
        <f t="shared" si="200"/>
        <v>2026</v>
      </c>
      <c r="C1630">
        <f t="shared" si="201"/>
        <v>3</v>
      </c>
      <c r="D1630" t="str">
        <f t="shared" si="202"/>
        <v>Marzo</v>
      </c>
      <c r="E1630" t="str">
        <f t="shared" si="203"/>
        <v>T1</v>
      </c>
      <c r="F1630" t="s">
        <v>1757</v>
      </c>
      <c r="G1630" t="s">
        <v>149</v>
      </c>
      <c r="H1630" t="s">
        <v>93</v>
      </c>
      <c r="I1630" t="s">
        <v>150</v>
      </c>
      <c r="J1630" t="s">
        <v>77</v>
      </c>
      <c r="K1630" t="s">
        <v>78</v>
      </c>
      <c r="L1630" t="s">
        <v>117</v>
      </c>
      <c r="M1630" s="24">
        <v>5</v>
      </c>
      <c r="N1630" s="25">
        <v>43040.23</v>
      </c>
      <c r="O1630" s="25">
        <f t="shared" si="204"/>
        <v>215201.15000000002</v>
      </c>
      <c r="P1630" s="25">
        <v>23853.4</v>
      </c>
      <c r="Q1630" s="25">
        <f t="shared" si="205"/>
        <v>119267</v>
      </c>
      <c r="R1630" s="25">
        <f t="shared" si="206"/>
        <v>95934.150000000023</v>
      </c>
      <c r="S1630" s="26">
        <f t="shared" si="207"/>
        <v>0.445788277618405</v>
      </c>
    </row>
    <row r="1631" spans="1:19" ht="15" x14ac:dyDescent="0.2">
      <c r="A1631" s="23">
        <v>46086</v>
      </c>
      <c r="B1631">
        <f t="shared" si="200"/>
        <v>2026</v>
      </c>
      <c r="C1631">
        <f t="shared" si="201"/>
        <v>3</v>
      </c>
      <c r="D1631" t="str">
        <f t="shared" si="202"/>
        <v>Marzo</v>
      </c>
      <c r="E1631" t="str">
        <f t="shared" si="203"/>
        <v>T1</v>
      </c>
      <c r="F1631" t="s">
        <v>1758</v>
      </c>
      <c r="G1631" t="s">
        <v>54</v>
      </c>
      <c r="H1631" t="s">
        <v>55</v>
      </c>
      <c r="I1631" t="s">
        <v>56</v>
      </c>
      <c r="J1631" t="s">
        <v>70</v>
      </c>
      <c r="K1631" t="s">
        <v>71</v>
      </c>
      <c r="L1631" t="s">
        <v>90</v>
      </c>
      <c r="M1631" s="24">
        <v>2</v>
      </c>
      <c r="N1631" s="25">
        <v>61412.54</v>
      </c>
      <c r="O1631" s="25">
        <f t="shared" si="204"/>
        <v>122825.08</v>
      </c>
      <c r="P1631" s="25">
        <v>50183.12</v>
      </c>
      <c r="Q1631" s="25">
        <f t="shared" si="205"/>
        <v>100366.24</v>
      </c>
      <c r="R1631" s="25">
        <f t="shared" si="206"/>
        <v>22458.839999999997</v>
      </c>
      <c r="S1631" s="26">
        <f t="shared" si="207"/>
        <v>0.18285223180803137</v>
      </c>
    </row>
    <row r="1632" spans="1:19" ht="15" x14ac:dyDescent="0.2">
      <c r="A1632" s="23">
        <v>46086</v>
      </c>
      <c r="B1632">
        <f t="shared" si="200"/>
        <v>2026</v>
      </c>
      <c r="C1632">
        <f t="shared" si="201"/>
        <v>3</v>
      </c>
      <c r="D1632" t="str">
        <f t="shared" si="202"/>
        <v>Marzo</v>
      </c>
      <c r="E1632" t="str">
        <f t="shared" si="203"/>
        <v>T1</v>
      </c>
      <c r="F1632" t="s">
        <v>1759</v>
      </c>
      <c r="G1632" t="s">
        <v>68</v>
      </c>
      <c r="H1632" t="s">
        <v>62</v>
      </c>
      <c r="I1632" t="s">
        <v>69</v>
      </c>
      <c r="J1632" t="s">
        <v>125</v>
      </c>
      <c r="K1632" t="s">
        <v>126</v>
      </c>
      <c r="L1632" t="s">
        <v>131</v>
      </c>
      <c r="M1632" s="24">
        <v>137</v>
      </c>
      <c r="N1632" s="25">
        <v>3218.61</v>
      </c>
      <c r="O1632" s="25">
        <f t="shared" si="204"/>
        <v>440949.57</v>
      </c>
      <c r="P1632" s="25">
        <v>2608.6799999999998</v>
      </c>
      <c r="Q1632" s="25">
        <f t="shared" si="205"/>
        <v>357389.16</v>
      </c>
      <c r="R1632" s="25">
        <f t="shared" si="206"/>
        <v>83560.410000000033</v>
      </c>
      <c r="S1632" s="26">
        <f t="shared" si="207"/>
        <v>0.1895010579100917</v>
      </c>
    </row>
    <row r="1633" spans="1:19" ht="15" x14ac:dyDescent="0.2">
      <c r="A1633" s="23">
        <v>46086</v>
      </c>
      <c r="B1633">
        <f t="shared" si="200"/>
        <v>2026</v>
      </c>
      <c r="C1633">
        <f t="shared" si="201"/>
        <v>3</v>
      </c>
      <c r="D1633" t="str">
        <f t="shared" si="202"/>
        <v>Marzo</v>
      </c>
      <c r="E1633" t="str">
        <f t="shared" si="203"/>
        <v>T1</v>
      </c>
      <c r="F1633" t="s">
        <v>1760</v>
      </c>
      <c r="G1633" t="s">
        <v>105</v>
      </c>
      <c r="H1633" t="s">
        <v>62</v>
      </c>
      <c r="I1633" t="s">
        <v>106</v>
      </c>
      <c r="J1633" t="s">
        <v>70</v>
      </c>
      <c r="K1633" t="s">
        <v>84</v>
      </c>
      <c r="L1633" t="s">
        <v>85</v>
      </c>
      <c r="M1633" s="24">
        <v>125</v>
      </c>
      <c r="N1633" s="25">
        <v>1771.74</v>
      </c>
      <c r="O1633" s="25">
        <f t="shared" si="204"/>
        <v>221467.5</v>
      </c>
      <c r="P1633" s="25">
        <v>1500.15</v>
      </c>
      <c r="Q1633" s="25">
        <f t="shared" si="205"/>
        <v>187518.75</v>
      </c>
      <c r="R1633" s="25">
        <f t="shared" si="206"/>
        <v>33948.75</v>
      </c>
      <c r="S1633" s="26">
        <f t="shared" si="207"/>
        <v>0.15328998611534425</v>
      </c>
    </row>
    <row r="1634" spans="1:19" ht="15" x14ac:dyDescent="0.2">
      <c r="A1634" s="23">
        <v>46087</v>
      </c>
      <c r="B1634">
        <f t="shared" si="200"/>
        <v>2026</v>
      </c>
      <c r="C1634">
        <f t="shared" si="201"/>
        <v>3</v>
      </c>
      <c r="D1634" t="str">
        <f t="shared" si="202"/>
        <v>Marzo</v>
      </c>
      <c r="E1634" t="str">
        <f t="shared" si="203"/>
        <v>T1</v>
      </c>
      <c r="F1634" t="s">
        <v>1761</v>
      </c>
      <c r="G1634" t="s">
        <v>54</v>
      </c>
      <c r="H1634" t="s">
        <v>55</v>
      </c>
      <c r="I1634" t="s">
        <v>56</v>
      </c>
      <c r="J1634" t="s">
        <v>125</v>
      </c>
      <c r="K1634" t="s">
        <v>126</v>
      </c>
      <c r="L1634" t="s">
        <v>131</v>
      </c>
      <c r="M1634" s="24">
        <v>5</v>
      </c>
      <c r="N1634" s="25">
        <v>58473.04</v>
      </c>
      <c r="O1634" s="25">
        <f t="shared" si="204"/>
        <v>292365.2</v>
      </c>
      <c r="P1634" s="25">
        <v>45719.98</v>
      </c>
      <c r="Q1634" s="25">
        <f t="shared" si="205"/>
        <v>228599.90000000002</v>
      </c>
      <c r="R1634" s="25">
        <f t="shared" si="206"/>
        <v>63765.299999999988</v>
      </c>
      <c r="S1634" s="26">
        <f t="shared" si="207"/>
        <v>0.21810153876042698</v>
      </c>
    </row>
    <row r="1635" spans="1:19" ht="15" x14ac:dyDescent="0.2">
      <c r="A1635" s="23">
        <v>46087</v>
      </c>
      <c r="B1635">
        <f t="shared" si="200"/>
        <v>2026</v>
      </c>
      <c r="C1635">
        <f t="shared" si="201"/>
        <v>3</v>
      </c>
      <c r="D1635" t="str">
        <f t="shared" si="202"/>
        <v>Marzo</v>
      </c>
      <c r="E1635" t="str">
        <f t="shared" si="203"/>
        <v>T1</v>
      </c>
      <c r="F1635" t="s">
        <v>1762</v>
      </c>
      <c r="G1635" t="s">
        <v>183</v>
      </c>
      <c r="H1635" t="s">
        <v>55</v>
      </c>
      <c r="I1635" t="s">
        <v>184</v>
      </c>
      <c r="J1635" t="s">
        <v>70</v>
      </c>
      <c r="K1635" t="s">
        <v>84</v>
      </c>
      <c r="L1635" t="s">
        <v>85</v>
      </c>
      <c r="M1635" s="24">
        <v>2</v>
      </c>
      <c r="N1635" s="25">
        <v>366796.93</v>
      </c>
      <c r="O1635" s="25">
        <f t="shared" si="204"/>
        <v>733593.86</v>
      </c>
      <c r="P1635" s="25">
        <v>297259.11</v>
      </c>
      <c r="Q1635" s="25">
        <f t="shared" si="205"/>
        <v>594518.22</v>
      </c>
      <c r="R1635" s="25">
        <f t="shared" si="206"/>
        <v>139075.64000000001</v>
      </c>
      <c r="S1635" s="26">
        <f t="shared" si="207"/>
        <v>0.18958124867620896</v>
      </c>
    </row>
    <row r="1636" spans="1:19" ht="15" x14ac:dyDescent="0.2">
      <c r="A1636" s="23">
        <v>46087</v>
      </c>
      <c r="B1636">
        <f t="shared" si="200"/>
        <v>2026</v>
      </c>
      <c r="C1636">
        <f t="shared" si="201"/>
        <v>3</v>
      </c>
      <c r="D1636" t="str">
        <f t="shared" si="202"/>
        <v>Marzo</v>
      </c>
      <c r="E1636" t="str">
        <f t="shared" si="203"/>
        <v>T1</v>
      </c>
      <c r="F1636" t="s">
        <v>1763</v>
      </c>
      <c r="G1636" t="s">
        <v>87</v>
      </c>
      <c r="H1636" t="s">
        <v>88</v>
      </c>
      <c r="I1636" t="s">
        <v>89</v>
      </c>
      <c r="J1636" t="s">
        <v>57</v>
      </c>
      <c r="K1636" t="s">
        <v>81</v>
      </c>
      <c r="L1636" t="s">
        <v>82</v>
      </c>
      <c r="M1636" s="24">
        <v>7</v>
      </c>
      <c r="N1636" s="25">
        <v>58636.11</v>
      </c>
      <c r="O1636" s="25">
        <f t="shared" si="204"/>
        <v>410452.77</v>
      </c>
      <c r="P1636" s="25">
        <v>32715.66</v>
      </c>
      <c r="Q1636" s="25">
        <f t="shared" si="205"/>
        <v>229009.62</v>
      </c>
      <c r="R1636" s="25">
        <f t="shared" si="206"/>
        <v>181443.15000000002</v>
      </c>
      <c r="S1636" s="26">
        <f t="shared" si="207"/>
        <v>0.44205609819614572</v>
      </c>
    </row>
    <row r="1637" spans="1:19" ht="15" x14ac:dyDescent="0.2">
      <c r="A1637" s="23">
        <v>46088</v>
      </c>
      <c r="B1637">
        <f t="shared" si="200"/>
        <v>2026</v>
      </c>
      <c r="C1637">
        <f t="shared" si="201"/>
        <v>3</v>
      </c>
      <c r="D1637" t="str">
        <f t="shared" si="202"/>
        <v>Marzo</v>
      </c>
      <c r="E1637" t="str">
        <f t="shared" si="203"/>
        <v>T1</v>
      </c>
      <c r="F1637" t="s">
        <v>1764</v>
      </c>
      <c r="G1637" t="s">
        <v>114</v>
      </c>
      <c r="H1637" t="s">
        <v>75</v>
      </c>
      <c r="I1637" t="s">
        <v>115</v>
      </c>
      <c r="J1637" t="s">
        <v>57</v>
      </c>
      <c r="K1637" t="s">
        <v>58</v>
      </c>
      <c r="L1637" t="s">
        <v>162</v>
      </c>
      <c r="M1637" s="24">
        <v>3</v>
      </c>
      <c r="N1637" s="25">
        <v>106802.68</v>
      </c>
      <c r="O1637" s="25">
        <f t="shared" si="204"/>
        <v>320408.03999999998</v>
      </c>
      <c r="P1637" s="25">
        <v>74276.44</v>
      </c>
      <c r="Q1637" s="25">
        <f t="shared" si="205"/>
        <v>222829.32</v>
      </c>
      <c r="R1637" s="25">
        <f t="shared" si="206"/>
        <v>97578.719999999972</v>
      </c>
      <c r="S1637" s="26">
        <f t="shared" si="207"/>
        <v>0.3045451668441278</v>
      </c>
    </row>
    <row r="1638" spans="1:19" ht="15" x14ac:dyDescent="0.2">
      <c r="A1638" s="23">
        <v>46088</v>
      </c>
      <c r="B1638">
        <f t="shared" si="200"/>
        <v>2026</v>
      </c>
      <c r="C1638">
        <f t="shared" si="201"/>
        <v>3</v>
      </c>
      <c r="D1638" t="str">
        <f t="shared" si="202"/>
        <v>Marzo</v>
      </c>
      <c r="E1638" t="str">
        <f t="shared" si="203"/>
        <v>T1</v>
      </c>
      <c r="F1638" t="s">
        <v>1765</v>
      </c>
      <c r="G1638" t="s">
        <v>92</v>
      </c>
      <c r="H1638" t="s">
        <v>93</v>
      </c>
      <c r="I1638" t="s">
        <v>94</v>
      </c>
      <c r="J1638" t="s">
        <v>70</v>
      </c>
      <c r="K1638" t="s">
        <v>71</v>
      </c>
      <c r="L1638" t="s">
        <v>90</v>
      </c>
      <c r="M1638" s="24">
        <v>5</v>
      </c>
      <c r="N1638" s="25">
        <v>20030.71</v>
      </c>
      <c r="O1638" s="25">
        <f t="shared" si="204"/>
        <v>100153.54999999999</v>
      </c>
      <c r="P1638" s="25">
        <v>12631.23</v>
      </c>
      <c r="Q1638" s="25">
        <f t="shared" si="205"/>
        <v>63156.149999999994</v>
      </c>
      <c r="R1638" s="25">
        <f t="shared" si="206"/>
        <v>36997.399999999994</v>
      </c>
      <c r="S1638" s="26">
        <f t="shared" si="207"/>
        <v>0.36940677589561227</v>
      </c>
    </row>
    <row r="1639" spans="1:19" ht="15" x14ac:dyDescent="0.2">
      <c r="A1639" s="23">
        <v>46088</v>
      </c>
      <c r="B1639">
        <f t="shared" si="200"/>
        <v>2026</v>
      </c>
      <c r="C1639">
        <f t="shared" si="201"/>
        <v>3</v>
      </c>
      <c r="D1639" t="str">
        <f t="shared" si="202"/>
        <v>Marzo</v>
      </c>
      <c r="E1639" t="str">
        <f t="shared" si="203"/>
        <v>T1</v>
      </c>
      <c r="F1639" t="s">
        <v>1766</v>
      </c>
      <c r="G1639" t="s">
        <v>92</v>
      </c>
      <c r="H1639" t="s">
        <v>93</v>
      </c>
      <c r="I1639" t="s">
        <v>94</v>
      </c>
      <c r="J1639" t="s">
        <v>70</v>
      </c>
      <c r="K1639" t="s">
        <v>71</v>
      </c>
      <c r="L1639" t="s">
        <v>90</v>
      </c>
      <c r="M1639" s="24">
        <v>1</v>
      </c>
      <c r="N1639" s="25">
        <v>5105.6899999999996</v>
      </c>
      <c r="O1639" s="25">
        <f t="shared" si="204"/>
        <v>5105.6899999999996</v>
      </c>
      <c r="P1639" s="25">
        <v>3190.39</v>
      </c>
      <c r="Q1639" s="25">
        <f t="shared" si="205"/>
        <v>3190.39</v>
      </c>
      <c r="R1639" s="25">
        <f t="shared" si="206"/>
        <v>1915.2999999999997</v>
      </c>
      <c r="S1639" s="26">
        <f t="shared" si="207"/>
        <v>0.37513049166713996</v>
      </c>
    </row>
    <row r="1640" spans="1:19" ht="15" x14ac:dyDescent="0.2">
      <c r="A1640" s="23">
        <v>46089</v>
      </c>
      <c r="B1640">
        <f t="shared" si="200"/>
        <v>2026</v>
      </c>
      <c r="C1640">
        <f t="shared" si="201"/>
        <v>3</v>
      </c>
      <c r="D1640" t="str">
        <f t="shared" si="202"/>
        <v>Marzo</v>
      </c>
      <c r="E1640" t="str">
        <f t="shared" si="203"/>
        <v>T1</v>
      </c>
      <c r="F1640" t="s">
        <v>1767</v>
      </c>
      <c r="G1640" t="s">
        <v>54</v>
      </c>
      <c r="H1640" t="s">
        <v>55</v>
      </c>
      <c r="I1640" t="s">
        <v>56</v>
      </c>
      <c r="J1640" t="s">
        <v>125</v>
      </c>
      <c r="K1640" t="s">
        <v>138</v>
      </c>
      <c r="L1640" t="s">
        <v>139</v>
      </c>
      <c r="M1640" s="24">
        <v>9</v>
      </c>
      <c r="N1640" s="25">
        <v>53746.44</v>
      </c>
      <c r="O1640" s="25">
        <f t="shared" si="204"/>
        <v>483717.96</v>
      </c>
      <c r="P1640" s="25">
        <v>40995.040000000001</v>
      </c>
      <c r="Q1640" s="25">
        <f t="shared" si="205"/>
        <v>368955.36</v>
      </c>
      <c r="R1640" s="25">
        <f t="shared" si="206"/>
        <v>114762.60000000003</v>
      </c>
      <c r="S1640" s="26">
        <f t="shared" si="207"/>
        <v>0.23725106258200548</v>
      </c>
    </row>
    <row r="1641" spans="1:19" ht="15" x14ac:dyDescent="0.2">
      <c r="A1641" s="23">
        <v>46089</v>
      </c>
      <c r="B1641">
        <f t="shared" si="200"/>
        <v>2026</v>
      </c>
      <c r="C1641">
        <f t="shared" si="201"/>
        <v>3</v>
      </c>
      <c r="D1641" t="str">
        <f t="shared" si="202"/>
        <v>Marzo</v>
      </c>
      <c r="E1641" t="str">
        <f t="shared" si="203"/>
        <v>T1</v>
      </c>
      <c r="F1641" t="s">
        <v>1768</v>
      </c>
      <c r="G1641" t="s">
        <v>61</v>
      </c>
      <c r="H1641" t="s">
        <v>62</v>
      </c>
      <c r="I1641" t="s">
        <v>63</v>
      </c>
      <c r="J1641" t="s">
        <v>57</v>
      </c>
      <c r="K1641" t="s">
        <v>58</v>
      </c>
      <c r="L1641" t="s">
        <v>59</v>
      </c>
      <c r="M1641" s="24">
        <v>50</v>
      </c>
      <c r="N1641" s="25">
        <v>5811.23</v>
      </c>
      <c r="O1641" s="25">
        <f t="shared" si="204"/>
        <v>290561.5</v>
      </c>
      <c r="P1641" s="25">
        <v>4789.42</v>
      </c>
      <c r="Q1641" s="25">
        <f t="shared" si="205"/>
        <v>239471</v>
      </c>
      <c r="R1641" s="25">
        <f t="shared" si="206"/>
        <v>51090.5</v>
      </c>
      <c r="S1641" s="26">
        <f t="shared" si="207"/>
        <v>0.17583368753258777</v>
      </c>
    </row>
    <row r="1642" spans="1:19" ht="15" x14ac:dyDescent="0.2">
      <c r="A1642" s="23">
        <v>46089</v>
      </c>
      <c r="B1642">
        <f t="shared" si="200"/>
        <v>2026</v>
      </c>
      <c r="C1642">
        <f t="shared" si="201"/>
        <v>3</v>
      </c>
      <c r="D1642" t="str">
        <f t="shared" si="202"/>
        <v>Marzo</v>
      </c>
      <c r="E1642" t="str">
        <f t="shared" si="203"/>
        <v>T1</v>
      </c>
      <c r="F1642" t="s">
        <v>1769</v>
      </c>
      <c r="G1642" t="s">
        <v>105</v>
      </c>
      <c r="H1642" t="s">
        <v>62</v>
      </c>
      <c r="I1642" t="s">
        <v>106</v>
      </c>
      <c r="J1642" t="s">
        <v>125</v>
      </c>
      <c r="K1642" t="s">
        <v>138</v>
      </c>
      <c r="L1642" t="s">
        <v>142</v>
      </c>
      <c r="M1642" s="24">
        <v>162</v>
      </c>
      <c r="N1642" s="25">
        <v>1854.94</v>
      </c>
      <c r="O1642" s="25">
        <f t="shared" si="204"/>
        <v>300500.28000000003</v>
      </c>
      <c r="P1642" s="25">
        <v>1502.89</v>
      </c>
      <c r="Q1642" s="25">
        <f t="shared" si="205"/>
        <v>243468.18000000002</v>
      </c>
      <c r="R1642" s="25">
        <f t="shared" si="206"/>
        <v>57032.100000000006</v>
      </c>
      <c r="S1642" s="26">
        <f t="shared" si="207"/>
        <v>0.18979050535327288</v>
      </c>
    </row>
    <row r="1643" spans="1:19" ht="15" x14ac:dyDescent="0.2">
      <c r="A1643" s="23">
        <v>46089</v>
      </c>
      <c r="B1643">
        <f t="shared" si="200"/>
        <v>2026</v>
      </c>
      <c r="C1643">
        <f t="shared" si="201"/>
        <v>3</v>
      </c>
      <c r="D1643" t="str">
        <f t="shared" si="202"/>
        <v>Marzo</v>
      </c>
      <c r="E1643" t="str">
        <f t="shared" si="203"/>
        <v>T1</v>
      </c>
      <c r="F1643" t="s">
        <v>1770</v>
      </c>
      <c r="G1643" t="s">
        <v>105</v>
      </c>
      <c r="H1643" t="s">
        <v>62</v>
      </c>
      <c r="I1643" t="s">
        <v>106</v>
      </c>
      <c r="J1643" t="s">
        <v>70</v>
      </c>
      <c r="K1643" t="s">
        <v>71</v>
      </c>
      <c r="L1643" t="s">
        <v>90</v>
      </c>
      <c r="M1643" s="24">
        <v>88</v>
      </c>
      <c r="N1643" s="25">
        <v>1759.25</v>
      </c>
      <c r="O1643" s="25">
        <f t="shared" si="204"/>
        <v>154814</v>
      </c>
      <c r="P1643" s="25">
        <v>1508.24</v>
      </c>
      <c r="Q1643" s="25">
        <f t="shared" si="205"/>
        <v>132725.12</v>
      </c>
      <c r="R1643" s="25">
        <f t="shared" si="206"/>
        <v>22088.880000000005</v>
      </c>
      <c r="S1643" s="26">
        <f t="shared" si="207"/>
        <v>0.14268011936904934</v>
      </c>
    </row>
    <row r="1644" spans="1:19" ht="15" x14ac:dyDescent="0.2">
      <c r="A1644" s="23">
        <v>46089</v>
      </c>
      <c r="B1644">
        <f t="shared" si="200"/>
        <v>2026</v>
      </c>
      <c r="C1644">
        <f t="shared" si="201"/>
        <v>3</v>
      </c>
      <c r="D1644" t="str">
        <f t="shared" si="202"/>
        <v>Marzo</v>
      </c>
      <c r="E1644" t="str">
        <f t="shared" si="203"/>
        <v>T1</v>
      </c>
      <c r="F1644" t="s">
        <v>1771</v>
      </c>
      <c r="G1644" t="s">
        <v>114</v>
      </c>
      <c r="H1644" t="s">
        <v>75</v>
      </c>
      <c r="I1644" t="s">
        <v>115</v>
      </c>
      <c r="J1644" t="s">
        <v>64</v>
      </c>
      <c r="K1644" t="s">
        <v>65</v>
      </c>
      <c r="L1644" t="s">
        <v>123</v>
      </c>
      <c r="M1644" s="24">
        <v>6</v>
      </c>
      <c r="N1644" s="25">
        <v>91785.72</v>
      </c>
      <c r="O1644" s="25">
        <f t="shared" si="204"/>
        <v>550714.32000000007</v>
      </c>
      <c r="P1644" s="25">
        <v>63497.83</v>
      </c>
      <c r="Q1644" s="25">
        <f t="shared" si="205"/>
        <v>380986.98</v>
      </c>
      <c r="R1644" s="25">
        <f t="shared" si="206"/>
        <v>169727.34000000008</v>
      </c>
      <c r="S1644" s="26">
        <f t="shared" si="207"/>
        <v>0.30819489131860611</v>
      </c>
    </row>
    <row r="1645" spans="1:19" ht="15" x14ac:dyDescent="0.2">
      <c r="A1645" s="23">
        <v>46089</v>
      </c>
      <c r="B1645">
        <f t="shared" si="200"/>
        <v>2026</v>
      </c>
      <c r="C1645">
        <f t="shared" si="201"/>
        <v>3</v>
      </c>
      <c r="D1645" t="str">
        <f t="shared" si="202"/>
        <v>Marzo</v>
      </c>
      <c r="E1645" t="str">
        <f t="shared" si="203"/>
        <v>T1</v>
      </c>
      <c r="F1645" t="s">
        <v>1772</v>
      </c>
      <c r="G1645" t="s">
        <v>114</v>
      </c>
      <c r="H1645" t="s">
        <v>75</v>
      </c>
      <c r="I1645" t="s">
        <v>115</v>
      </c>
      <c r="J1645" t="s">
        <v>57</v>
      </c>
      <c r="K1645" t="s">
        <v>81</v>
      </c>
      <c r="L1645" t="s">
        <v>82</v>
      </c>
      <c r="M1645" s="24">
        <v>3</v>
      </c>
      <c r="N1645" s="25">
        <v>96941.7</v>
      </c>
      <c r="O1645" s="25">
        <f t="shared" si="204"/>
        <v>290825.09999999998</v>
      </c>
      <c r="P1645" s="25">
        <v>65305.09</v>
      </c>
      <c r="Q1645" s="25">
        <f t="shared" si="205"/>
        <v>195915.27</v>
      </c>
      <c r="R1645" s="25">
        <f t="shared" si="206"/>
        <v>94909.829999999987</v>
      </c>
      <c r="S1645" s="26">
        <f t="shared" si="207"/>
        <v>0.32634676305449561</v>
      </c>
    </row>
    <row r="1646" spans="1:19" ht="15" x14ac:dyDescent="0.2">
      <c r="A1646" s="23">
        <v>46089</v>
      </c>
      <c r="B1646">
        <f t="shared" si="200"/>
        <v>2026</v>
      </c>
      <c r="C1646">
        <f t="shared" si="201"/>
        <v>3</v>
      </c>
      <c r="D1646" t="str">
        <f t="shared" si="202"/>
        <v>Marzo</v>
      </c>
      <c r="E1646" t="str">
        <f t="shared" si="203"/>
        <v>T1</v>
      </c>
      <c r="F1646" t="s">
        <v>1773</v>
      </c>
      <c r="G1646" t="s">
        <v>100</v>
      </c>
      <c r="H1646" t="s">
        <v>88</v>
      </c>
      <c r="I1646" t="s">
        <v>101</v>
      </c>
      <c r="J1646" t="s">
        <v>57</v>
      </c>
      <c r="K1646" t="s">
        <v>81</v>
      </c>
      <c r="L1646" t="s">
        <v>129</v>
      </c>
      <c r="M1646" s="24">
        <v>6</v>
      </c>
      <c r="N1646" s="25">
        <v>35121.550000000003</v>
      </c>
      <c r="O1646" s="25">
        <f t="shared" si="204"/>
        <v>210729.30000000002</v>
      </c>
      <c r="P1646" s="25">
        <v>19651.34</v>
      </c>
      <c r="Q1646" s="25">
        <f t="shared" si="205"/>
        <v>117908.04000000001</v>
      </c>
      <c r="R1646" s="25">
        <f t="shared" si="206"/>
        <v>92821.260000000009</v>
      </c>
      <c r="S1646" s="26">
        <f t="shared" si="207"/>
        <v>0.44047628877427109</v>
      </c>
    </row>
    <row r="1647" spans="1:19" ht="15" x14ac:dyDescent="0.2">
      <c r="A1647" s="23">
        <v>46089</v>
      </c>
      <c r="B1647">
        <f t="shared" si="200"/>
        <v>2026</v>
      </c>
      <c r="C1647">
        <f t="shared" si="201"/>
        <v>3</v>
      </c>
      <c r="D1647" t="str">
        <f t="shared" si="202"/>
        <v>Marzo</v>
      </c>
      <c r="E1647" t="str">
        <f t="shared" si="203"/>
        <v>T1</v>
      </c>
      <c r="F1647" t="s">
        <v>1774</v>
      </c>
      <c r="G1647" t="s">
        <v>149</v>
      </c>
      <c r="H1647" t="s">
        <v>93</v>
      </c>
      <c r="I1647" t="s">
        <v>150</v>
      </c>
      <c r="J1647" t="s">
        <v>64</v>
      </c>
      <c r="K1647" t="s">
        <v>96</v>
      </c>
      <c r="L1647" t="s">
        <v>97</v>
      </c>
      <c r="M1647" s="24">
        <v>6</v>
      </c>
      <c r="N1647" s="25">
        <v>46187.61</v>
      </c>
      <c r="O1647" s="25">
        <f t="shared" si="204"/>
        <v>277125.66000000003</v>
      </c>
      <c r="P1647" s="25">
        <v>27797.11</v>
      </c>
      <c r="Q1647" s="25">
        <f t="shared" si="205"/>
        <v>166782.66</v>
      </c>
      <c r="R1647" s="25">
        <f t="shared" si="206"/>
        <v>110343.00000000003</v>
      </c>
      <c r="S1647" s="26">
        <f t="shared" si="207"/>
        <v>0.39816955239727714</v>
      </c>
    </row>
    <row r="1648" spans="1:19" ht="15" x14ac:dyDescent="0.2">
      <c r="A1648" s="23">
        <v>46089</v>
      </c>
      <c r="B1648">
        <f t="shared" si="200"/>
        <v>2026</v>
      </c>
      <c r="C1648">
        <f t="shared" si="201"/>
        <v>3</v>
      </c>
      <c r="D1648" t="str">
        <f t="shared" si="202"/>
        <v>Marzo</v>
      </c>
      <c r="E1648" t="str">
        <f t="shared" si="203"/>
        <v>T1</v>
      </c>
      <c r="F1648" t="s">
        <v>1775</v>
      </c>
      <c r="G1648" t="s">
        <v>92</v>
      </c>
      <c r="H1648" t="s">
        <v>93</v>
      </c>
      <c r="I1648" t="s">
        <v>94</v>
      </c>
      <c r="J1648" t="s">
        <v>57</v>
      </c>
      <c r="K1648" t="s">
        <v>58</v>
      </c>
      <c r="L1648" t="s">
        <v>162</v>
      </c>
      <c r="M1648" s="24">
        <v>4</v>
      </c>
      <c r="N1648" s="25">
        <v>21220</v>
      </c>
      <c r="O1648" s="25">
        <f t="shared" si="204"/>
        <v>84880</v>
      </c>
      <c r="P1648" s="25">
        <v>12171.49</v>
      </c>
      <c r="Q1648" s="25">
        <f t="shared" si="205"/>
        <v>48685.96</v>
      </c>
      <c r="R1648" s="25">
        <f t="shared" si="206"/>
        <v>36194.04</v>
      </c>
      <c r="S1648" s="26">
        <f t="shared" si="207"/>
        <v>0.42641423185673893</v>
      </c>
    </row>
    <row r="1649" spans="1:19" ht="15" x14ac:dyDescent="0.2">
      <c r="A1649" s="23">
        <v>46090</v>
      </c>
      <c r="B1649">
        <f t="shared" si="200"/>
        <v>2026</v>
      </c>
      <c r="C1649">
        <f t="shared" si="201"/>
        <v>3</v>
      </c>
      <c r="D1649" t="str">
        <f t="shared" si="202"/>
        <v>Marzo</v>
      </c>
      <c r="E1649" t="str">
        <f t="shared" si="203"/>
        <v>T1</v>
      </c>
      <c r="F1649" t="s">
        <v>1776</v>
      </c>
      <c r="G1649" t="s">
        <v>54</v>
      </c>
      <c r="H1649" t="s">
        <v>55</v>
      </c>
      <c r="I1649" t="s">
        <v>56</v>
      </c>
      <c r="J1649" t="s">
        <v>64</v>
      </c>
      <c r="K1649" t="s">
        <v>96</v>
      </c>
      <c r="L1649" t="s">
        <v>97</v>
      </c>
      <c r="M1649" s="24">
        <v>27</v>
      </c>
      <c r="N1649" s="25">
        <v>51783.51</v>
      </c>
      <c r="O1649" s="25">
        <f t="shared" si="204"/>
        <v>1398154.77</v>
      </c>
      <c r="P1649" s="25">
        <v>41445.379999999997</v>
      </c>
      <c r="Q1649" s="25">
        <f t="shared" si="205"/>
        <v>1119025.26</v>
      </c>
      <c r="R1649" s="25">
        <f t="shared" si="206"/>
        <v>279129.51</v>
      </c>
      <c r="S1649" s="26">
        <f t="shared" si="207"/>
        <v>0.19964135300986743</v>
      </c>
    </row>
    <row r="1650" spans="1:19" ht="15" x14ac:dyDescent="0.2">
      <c r="A1650" s="23">
        <v>46090</v>
      </c>
      <c r="B1650">
        <f t="shared" si="200"/>
        <v>2026</v>
      </c>
      <c r="C1650">
        <f t="shared" si="201"/>
        <v>3</v>
      </c>
      <c r="D1650" t="str">
        <f t="shared" si="202"/>
        <v>Marzo</v>
      </c>
      <c r="E1650" t="str">
        <f t="shared" si="203"/>
        <v>T1</v>
      </c>
      <c r="F1650" t="s">
        <v>1777</v>
      </c>
      <c r="G1650" t="s">
        <v>54</v>
      </c>
      <c r="H1650" t="s">
        <v>55</v>
      </c>
      <c r="I1650" t="s">
        <v>56</v>
      </c>
      <c r="J1650" t="s">
        <v>57</v>
      </c>
      <c r="K1650" t="s">
        <v>81</v>
      </c>
      <c r="L1650" t="s">
        <v>82</v>
      </c>
      <c r="M1650" s="24">
        <v>16</v>
      </c>
      <c r="N1650" s="25">
        <v>54976.54</v>
      </c>
      <c r="O1650" s="25">
        <f t="shared" si="204"/>
        <v>879624.64</v>
      </c>
      <c r="P1650" s="25">
        <v>42718.99</v>
      </c>
      <c r="Q1650" s="25">
        <f t="shared" si="205"/>
        <v>683503.84</v>
      </c>
      <c r="R1650" s="25">
        <f t="shared" si="206"/>
        <v>196120.80000000005</v>
      </c>
      <c r="S1650" s="26">
        <f t="shared" si="207"/>
        <v>0.2229596478788953</v>
      </c>
    </row>
    <row r="1651" spans="1:19" ht="15" x14ac:dyDescent="0.2">
      <c r="A1651" s="23">
        <v>46090</v>
      </c>
      <c r="B1651">
        <f t="shared" si="200"/>
        <v>2026</v>
      </c>
      <c r="C1651">
        <f t="shared" si="201"/>
        <v>3</v>
      </c>
      <c r="D1651" t="str">
        <f t="shared" si="202"/>
        <v>Marzo</v>
      </c>
      <c r="E1651" t="str">
        <f t="shared" si="203"/>
        <v>T1</v>
      </c>
      <c r="F1651" t="s">
        <v>1778</v>
      </c>
      <c r="G1651" t="s">
        <v>74</v>
      </c>
      <c r="H1651" t="s">
        <v>75</v>
      </c>
      <c r="I1651" t="s">
        <v>76</v>
      </c>
      <c r="J1651" t="s">
        <v>64</v>
      </c>
      <c r="K1651" t="s">
        <v>65</v>
      </c>
      <c r="L1651" t="s">
        <v>123</v>
      </c>
      <c r="M1651" s="24">
        <v>15</v>
      </c>
      <c r="N1651" s="25">
        <v>41252.239999999998</v>
      </c>
      <c r="O1651" s="25">
        <f t="shared" si="204"/>
        <v>618783.6</v>
      </c>
      <c r="P1651" s="25">
        <v>28501.31</v>
      </c>
      <c r="Q1651" s="25">
        <f t="shared" si="205"/>
        <v>427519.65</v>
      </c>
      <c r="R1651" s="25">
        <f t="shared" si="206"/>
        <v>191263.94999999995</v>
      </c>
      <c r="S1651" s="26">
        <f t="shared" si="207"/>
        <v>0.30909666965963539</v>
      </c>
    </row>
    <row r="1652" spans="1:19" ht="15" x14ac:dyDescent="0.2">
      <c r="A1652" s="23">
        <v>46090</v>
      </c>
      <c r="B1652">
        <f t="shared" si="200"/>
        <v>2026</v>
      </c>
      <c r="C1652">
        <f t="shared" si="201"/>
        <v>3</v>
      </c>
      <c r="D1652" t="str">
        <f t="shared" si="202"/>
        <v>Marzo</v>
      </c>
      <c r="E1652" t="str">
        <f t="shared" si="203"/>
        <v>T1</v>
      </c>
      <c r="F1652" t="s">
        <v>1779</v>
      </c>
      <c r="G1652" t="s">
        <v>144</v>
      </c>
      <c r="H1652" t="s">
        <v>88</v>
      </c>
      <c r="I1652" t="s">
        <v>145</v>
      </c>
      <c r="J1652" t="s">
        <v>77</v>
      </c>
      <c r="K1652" t="s">
        <v>78</v>
      </c>
      <c r="L1652" t="s">
        <v>79</v>
      </c>
      <c r="M1652" s="24">
        <v>17</v>
      </c>
      <c r="N1652" s="25">
        <v>13688.96</v>
      </c>
      <c r="O1652" s="25">
        <f t="shared" si="204"/>
        <v>232712.31999999998</v>
      </c>
      <c r="P1652" s="25">
        <v>7159.31</v>
      </c>
      <c r="Q1652" s="25">
        <f t="shared" si="205"/>
        <v>121708.27</v>
      </c>
      <c r="R1652" s="25">
        <f t="shared" si="206"/>
        <v>111004.04999999997</v>
      </c>
      <c r="S1652" s="26">
        <f t="shared" si="207"/>
        <v>0.47700117466922243</v>
      </c>
    </row>
    <row r="1653" spans="1:19" ht="15" x14ac:dyDescent="0.2">
      <c r="A1653" s="23">
        <v>46091</v>
      </c>
      <c r="B1653">
        <f t="shared" si="200"/>
        <v>2026</v>
      </c>
      <c r="C1653">
        <f t="shared" si="201"/>
        <v>3</v>
      </c>
      <c r="D1653" t="str">
        <f t="shared" si="202"/>
        <v>Marzo</v>
      </c>
      <c r="E1653" t="str">
        <f t="shared" si="203"/>
        <v>T1</v>
      </c>
      <c r="F1653" t="s">
        <v>1780</v>
      </c>
      <c r="G1653" t="s">
        <v>114</v>
      </c>
      <c r="H1653" t="s">
        <v>75</v>
      </c>
      <c r="I1653" t="s">
        <v>115</v>
      </c>
      <c r="J1653" t="s">
        <v>70</v>
      </c>
      <c r="K1653" t="s">
        <v>84</v>
      </c>
      <c r="L1653" t="s">
        <v>147</v>
      </c>
      <c r="M1653" s="24">
        <v>3</v>
      </c>
      <c r="N1653" s="25">
        <v>89910.78</v>
      </c>
      <c r="O1653" s="25">
        <f t="shared" si="204"/>
        <v>269732.33999999997</v>
      </c>
      <c r="P1653" s="25">
        <v>64658.96</v>
      </c>
      <c r="Q1653" s="25">
        <f t="shared" si="205"/>
        <v>193976.88</v>
      </c>
      <c r="R1653" s="25">
        <f t="shared" si="206"/>
        <v>75755.459999999963</v>
      </c>
      <c r="S1653" s="26">
        <f t="shared" si="207"/>
        <v>0.28085419790596844</v>
      </c>
    </row>
    <row r="1654" spans="1:19" ht="15" x14ac:dyDescent="0.2">
      <c r="A1654" s="23">
        <v>46091</v>
      </c>
      <c r="B1654">
        <f t="shared" si="200"/>
        <v>2026</v>
      </c>
      <c r="C1654">
        <f t="shared" si="201"/>
        <v>3</v>
      </c>
      <c r="D1654" t="str">
        <f t="shared" si="202"/>
        <v>Marzo</v>
      </c>
      <c r="E1654" t="str">
        <f t="shared" si="203"/>
        <v>T1</v>
      </c>
      <c r="F1654" t="s">
        <v>1781</v>
      </c>
      <c r="G1654" t="s">
        <v>144</v>
      </c>
      <c r="H1654" t="s">
        <v>88</v>
      </c>
      <c r="I1654" t="s">
        <v>145</v>
      </c>
      <c r="J1654" t="s">
        <v>64</v>
      </c>
      <c r="K1654" t="s">
        <v>65</v>
      </c>
      <c r="L1654" t="s">
        <v>66</v>
      </c>
      <c r="M1654" s="24">
        <v>5</v>
      </c>
      <c r="N1654" s="25">
        <v>12673.5</v>
      </c>
      <c r="O1654" s="25">
        <f t="shared" si="204"/>
        <v>63367.5</v>
      </c>
      <c r="P1654" s="25">
        <v>7217.39</v>
      </c>
      <c r="Q1654" s="25">
        <f t="shared" si="205"/>
        <v>36086.950000000004</v>
      </c>
      <c r="R1654" s="25">
        <f t="shared" si="206"/>
        <v>27280.549999999996</v>
      </c>
      <c r="S1654" s="26">
        <f t="shared" si="207"/>
        <v>0.43051327573282827</v>
      </c>
    </row>
    <row r="1655" spans="1:19" ht="15" x14ac:dyDescent="0.2">
      <c r="A1655" s="23">
        <v>46091</v>
      </c>
      <c r="B1655">
        <f t="shared" si="200"/>
        <v>2026</v>
      </c>
      <c r="C1655">
        <f t="shared" si="201"/>
        <v>3</v>
      </c>
      <c r="D1655" t="str">
        <f t="shared" si="202"/>
        <v>Marzo</v>
      </c>
      <c r="E1655" t="str">
        <f t="shared" si="203"/>
        <v>T1</v>
      </c>
      <c r="F1655" t="s">
        <v>1782</v>
      </c>
      <c r="G1655" t="s">
        <v>92</v>
      </c>
      <c r="H1655" t="s">
        <v>93</v>
      </c>
      <c r="I1655" t="s">
        <v>94</v>
      </c>
      <c r="J1655" t="s">
        <v>70</v>
      </c>
      <c r="K1655" t="s">
        <v>84</v>
      </c>
      <c r="L1655" t="s">
        <v>85</v>
      </c>
      <c r="M1655" s="24">
        <v>8</v>
      </c>
      <c r="N1655" s="25">
        <v>20098.84</v>
      </c>
      <c r="O1655" s="25">
        <f t="shared" si="204"/>
        <v>160790.72</v>
      </c>
      <c r="P1655" s="25">
        <v>12311.87</v>
      </c>
      <c r="Q1655" s="25">
        <f t="shared" si="205"/>
        <v>98494.96</v>
      </c>
      <c r="R1655" s="25">
        <f t="shared" si="206"/>
        <v>62295.759999999995</v>
      </c>
      <c r="S1655" s="26">
        <f t="shared" si="207"/>
        <v>0.3874338021497758</v>
      </c>
    </row>
    <row r="1656" spans="1:19" ht="15" x14ac:dyDescent="0.2">
      <c r="A1656" s="23">
        <v>46091</v>
      </c>
      <c r="B1656">
        <f t="shared" si="200"/>
        <v>2026</v>
      </c>
      <c r="C1656">
        <f t="shared" si="201"/>
        <v>3</v>
      </c>
      <c r="D1656" t="str">
        <f t="shared" si="202"/>
        <v>Marzo</v>
      </c>
      <c r="E1656" t="str">
        <f t="shared" si="203"/>
        <v>T1</v>
      </c>
      <c r="F1656" t="s">
        <v>1783</v>
      </c>
      <c r="G1656" t="s">
        <v>92</v>
      </c>
      <c r="H1656" t="s">
        <v>93</v>
      </c>
      <c r="I1656" t="s">
        <v>94</v>
      </c>
      <c r="J1656" t="s">
        <v>70</v>
      </c>
      <c r="K1656" t="s">
        <v>71</v>
      </c>
      <c r="L1656" t="s">
        <v>90</v>
      </c>
      <c r="M1656" s="24">
        <v>6</v>
      </c>
      <c r="N1656" s="25">
        <v>18620.46</v>
      </c>
      <c r="O1656" s="25">
        <f t="shared" si="204"/>
        <v>111722.76</v>
      </c>
      <c r="P1656" s="25">
        <v>11798.44</v>
      </c>
      <c r="Q1656" s="25">
        <f t="shared" si="205"/>
        <v>70790.64</v>
      </c>
      <c r="R1656" s="25">
        <f t="shared" si="206"/>
        <v>40932.119999999995</v>
      </c>
      <c r="S1656" s="26">
        <f t="shared" si="207"/>
        <v>0.36637225933193912</v>
      </c>
    </row>
    <row r="1657" spans="1:19" ht="15" x14ac:dyDescent="0.2">
      <c r="A1657" s="23">
        <v>46092</v>
      </c>
      <c r="B1657">
        <f t="shared" si="200"/>
        <v>2026</v>
      </c>
      <c r="C1657">
        <f t="shared" si="201"/>
        <v>3</v>
      </c>
      <c r="D1657" t="str">
        <f t="shared" si="202"/>
        <v>Marzo</v>
      </c>
      <c r="E1657" t="str">
        <f t="shared" si="203"/>
        <v>T1</v>
      </c>
      <c r="F1657" t="s">
        <v>1784</v>
      </c>
      <c r="G1657" t="s">
        <v>54</v>
      </c>
      <c r="H1657" t="s">
        <v>55</v>
      </c>
      <c r="I1657" t="s">
        <v>56</v>
      </c>
      <c r="J1657" t="s">
        <v>77</v>
      </c>
      <c r="K1657" t="s">
        <v>107</v>
      </c>
      <c r="L1657" t="s">
        <v>108</v>
      </c>
      <c r="M1657" s="24">
        <v>27</v>
      </c>
      <c r="N1657" s="25">
        <v>55532.09</v>
      </c>
      <c r="O1657" s="25">
        <f t="shared" si="204"/>
        <v>1499366.43</v>
      </c>
      <c r="P1657" s="25">
        <v>41759.01</v>
      </c>
      <c r="Q1657" s="25">
        <f t="shared" si="205"/>
        <v>1127493.27</v>
      </c>
      <c r="R1657" s="25">
        <f t="shared" si="206"/>
        <v>371873.15999999992</v>
      </c>
      <c r="S1657" s="26">
        <f t="shared" si="207"/>
        <v>0.24802019877155709</v>
      </c>
    </row>
    <row r="1658" spans="1:19" ht="15" x14ac:dyDescent="0.2">
      <c r="A1658" s="23">
        <v>46092</v>
      </c>
      <c r="B1658">
        <f t="shared" si="200"/>
        <v>2026</v>
      </c>
      <c r="C1658">
        <f t="shared" si="201"/>
        <v>3</v>
      </c>
      <c r="D1658" t="str">
        <f t="shared" si="202"/>
        <v>Marzo</v>
      </c>
      <c r="E1658" t="str">
        <f t="shared" si="203"/>
        <v>T1</v>
      </c>
      <c r="F1658" t="s">
        <v>1785</v>
      </c>
      <c r="G1658" t="s">
        <v>114</v>
      </c>
      <c r="H1658" t="s">
        <v>75</v>
      </c>
      <c r="I1658" t="s">
        <v>115</v>
      </c>
      <c r="J1658" t="s">
        <v>70</v>
      </c>
      <c r="K1658" t="s">
        <v>71</v>
      </c>
      <c r="L1658" t="s">
        <v>72</v>
      </c>
      <c r="M1658" s="24">
        <v>2</v>
      </c>
      <c r="N1658" s="25">
        <v>107659.01</v>
      </c>
      <c r="O1658" s="25">
        <f t="shared" si="204"/>
        <v>215318.02</v>
      </c>
      <c r="P1658" s="25">
        <v>76931.31</v>
      </c>
      <c r="Q1658" s="25">
        <f t="shared" si="205"/>
        <v>153862.62</v>
      </c>
      <c r="R1658" s="25">
        <f t="shared" si="206"/>
        <v>61455.399999999994</v>
      </c>
      <c r="S1658" s="26">
        <f t="shared" si="207"/>
        <v>0.28541689172137102</v>
      </c>
    </row>
    <row r="1659" spans="1:19" ht="15" x14ac:dyDescent="0.2">
      <c r="A1659" s="23">
        <v>46092</v>
      </c>
      <c r="B1659">
        <f t="shared" si="200"/>
        <v>2026</v>
      </c>
      <c r="C1659">
        <f t="shared" si="201"/>
        <v>3</v>
      </c>
      <c r="D1659" t="str">
        <f t="shared" si="202"/>
        <v>Marzo</v>
      </c>
      <c r="E1659" t="str">
        <f t="shared" si="203"/>
        <v>T1</v>
      </c>
      <c r="F1659" t="s">
        <v>1786</v>
      </c>
      <c r="G1659" t="s">
        <v>87</v>
      </c>
      <c r="H1659" t="s">
        <v>88</v>
      </c>
      <c r="I1659" t="s">
        <v>89</v>
      </c>
      <c r="J1659" t="s">
        <v>125</v>
      </c>
      <c r="K1659" t="s">
        <v>138</v>
      </c>
      <c r="L1659" t="s">
        <v>139</v>
      </c>
      <c r="M1659" s="24">
        <v>5</v>
      </c>
      <c r="N1659" s="25">
        <v>62441.89</v>
      </c>
      <c r="O1659" s="25">
        <f t="shared" si="204"/>
        <v>312209.45</v>
      </c>
      <c r="P1659" s="25">
        <v>33776.69</v>
      </c>
      <c r="Q1659" s="25">
        <f t="shared" si="205"/>
        <v>168883.45</v>
      </c>
      <c r="R1659" s="25">
        <f t="shared" si="206"/>
        <v>143326</v>
      </c>
      <c r="S1659" s="26">
        <f t="shared" si="207"/>
        <v>0.45907002494639415</v>
      </c>
    </row>
    <row r="1660" spans="1:19" ht="15" x14ac:dyDescent="0.2">
      <c r="A1660" s="23">
        <v>46092</v>
      </c>
      <c r="B1660">
        <f t="shared" si="200"/>
        <v>2026</v>
      </c>
      <c r="C1660">
        <f t="shared" si="201"/>
        <v>3</v>
      </c>
      <c r="D1660" t="str">
        <f t="shared" si="202"/>
        <v>Marzo</v>
      </c>
      <c r="E1660" t="str">
        <f t="shared" si="203"/>
        <v>T1</v>
      </c>
      <c r="F1660" t="s">
        <v>1787</v>
      </c>
      <c r="G1660" t="s">
        <v>149</v>
      </c>
      <c r="H1660" t="s">
        <v>93</v>
      </c>
      <c r="I1660" t="s">
        <v>150</v>
      </c>
      <c r="J1660" t="s">
        <v>57</v>
      </c>
      <c r="K1660" t="s">
        <v>58</v>
      </c>
      <c r="L1660" t="s">
        <v>162</v>
      </c>
      <c r="M1660" s="24">
        <v>3</v>
      </c>
      <c r="N1660" s="25">
        <v>47613.279999999999</v>
      </c>
      <c r="O1660" s="25">
        <f t="shared" si="204"/>
        <v>142839.84</v>
      </c>
      <c r="P1660" s="25">
        <v>27482.92</v>
      </c>
      <c r="Q1660" s="25">
        <f t="shared" si="205"/>
        <v>82448.759999999995</v>
      </c>
      <c r="R1660" s="25">
        <f t="shared" si="206"/>
        <v>60391.08</v>
      </c>
      <c r="S1660" s="26">
        <f t="shared" si="207"/>
        <v>0.42278876817560146</v>
      </c>
    </row>
    <row r="1661" spans="1:19" ht="15" x14ac:dyDescent="0.2">
      <c r="A1661" s="23">
        <v>46092</v>
      </c>
      <c r="B1661">
        <f t="shared" si="200"/>
        <v>2026</v>
      </c>
      <c r="C1661">
        <f t="shared" si="201"/>
        <v>3</v>
      </c>
      <c r="D1661" t="str">
        <f t="shared" si="202"/>
        <v>Marzo</v>
      </c>
      <c r="E1661" t="str">
        <f t="shared" si="203"/>
        <v>T1</v>
      </c>
      <c r="F1661" t="s">
        <v>1788</v>
      </c>
      <c r="G1661" t="s">
        <v>92</v>
      </c>
      <c r="H1661" t="s">
        <v>93</v>
      </c>
      <c r="I1661" t="s">
        <v>94</v>
      </c>
      <c r="J1661" t="s">
        <v>57</v>
      </c>
      <c r="K1661" t="s">
        <v>58</v>
      </c>
      <c r="L1661" t="s">
        <v>59</v>
      </c>
      <c r="M1661" s="24">
        <v>4</v>
      </c>
      <c r="N1661" s="25">
        <v>19881.66</v>
      </c>
      <c r="O1661" s="25">
        <f t="shared" si="204"/>
        <v>79526.64</v>
      </c>
      <c r="P1661" s="25">
        <v>11553.11</v>
      </c>
      <c r="Q1661" s="25">
        <f t="shared" si="205"/>
        <v>46212.44</v>
      </c>
      <c r="R1661" s="25">
        <f t="shared" si="206"/>
        <v>33314.199999999997</v>
      </c>
      <c r="S1661" s="26">
        <f t="shared" si="207"/>
        <v>0.41890616779484202</v>
      </c>
    </row>
    <row r="1662" spans="1:19" ht="15" x14ac:dyDescent="0.2">
      <c r="A1662" s="23">
        <v>46093</v>
      </c>
      <c r="B1662">
        <f t="shared" si="200"/>
        <v>2026</v>
      </c>
      <c r="C1662">
        <f t="shared" si="201"/>
        <v>3</v>
      </c>
      <c r="D1662" t="str">
        <f t="shared" si="202"/>
        <v>Marzo</v>
      </c>
      <c r="E1662" t="str">
        <f t="shared" si="203"/>
        <v>T1</v>
      </c>
      <c r="F1662" t="s">
        <v>1789</v>
      </c>
      <c r="G1662" t="s">
        <v>282</v>
      </c>
      <c r="H1662" t="s">
        <v>55</v>
      </c>
      <c r="I1662" t="s">
        <v>56</v>
      </c>
      <c r="J1662" t="s">
        <v>125</v>
      </c>
      <c r="K1662" t="s">
        <v>138</v>
      </c>
      <c r="L1662" t="s">
        <v>142</v>
      </c>
      <c r="M1662" s="24">
        <v>2</v>
      </c>
      <c r="N1662" s="25">
        <v>576244.36</v>
      </c>
      <c r="O1662" s="25">
        <f t="shared" si="204"/>
        <v>1152488.72</v>
      </c>
      <c r="P1662" s="25">
        <v>445243.15</v>
      </c>
      <c r="Q1662" s="25">
        <f t="shared" si="205"/>
        <v>890486.3</v>
      </c>
      <c r="R1662" s="25">
        <f t="shared" si="206"/>
        <v>262002.41999999993</v>
      </c>
      <c r="S1662" s="26">
        <f t="shared" si="207"/>
        <v>0.22733621201949805</v>
      </c>
    </row>
    <row r="1663" spans="1:19" ht="15" x14ac:dyDescent="0.2">
      <c r="A1663" s="23">
        <v>46093</v>
      </c>
      <c r="B1663">
        <f t="shared" si="200"/>
        <v>2026</v>
      </c>
      <c r="C1663">
        <f t="shared" si="201"/>
        <v>3</v>
      </c>
      <c r="D1663" t="str">
        <f t="shared" si="202"/>
        <v>Marzo</v>
      </c>
      <c r="E1663" t="str">
        <f t="shared" si="203"/>
        <v>T1</v>
      </c>
      <c r="F1663" t="s">
        <v>1790</v>
      </c>
      <c r="G1663" t="s">
        <v>54</v>
      </c>
      <c r="H1663" t="s">
        <v>55</v>
      </c>
      <c r="I1663" t="s">
        <v>56</v>
      </c>
      <c r="J1663" t="s">
        <v>70</v>
      </c>
      <c r="K1663" t="s">
        <v>71</v>
      </c>
      <c r="L1663" t="s">
        <v>72</v>
      </c>
      <c r="M1663" s="24">
        <v>5</v>
      </c>
      <c r="N1663" s="25">
        <v>54866.720000000001</v>
      </c>
      <c r="O1663" s="25">
        <f t="shared" si="204"/>
        <v>274333.59999999998</v>
      </c>
      <c r="P1663" s="25">
        <v>45247.839999999997</v>
      </c>
      <c r="Q1663" s="25">
        <f t="shared" si="205"/>
        <v>226239.19999999998</v>
      </c>
      <c r="R1663" s="25">
        <f t="shared" si="206"/>
        <v>48094.399999999994</v>
      </c>
      <c r="S1663" s="26">
        <f t="shared" si="207"/>
        <v>0.17531355984101107</v>
      </c>
    </row>
    <row r="1664" spans="1:19" ht="15" x14ac:dyDescent="0.2">
      <c r="A1664" s="23">
        <v>46093</v>
      </c>
      <c r="B1664">
        <f t="shared" si="200"/>
        <v>2026</v>
      </c>
      <c r="C1664">
        <f t="shared" si="201"/>
        <v>3</v>
      </c>
      <c r="D1664" t="str">
        <f t="shared" si="202"/>
        <v>Marzo</v>
      </c>
      <c r="E1664" t="str">
        <f t="shared" si="203"/>
        <v>T1</v>
      </c>
      <c r="F1664" t="s">
        <v>1791</v>
      </c>
      <c r="G1664" t="s">
        <v>110</v>
      </c>
      <c r="H1664" t="s">
        <v>62</v>
      </c>
      <c r="I1664" t="s">
        <v>69</v>
      </c>
      <c r="J1664" t="s">
        <v>64</v>
      </c>
      <c r="K1664" t="s">
        <v>65</v>
      </c>
      <c r="L1664" t="s">
        <v>123</v>
      </c>
      <c r="M1664" s="24">
        <v>121</v>
      </c>
      <c r="N1664" s="25">
        <v>6503.71</v>
      </c>
      <c r="O1664" s="25">
        <f t="shared" si="204"/>
        <v>786948.91</v>
      </c>
      <c r="P1664" s="25">
        <v>5387.89</v>
      </c>
      <c r="Q1664" s="25">
        <f t="shared" si="205"/>
        <v>651934.69000000006</v>
      </c>
      <c r="R1664" s="25">
        <f t="shared" si="206"/>
        <v>135014.21999999997</v>
      </c>
      <c r="S1664" s="26">
        <f t="shared" si="207"/>
        <v>0.17156669039671199</v>
      </c>
    </row>
    <row r="1665" spans="1:19" ht="15" x14ac:dyDescent="0.2">
      <c r="A1665" s="23">
        <v>46093</v>
      </c>
      <c r="B1665">
        <f t="shared" si="200"/>
        <v>2026</v>
      </c>
      <c r="C1665">
        <f t="shared" si="201"/>
        <v>3</v>
      </c>
      <c r="D1665" t="str">
        <f t="shared" si="202"/>
        <v>Marzo</v>
      </c>
      <c r="E1665" t="str">
        <f t="shared" si="203"/>
        <v>T1</v>
      </c>
      <c r="F1665" t="s">
        <v>1792</v>
      </c>
      <c r="G1665" t="s">
        <v>105</v>
      </c>
      <c r="H1665" t="s">
        <v>62</v>
      </c>
      <c r="I1665" t="s">
        <v>106</v>
      </c>
      <c r="J1665" t="s">
        <v>77</v>
      </c>
      <c r="K1665" t="s">
        <v>78</v>
      </c>
      <c r="L1665" t="s">
        <v>79</v>
      </c>
      <c r="M1665" s="24">
        <v>204</v>
      </c>
      <c r="N1665" s="25">
        <v>1871.51</v>
      </c>
      <c r="O1665" s="25">
        <f t="shared" si="204"/>
        <v>381788.04</v>
      </c>
      <c r="P1665" s="25">
        <v>1502.77</v>
      </c>
      <c r="Q1665" s="25">
        <f t="shared" si="205"/>
        <v>306565.08</v>
      </c>
      <c r="R1665" s="25">
        <f t="shared" si="206"/>
        <v>75222.959999999963</v>
      </c>
      <c r="S1665" s="26">
        <f t="shared" si="207"/>
        <v>0.19702806824435876</v>
      </c>
    </row>
    <row r="1666" spans="1:19" ht="15" x14ac:dyDescent="0.2">
      <c r="A1666" s="23">
        <v>46093</v>
      </c>
      <c r="B1666">
        <f t="shared" ref="B1666:B1729" si="208">YEAR($A1666)</f>
        <v>2026</v>
      </c>
      <c r="C1666">
        <f t="shared" ref="C1666:C1729" si="209">MONTH($A1666)</f>
        <v>3</v>
      </c>
      <c r="D1666" t="str">
        <f t="shared" ref="D1666:D1729" si="210">INDEX(lst_Meses,MONTH($A1666))</f>
        <v>Marzo</v>
      </c>
      <c r="E1666" t="str">
        <f t="shared" ref="E1666:E1729" si="211">"T"&amp;ROUNDUP(MONTH($A1666)/3,0)</f>
        <v>T1</v>
      </c>
      <c r="F1666" t="s">
        <v>1793</v>
      </c>
      <c r="G1666" t="s">
        <v>74</v>
      </c>
      <c r="H1666" t="s">
        <v>75</v>
      </c>
      <c r="I1666" t="s">
        <v>76</v>
      </c>
      <c r="J1666" t="s">
        <v>125</v>
      </c>
      <c r="K1666" t="s">
        <v>138</v>
      </c>
      <c r="L1666" t="s">
        <v>142</v>
      </c>
      <c r="M1666" s="24">
        <v>9</v>
      </c>
      <c r="N1666" s="25">
        <v>43687.92</v>
      </c>
      <c r="O1666" s="25">
        <f t="shared" ref="O1666:O1729" si="212">$M1666*$N1666</f>
        <v>393191.27999999997</v>
      </c>
      <c r="P1666" s="25">
        <v>29271.48</v>
      </c>
      <c r="Q1666" s="25">
        <f t="shared" ref="Q1666:Q1729" si="213">$M1666*$P1666</f>
        <v>263443.32</v>
      </c>
      <c r="R1666" s="25">
        <f t="shared" ref="R1666:R1729" si="214">$O1666-$Q1666</f>
        <v>129747.95999999996</v>
      </c>
      <c r="S1666" s="26">
        <f t="shared" ref="S1666:S1729" si="215">IFERROR($R1666/$O1666,0)</f>
        <v>0.32998687051248943</v>
      </c>
    </row>
    <row r="1667" spans="1:19" ht="15" x14ac:dyDescent="0.2">
      <c r="A1667" s="23">
        <v>46093</v>
      </c>
      <c r="B1667">
        <f t="shared" si="208"/>
        <v>2026</v>
      </c>
      <c r="C1667">
        <f t="shared" si="209"/>
        <v>3</v>
      </c>
      <c r="D1667" t="str">
        <f t="shared" si="210"/>
        <v>Marzo</v>
      </c>
      <c r="E1667" t="str">
        <f t="shared" si="211"/>
        <v>T1</v>
      </c>
      <c r="F1667" t="s">
        <v>1794</v>
      </c>
      <c r="G1667" t="s">
        <v>74</v>
      </c>
      <c r="H1667" t="s">
        <v>75</v>
      </c>
      <c r="I1667" t="s">
        <v>76</v>
      </c>
      <c r="J1667" t="s">
        <v>70</v>
      </c>
      <c r="K1667" t="s">
        <v>71</v>
      </c>
      <c r="L1667" t="s">
        <v>72</v>
      </c>
      <c r="M1667" s="24">
        <v>4</v>
      </c>
      <c r="N1667" s="25">
        <v>36852.080000000002</v>
      </c>
      <c r="O1667" s="25">
        <f t="shared" si="212"/>
        <v>147408.32000000001</v>
      </c>
      <c r="P1667" s="25">
        <v>26874.32</v>
      </c>
      <c r="Q1667" s="25">
        <f t="shared" si="213"/>
        <v>107497.28</v>
      </c>
      <c r="R1667" s="25">
        <f t="shared" si="214"/>
        <v>39911.040000000008</v>
      </c>
      <c r="S1667" s="26">
        <f t="shared" si="215"/>
        <v>0.27075161022118699</v>
      </c>
    </row>
    <row r="1668" spans="1:19" ht="15" x14ac:dyDescent="0.2">
      <c r="A1668" s="23">
        <v>46094</v>
      </c>
      <c r="B1668">
        <f t="shared" si="208"/>
        <v>2026</v>
      </c>
      <c r="C1668">
        <f t="shared" si="209"/>
        <v>3</v>
      </c>
      <c r="D1668" t="str">
        <f t="shared" si="210"/>
        <v>Marzo</v>
      </c>
      <c r="E1668" t="str">
        <f t="shared" si="211"/>
        <v>T1</v>
      </c>
      <c r="F1668" t="s">
        <v>1795</v>
      </c>
      <c r="G1668" t="s">
        <v>54</v>
      </c>
      <c r="H1668" t="s">
        <v>55</v>
      </c>
      <c r="I1668" t="s">
        <v>56</v>
      </c>
      <c r="J1668" t="s">
        <v>70</v>
      </c>
      <c r="K1668" t="s">
        <v>84</v>
      </c>
      <c r="L1668" t="s">
        <v>85</v>
      </c>
      <c r="M1668" s="24">
        <v>5</v>
      </c>
      <c r="N1668" s="25">
        <v>55367.95</v>
      </c>
      <c r="O1668" s="25">
        <f t="shared" si="212"/>
        <v>276839.75</v>
      </c>
      <c r="P1668" s="25">
        <v>45141.760000000002</v>
      </c>
      <c r="Q1668" s="25">
        <f t="shared" si="213"/>
        <v>225708.80000000002</v>
      </c>
      <c r="R1668" s="25">
        <f t="shared" si="214"/>
        <v>51130.949999999983</v>
      </c>
      <c r="S1668" s="26">
        <f t="shared" si="215"/>
        <v>0.18469511694039595</v>
      </c>
    </row>
    <row r="1669" spans="1:19" ht="15" x14ac:dyDescent="0.2">
      <c r="A1669" s="23">
        <v>46094</v>
      </c>
      <c r="B1669">
        <f t="shared" si="208"/>
        <v>2026</v>
      </c>
      <c r="C1669">
        <f t="shared" si="209"/>
        <v>3</v>
      </c>
      <c r="D1669" t="str">
        <f t="shared" si="210"/>
        <v>Marzo</v>
      </c>
      <c r="E1669" t="str">
        <f t="shared" si="211"/>
        <v>T1</v>
      </c>
      <c r="F1669" t="s">
        <v>1796</v>
      </c>
      <c r="G1669" t="s">
        <v>54</v>
      </c>
      <c r="H1669" t="s">
        <v>55</v>
      </c>
      <c r="I1669" t="s">
        <v>56</v>
      </c>
      <c r="J1669" t="s">
        <v>70</v>
      </c>
      <c r="K1669" t="s">
        <v>71</v>
      </c>
      <c r="L1669" t="s">
        <v>72</v>
      </c>
      <c r="M1669" s="24">
        <v>7</v>
      </c>
      <c r="N1669" s="25">
        <v>50922.06</v>
      </c>
      <c r="O1669" s="25">
        <f t="shared" si="212"/>
        <v>356454.42</v>
      </c>
      <c r="P1669" s="25">
        <v>41924.879999999997</v>
      </c>
      <c r="Q1669" s="25">
        <f t="shared" si="213"/>
        <v>293474.15999999997</v>
      </c>
      <c r="R1669" s="25">
        <f t="shared" si="214"/>
        <v>62980.260000000009</v>
      </c>
      <c r="S1669" s="26">
        <f t="shared" si="215"/>
        <v>0.17668531084563355</v>
      </c>
    </row>
    <row r="1670" spans="1:19" ht="15" x14ac:dyDescent="0.2">
      <c r="A1670" s="23">
        <v>46094</v>
      </c>
      <c r="B1670">
        <f t="shared" si="208"/>
        <v>2026</v>
      </c>
      <c r="C1670">
        <f t="shared" si="209"/>
        <v>3</v>
      </c>
      <c r="D1670" t="str">
        <f t="shared" si="210"/>
        <v>Marzo</v>
      </c>
      <c r="E1670" t="str">
        <f t="shared" si="211"/>
        <v>T1</v>
      </c>
      <c r="F1670" t="s">
        <v>1797</v>
      </c>
      <c r="G1670" t="s">
        <v>74</v>
      </c>
      <c r="H1670" t="s">
        <v>75</v>
      </c>
      <c r="I1670" t="s">
        <v>76</v>
      </c>
      <c r="J1670" t="s">
        <v>125</v>
      </c>
      <c r="K1670" t="s">
        <v>126</v>
      </c>
      <c r="L1670" t="s">
        <v>131</v>
      </c>
      <c r="M1670" s="24">
        <v>4</v>
      </c>
      <c r="N1670" s="25">
        <v>40308.589999999997</v>
      </c>
      <c r="O1670" s="25">
        <f t="shared" si="212"/>
        <v>161234.35999999999</v>
      </c>
      <c r="P1670" s="25">
        <v>27736.99</v>
      </c>
      <c r="Q1670" s="25">
        <f t="shared" si="213"/>
        <v>110947.96</v>
      </c>
      <c r="R1670" s="25">
        <f t="shared" si="214"/>
        <v>50286.39999999998</v>
      </c>
      <c r="S1670" s="26">
        <f t="shared" si="215"/>
        <v>0.31188389373083991</v>
      </c>
    </row>
    <row r="1671" spans="1:19" ht="15" x14ac:dyDescent="0.2">
      <c r="A1671" s="23">
        <v>46094</v>
      </c>
      <c r="B1671">
        <f t="shared" si="208"/>
        <v>2026</v>
      </c>
      <c r="C1671">
        <f t="shared" si="209"/>
        <v>3</v>
      </c>
      <c r="D1671" t="str">
        <f t="shared" si="210"/>
        <v>Marzo</v>
      </c>
      <c r="E1671" t="str">
        <f t="shared" si="211"/>
        <v>T1</v>
      </c>
      <c r="F1671" t="s">
        <v>1798</v>
      </c>
      <c r="G1671" t="s">
        <v>114</v>
      </c>
      <c r="H1671" t="s">
        <v>75</v>
      </c>
      <c r="I1671" t="s">
        <v>115</v>
      </c>
      <c r="J1671" t="s">
        <v>70</v>
      </c>
      <c r="K1671" t="s">
        <v>84</v>
      </c>
      <c r="L1671" t="s">
        <v>85</v>
      </c>
      <c r="M1671" s="24">
        <v>3</v>
      </c>
      <c r="N1671" s="25">
        <v>91398.3</v>
      </c>
      <c r="O1671" s="25">
        <f t="shared" si="212"/>
        <v>274194.90000000002</v>
      </c>
      <c r="P1671" s="25">
        <v>66442.37</v>
      </c>
      <c r="Q1671" s="25">
        <f t="shared" si="213"/>
        <v>199327.11</v>
      </c>
      <c r="R1671" s="25">
        <f t="shared" si="214"/>
        <v>74867.790000000037</v>
      </c>
      <c r="S1671" s="26">
        <f t="shared" si="215"/>
        <v>0.27304588816203373</v>
      </c>
    </row>
    <row r="1672" spans="1:19" ht="15" x14ac:dyDescent="0.2">
      <c r="A1672" s="23">
        <v>46094</v>
      </c>
      <c r="B1672">
        <f t="shared" si="208"/>
        <v>2026</v>
      </c>
      <c r="C1672">
        <f t="shared" si="209"/>
        <v>3</v>
      </c>
      <c r="D1672" t="str">
        <f t="shared" si="210"/>
        <v>Marzo</v>
      </c>
      <c r="E1672" t="str">
        <f t="shared" si="211"/>
        <v>T1</v>
      </c>
      <c r="F1672" t="s">
        <v>1799</v>
      </c>
      <c r="G1672" t="s">
        <v>188</v>
      </c>
      <c r="H1672" t="s">
        <v>88</v>
      </c>
      <c r="I1672" t="s">
        <v>189</v>
      </c>
      <c r="J1672" t="s">
        <v>64</v>
      </c>
      <c r="K1672" t="s">
        <v>65</v>
      </c>
      <c r="L1672" t="s">
        <v>66</v>
      </c>
      <c r="M1672" s="24">
        <v>11</v>
      </c>
      <c r="N1672" s="25">
        <v>70841.850000000006</v>
      </c>
      <c r="O1672" s="25">
        <f t="shared" si="212"/>
        <v>779260.35000000009</v>
      </c>
      <c r="P1672" s="25">
        <v>40217.449999999997</v>
      </c>
      <c r="Q1672" s="25">
        <f t="shared" si="213"/>
        <v>442391.94999999995</v>
      </c>
      <c r="R1672" s="25">
        <f t="shared" si="214"/>
        <v>336868.40000000014</v>
      </c>
      <c r="S1672" s="26">
        <f t="shared" si="215"/>
        <v>0.43229249377310175</v>
      </c>
    </row>
    <row r="1673" spans="1:19" ht="15" x14ac:dyDescent="0.2">
      <c r="A1673" s="23">
        <v>46094</v>
      </c>
      <c r="B1673">
        <f t="shared" si="208"/>
        <v>2026</v>
      </c>
      <c r="C1673">
        <f t="shared" si="209"/>
        <v>3</v>
      </c>
      <c r="D1673" t="str">
        <f t="shared" si="210"/>
        <v>Marzo</v>
      </c>
      <c r="E1673" t="str">
        <f t="shared" si="211"/>
        <v>T1</v>
      </c>
      <c r="F1673" t="s">
        <v>1800</v>
      </c>
      <c r="G1673" t="s">
        <v>188</v>
      </c>
      <c r="H1673" t="s">
        <v>88</v>
      </c>
      <c r="I1673" t="s">
        <v>189</v>
      </c>
      <c r="J1673" t="s">
        <v>64</v>
      </c>
      <c r="K1673" t="s">
        <v>96</v>
      </c>
      <c r="L1673" t="s">
        <v>97</v>
      </c>
      <c r="M1673" s="24">
        <v>6</v>
      </c>
      <c r="N1673" s="25">
        <v>76595.179999999993</v>
      </c>
      <c r="O1673" s="25">
        <f t="shared" si="212"/>
        <v>459571.07999999996</v>
      </c>
      <c r="P1673" s="25">
        <v>44885.57</v>
      </c>
      <c r="Q1673" s="25">
        <f t="shared" si="213"/>
        <v>269313.42</v>
      </c>
      <c r="R1673" s="25">
        <f t="shared" si="214"/>
        <v>190257.65999999997</v>
      </c>
      <c r="S1673" s="26">
        <f t="shared" si="215"/>
        <v>0.4139896270235281</v>
      </c>
    </row>
    <row r="1674" spans="1:19" ht="15" x14ac:dyDescent="0.2">
      <c r="A1674" s="23">
        <v>46094</v>
      </c>
      <c r="B1674">
        <f t="shared" si="208"/>
        <v>2026</v>
      </c>
      <c r="C1674">
        <f t="shared" si="209"/>
        <v>3</v>
      </c>
      <c r="D1674" t="str">
        <f t="shared" si="210"/>
        <v>Marzo</v>
      </c>
      <c r="E1674" t="str">
        <f t="shared" si="211"/>
        <v>T1</v>
      </c>
      <c r="F1674" t="s">
        <v>1801</v>
      </c>
      <c r="G1674" t="s">
        <v>144</v>
      </c>
      <c r="H1674" t="s">
        <v>88</v>
      </c>
      <c r="I1674" t="s">
        <v>145</v>
      </c>
      <c r="J1674" t="s">
        <v>70</v>
      </c>
      <c r="K1674" t="s">
        <v>71</v>
      </c>
      <c r="L1674" t="s">
        <v>72</v>
      </c>
      <c r="M1674" s="24">
        <v>9</v>
      </c>
      <c r="N1674" s="25">
        <v>12031.01</v>
      </c>
      <c r="O1674" s="25">
        <f t="shared" si="212"/>
        <v>108279.09</v>
      </c>
      <c r="P1674" s="25">
        <v>7241.28</v>
      </c>
      <c r="Q1674" s="25">
        <f t="shared" si="213"/>
        <v>65171.519999999997</v>
      </c>
      <c r="R1674" s="25">
        <f t="shared" si="214"/>
        <v>43107.57</v>
      </c>
      <c r="S1674" s="26">
        <f t="shared" si="215"/>
        <v>0.39811537019751458</v>
      </c>
    </row>
    <row r="1675" spans="1:19" ht="15" x14ac:dyDescent="0.2">
      <c r="A1675" s="23">
        <v>46095</v>
      </c>
      <c r="B1675">
        <f t="shared" si="208"/>
        <v>2026</v>
      </c>
      <c r="C1675">
        <f t="shared" si="209"/>
        <v>3</v>
      </c>
      <c r="D1675" t="str">
        <f t="shared" si="210"/>
        <v>Marzo</v>
      </c>
      <c r="E1675" t="str">
        <f t="shared" si="211"/>
        <v>T1</v>
      </c>
      <c r="F1675" t="s">
        <v>1802</v>
      </c>
      <c r="G1675" t="s">
        <v>54</v>
      </c>
      <c r="H1675" t="s">
        <v>55</v>
      </c>
      <c r="I1675" t="s">
        <v>56</v>
      </c>
      <c r="J1675" t="s">
        <v>64</v>
      </c>
      <c r="K1675" t="s">
        <v>65</v>
      </c>
      <c r="L1675" t="s">
        <v>123</v>
      </c>
      <c r="M1675" s="24">
        <v>22</v>
      </c>
      <c r="N1675" s="25">
        <v>52264.51</v>
      </c>
      <c r="O1675" s="25">
        <f t="shared" si="212"/>
        <v>1149819.22</v>
      </c>
      <c r="P1675" s="25">
        <v>41904.1</v>
      </c>
      <c r="Q1675" s="25">
        <f t="shared" si="213"/>
        <v>921890.2</v>
      </c>
      <c r="R1675" s="25">
        <f t="shared" si="214"/>
        <v>227929.02000000002</v>
      </c>
      <c r="S1675" s="26">
        <f t="shared" si="215"/>
        <v>0.19823030963076094</v>
      </c>
    </row>
    <row r="1676" spans="1:19" ht="15" x14ac:dyDescent="0.2">
      <c r="A1676" s="23">
        <v>46095</v>
      </c>
      <c r="B1676">
        <f t="shared" si="208"/>
        <v>2026</v>
      </c>
      <c r="C1676">
        <f t="shared" si="209"/>
        <v>3</v>
      </c>
      <c r="D1676" t="str">
        <f t="shared" si="210"/>
        <v>Marzo</v>
      </c>
      <c r="E1676" t="str">
        <f t="shared" si="211"/>
        <v>T1</v>
      </c>
      <c r="F1676" t="s">
        <v>1803</v>
      </c>
      <c r="G1676" t="s">
        <v>282</v>
      </c>
      <c r="H1676" t="s">
        <v>55</v>
      </c>
      <c r="I1676" t="s">
        <v>56</v>
      </c>
      <c r="J1676" t="s">
        <v>77</v>
      </c>
      <c r="K1676" t="s">
        <v>78</v>
      </c>
      <c r="L1676" t="s">
        <v>117</v>
      </c>
      <c r="M1676" s="24">
        <v>2</v>
      </c>
      <c r="N1676" s="25">
        <v>548364.75</v>
      </c>
      <c r="O1676" s="25">
        <f t="shared" si="212"/>
        <v>1096729.5</v>
      </c>
      <c r="P1676" s="25">
        <v>424031.52</v>
      </c>
      <c r="Q1676" s="25">
        <f t="shared" si="213"/>
        <v>848063.04</v>
      </c>
      <c r="R1676" s="25">
        <f t="shared" si="214"/>
        <v>248666.45999999996</v>
      </c>
      <c r="S1676" s="26">
        <f t="shared" si="215"/>
        <v>0.22673454119725964</v>
      </c>
    </row>
    <row r="1677" spans="1:19" ht="15" x14ac:dyDescent="0.2">
      <c r="A1677" s="23">
        <v>46095</v>
      </c>
      <c r="B1677">
        <f t="shared" si="208"/>
        <v>2026</v>
      </c>
      <c r="C1677">
        <f t="shared" si="209"/>
        <v>3</v>
      </c>
      <c r="D1677" t="str">
        <f t="shared" si="210"/>
        <v>Marzo</v>
      </c>
      <c r="E1677" t="str">
        <f t="shared" si="211"/>
        <v>T1</v>
      </c>
      <c r="F1677" t="s">
        <v>1804</v>
      </c>
      <c r="G1677" t="s">
        <v>54</v>
      </c>
      <c r="H1677" t="s">
        <v>55</v>
      </c>
      <c r="I1677" t="s">
        <v>56</v>
      </c>
      <c r="J1677" t="s">
        <v>77</v>
      </c>
      <c r="K1677" t="s">
        <v>78</v>
      </c>
      <c r="L1677" t="s">
        <v>79</v>
      </c>
      <c r="M1677" s="24">
        <v>11</v>
      </c>
      <c r="N1677" s="25">
        <v>56934.92</v>
      </c>
      <c r="O1677" s="25">
        <f t="shared" si="212"/>
        <v>626284.12</v>
      </c>
      <c r="P1677" s="25">
        <v>43108.1</v>
      </c>
      <c r="Q1677" s="25">
        <f t="shared" si="213"/>
        <v>474189.1</v>
      </c>
      <c r="R1677" s="25">
        <f t="shared" si="214"/>
        <v>152095.02000000002</v>
      </c>
      <c r="S1677" s="26">
        <f t="shared" si="215"/>
        <v>0.24285306802925166</v>
      </c>
    </row>
    <row r="1678" spans="1:19" ht="15" x14ac:dyDescent="0.2">
      <c r="A1678" s="23">
        <v>46095</v>
      </c>
      <c r="B1678">
        <f t="shared" si="208"/>
        <v>2026</v>
      </c>
      <c r="C1678">
        <f t="shared" si="209"/>
        <v>3</v>
      </c>
      <c r="D1678" t="str">
        <f t="shared" si="210"/>
        <v>Marzo</v>
      </c>
      <c r="E1678" t="str">
        <f t="shared" si="211"/>
        <v>T1</v>
      </c>
      <c r="F1678" t="s">
        <v>1805</v>
      </c>
      <c r="G1678" t="s">
        <v>68</v>
      </c>
      <c r="H1678" t="s">
        <v>62</v>
      </c>
      <c r="I1678" t="s">
        <v>69</v>
      </c>
      <c r="J1678" t="s">
        <v>57</v>
      </c>
      <c r="K1678" t="s">
        <v>81</v>
      </c>
      <c r="L1678" t="s">
        <v>129</v>
      </c>
      <c r="M1678" s="24">
        <v>266</v>
      </c>
      <c r="N1678" s="25">
        <v>3163.15</v>
      </c>
      <c r="O1678" s="25">
        <f t="shared" si="212"/>
        <v>841397.9</v>
      </c>
      <c r="P1678" s="25">
        <v>2603.06</v>
      </c>
      <c r="Q1678" s="25">
        <f t="shared" si="213"/>
        <v>692413.96</v>
      </c>
      <c r="R1678" s="25">
        <f t="shared" si="214"/>
        <v>148983.94000000006</v>
      </c>
      <c r="S1678" s="26">
        <f t="shared" si="215"/>
        <v>0.17706716406114165</v>
      </c>
    </row>
    <row r="1679" spans="1:19" ht="15" x14ac:dyDescent="0.2">
      <c r="A1679" s="23">
        <v>46095</v>
      </c>
      <c r="B1679">
        <f t="shared" si="208"/>
        <v>2026</v>
      </c>
      <c r="C1679">
        <f t="shared" si="209"/>
        <v>3</v>
      </c>
      <c r="D1679" t="str">
        <f t="shared" si="210"/>
        <v>Marzo</v>
      </c>
      <c r="E1679" t="str">
        <f t="shared" si="211"/>
        <v>T1</v>
      </c>
      <c r="F1679" t="s">
        <v>1806</v>
      </c>
      <c r="G1679" t="s">
        <v>100</v>
      </c>
      <c r="H1679" t="s">
        <v>88</v>
      </c>
      <c r="I1679" t="s">
        <v>101</v>
      </c>
      <c r="J1679" t="s">
        <v>77</v>
      </c>
      <c r="K1679" t="s">
        <v>107</v>
      </c>
      <c r="L1679" t="s">
        <v>108</v>
      </c>
      <c r="M1679" s="24">
        <v>13</v>
      </c>
      <c r="N1679" s="25">
        <v>40905.03</v>
      </c>
      <c r="O1679" s="25">
        <f t="shared" si="212"/>
        <v>531765.39</v>
      </c>
      <c r="P1679" s="25">
        <v>21381.99</v>
      </c>
      <c r="Q1679" s="25">
        <f t="shared" si="213"/>
        <v>277965.87</v>
      </c>
      <c r="R1679" s="25">
        <f t="shared" si="214"/>
        <v>253799.52000000002</v>
      </c>
      <c r="S1679" s="26">
        <f t="shared" si="215"/>
        <v>0.4772772443877929</v>
      </c>
    </row>
    <row r="1680" spans="1:19" ht="15" x14ac:dyDescent="0.2">
      <c r="A1680" s="23">
        <v>46095</v>
      </c>
      <c r="B1680">
        <f t="shared" si="208"/>
        <v>2026</v>
      </c>
      <c r="C1680">
        <f t="shared" si="209"/>
        <v>3</v>
      </c>
      <c r="D1680" t="str">
        <f t="shared" si="210"/>
        <v>Marzo</v>
      </c>
      <c r="E1680" t="str">
        <f t="shared" si="211"/>
        <v>T1</v>
      </c>
      <c r="F1680" t="s">
        <v>1807</v>
      </c>
      <c r="G1680" t="s">
        <v>87</v>
      </c>
      <c r="H1680" t="s">
        <v>88</v>
      </c>
      <c r="I1680" t="s">
        <v>89</v>
      </c>
      <c r="J1680" t="s">
        <v>77</v>
      </c>
      <c r="K1680" t="s">
        <v>107</v>
      </c>
      <c r="L1680" t="s">
        <v>108</v>
      </c>
      <c r="M1680" s="24">
        <v>7</v>
      </c>
      <c r="N1680" s="25">
        <v>67457.960000000006</v>
      </c>
      <c r="O1680" s="25">
        <f t="shared" si="212"/>
        <v>472205.72000000003</v>
      </c>
      <c r="P1680" s="25">
        <v>34522.22</v>
      </c>
      <c r="Q1680" s="25">
        <f t="shared" si="213"/>
        <v>241655.54</v>
      </c>
      <c r="R1680" s="25">
        <f t="shared" si="214"/>
        <v>230550.18000000002</v>
      </c>
      <c r="S1680" s="26">
        <f t="shared" si="215"/>
        <v>0.48824097259982369</v>
      </c>
    </row>
    <row r="1681" spans="1:19" ht="15" x14ac:dyDescent="0.2">
      <c r="A1681" s="23">
        <v>46095</v>
      </c>
      <c r="B1681">
        <f t="shared" si="208"/>
        <v>2026</v>
      </c>
      <c r="C1681">
        <f t="shared" si="209"/>
        <v>3</v>
      </c>
      <c r="D1681" t="str">
        <f t="shared" si="210"/>
        <v>Marzo</v>
      </c>
      <c r="E1681" t="str">
        <f t="shared" si="211"/>
        <v>T1</v>
      </c>
      <c r="F1681" t="s">
        <v>1808</v>
      </c>
      <c r="G1681" t="s">
        <v>149</v>
      </c>
      <c r="H1681" t="s">
        <v>93</v>
      </c>
      <c r="I1681" t="s">
        <v>150</v>
      </c>
      <c r="J1681" t="s">
        <v>64</v>
      </c>
      <c r="K1681" t="s">
        <v>65</v>
      </c>
      <c r="L1681" t="s">
        <v>123</v>
      </c>
      <c r="M1681" s="24">
        <v>9</v>
      </c>
      <c r="N1681" s="25">
        <v>40927.68</v>
      </c>
      <c r="O1681" s="25">
        <f t="shared" si="212"/>
        <v>368349.12</v>
      </c>
      <c r="P1681" s="25">
        <v>24722.09</v>
      </c>
      <c r="Q1681" s="25">
        <f t="shared" si="213"/>
        <v>222498.81</v>
      </c>
      <c r="R1681" s="25">
        <f t="shared" si="214"/>
        <v>145850.31</v>
      </c>
      <c r="S1681" s="26">
        <f t="shared" si="215"/>
        <v>0.39595672171009938</v>
      </c>
    </row>
    <row r="1682" spans="1:19" ht="15" x14ac:dyDescent="0.2">
      <c r="A1682" s="23">
        <v>46096</v>
      </c>
      <c r="B1682">
        <f t="shared" si="208"/>
        <v>2026</v>
      </c>
      <c r="C1682">
        <f t="shared" si="209"/>
        <v>3</v>
      </c>
      <c r="D1682" t="str">
        <f t="shared" si="210"/>
        <v>Marzo</v>
      </c>
      <c r="E1682" t="str">
        <f t="shared" si="211"/>
        <v>T1</v>
      </c>
      <c r="F1682" t="s">
        <v>1809</v>
      </c>
      <c r="G1682" t="s">
        <v>282</v>
      </c>
      <c r="H1682" t="s">
        <v>55</v>
      </c>
      <c r="I1682" t="s">
        <v>56</v>
      </c>
      <c r="J1682" t="s">
        <v>57</v>
      </c>
      <c r="K1682" t="s">
        <v>81</v>
      </c>
      <c r="L1682" t="s">
        <v>82</v>
      </c>
      <c r="M1682" s="24">
        <v>2</v>
      </c>
      <c r="N1682" s="25">
        <v>550913.85</v>
      </c>
      <c r="O1682" s="25">
        <f t="shared" si="212"/>
        <v>1101827.7</v>
      </c>
      <c r="P1682" s="25">
        <v>424469.94</v>
      </c>
      <c r="Q1682" s="25">
        <f t="shared" si="213"/>
        <v>848939.88</v>
      </c>
      <c r="R1682" s="25">
        <f t="shared" si="214"/>
        <v>252887.81999999995</v>
      </c>
      <c r="S1682" s="26">
        <f t="shared" si="215"/>
        <v>0.22951666580900076</v>
      </c>
    </row>
    <row r="1683" spans="1:19" ht="15" x14ac:dyDescent="0.2">
      <c r="A1683" s="23">
        <v>46096</v>
      </c>
      <c r="B1683">
        <f t="shared" si="208"/>
        <v>2026</v>
      </c>
      <c r="C1683">
        <f t="shared" si="209"/>
        <v>3</v>
      </c>
      <c r="D1683" t="str">
        <f t="shared" si="210"/>
        <v>Marzo</v>
      </c>
      <c r="E1683" t="str">
        <f t="shared" si="211"/>
        <v>T1</v>
      </c>
      <c r="F1683" t="s">
        <v>1810</v>
      </c>
      <c r="G1683" t="s">
        <v>110</v>
      </c>
      <c r="H1683" t="s">
        <v>62</v>
      </c>
      <c r="I1683" t="s">
        <v>69</v>
      </c>
      <c r="J1683" t="s">
        <v>64</v>
      </c>
      <c r="K1683" t="s">
        <v>96</v>
      </c>
      <c r="L1683" t="s">
        <v>103</v>
      </c>
      <c r="M1683" s="24">
        <v>142</v>
      </c>
      <c r="N1683" s="25">
        <v>6442.54</v>
      </c>
      <c r="O1683" s="25">
        <f t="shared" si="212"/>
        <v>914840.68</v>
      </c>
      <c r="P1683" s="25">
        <v>5408.38</v>
      </c>
      <c r="Q1683" s="25">
        <f t="shared" si="213"/>
        <v>767989.96</v>
      </c>
      <c r="R1683" s="25">
        <f t="shared" si="214"/>
        <v>146850.72000000009</v>
      </c>
      <c r="S1683" s="26">
        <f t="shared" si="215"/>
        <v>0.16052054003545194</v>
      </c>
    </row>
    <row r="1684" spans="1:19" ht="15" x14ac:dyDescent="0.2">
      <c r="A1684" s="23">
        <v>46096</v>
      </c>
      <c r="B1684">
        <f t="shared" si="208"/>
        <v>2026</v>
      </c>
      <c r="C1684">
        <f t="shared" si="209"/>
        <v>3</v>
      </c>
      <c r="D1684" t="str">
        <f t="shared" si="210"/>
        <v>Marzo</v>
      </c>
      <c r="E1684" t="str">
        <f t="shared" si="211"/>
        <v>T1</v>
      </c>
      <c r="F1684" t="s">
        <v>1811</v>
      </c>
      <c r="G1684" t="s">
        <v>105</v>
      </c>
      <c r="H1684" t="s">
        <v>62</v>
      </c>
      <c r="I1684" t="s">
        <v>106</v>
      </c>
      <c r="J1684" t="s">
        <v>57</v>
      </c>
      <c r="K1684" t="s">
        <v>81</v>
      </c>
      <c r="L1684" t="s">
        <v>82</v>
      </c>
      <c r="M1684" s="24">
        <v>369</v>
      </c>
      <c r="N1684" s="25">
        <v>1843.25</v>
      </c>
      <c r="O1684" s="25">
        <f t="shared" si="212"/>
        <v>680159.25</v>
      </c>
      <c r="P1684" s="25">
        <v>1499.5</v>
      </c>
      <c r="Q1684" s="25">
        <f t="shared" si="213"/>
        <v>553315.5</v>
      </c>
      <c r="R1684" s="25">
        <f t="shared" si="214"/>
        <v>126843.75</v>
      </c>
      <c r="S1684" s="26">
        <f t="shared" si="215"/>
        <v>0.18649125186491253</v>
      </c>
    </row>
    <row r="1685" spans="1:19" ht="15" x14ac:dyDescent="0.2">
      <c r="A1685" s="23">
        <v>46096</v>
      </c>
      <c r="B1685">
        <f t="shared" si="208"/>
        <v>2026</v>
      </c>
      <c r="C1685">
        <f t="shared" si="209"/>
        <v>3</v>
      </c>
      <c r="D1685" t="str">
        <f t="shared" si="210"/>
        <v>Marzo</v>
      </c>
      <c r="E1685" t="str">
        <f t="shared" si="211"/>
        <v>T1</v>
      </c>
      <c r="F1685" t="s">
        <v>1812</v>
      </c>
      <c r="G1685" t="s">
        <v>144</v>
      </c>
      <c r="H1685" t="s">
        <v>88</v>
      </c>
      <c r="I1685" t="s">
        <v>145</v>
      </c>
      <c r="J1685" t="s">
        <v>57</v>
      </c>
      <c r="K1685" t="s">
        <v>81</v>
      </c>
      <c r="L1685" t="s">
        <v>82</v>
      </c>
      <c r="M1685" s="24">
        <v>12</v>
      </c>
      <c r="N1685" s="25">
        <v>13593.1</v>
      </c>
      <c r="O1685" s="25">
        <f t="shared" si="212"/>
        <v>163117.20000000001</v>
      </c>
      <c r="P1685" s="25">
        <v>7252.65</v>
      </c>
      <c r="Q1685" s="25">
        <f t="shared" si="213"/>
        <v>87031.799999999988</v>
      </c>
      <c r="R1685" s="25">
        <f t="shared" si="214"/>
        <v>76085.400000000023</v>
      </c>
      <c r="S1685" s="26">
        <f t="shared" si="215"/>
        <v>0.46644621168092648</v>
      </c>
    </row>
    <row r="1686" spans="1:19" ht="15" x14ac:dyDescent="0.2">
      <c r="A1686" s="23">
        <v>46096</v>
      </c>
      <c r="B1686">
        <f t="shared" si="208"/>
        <v>2026</v>
      </c>
      <c r="C1686">
        <f t="shared" si="209"/>
        <v>3</v>
      </c>
      <c r="D1686" t="str">
        <f t="shared" si="210"/>
        <v>Marzo</v>
      </c>
      <c r="E1686" t="str">
        <f t="shared" si="211"/>
        <v>T1</v>
      </c>
      <c r="F1686" t="s">
        <v>1813</v>
      </c>
      <c r="G1686" t="s">
        <v>92</v>
      </c>
      <c r="H1686" t="s">
        <v>93</v>
      </c>
      <c r="I1686" t="s">
        <v>94</v>
      </c>
      <c r="J1686" t="s">
        <v>77</v>
      </c>
      <c r="K1686" t="s">
        <v>78</v>
      </c>
      <c r="L1686" t="s">
        <v>79</v>
      </c>
      <c r="M1686" s="24">
        <v>12</v>
      </c>
      <c r="N1686" s="25">
        <v>20278.2</v>
      </c>
      <c r="O1686" s="25">
        <f t="shared" si="212"/>
        <v>243338.40000000002</v>
      </c>
      <c r="P1686" s="25">
        <v>11510.34</v>
      </c>
      <c r="Q1686" s="25">
        <f t="shared" si="213"/>
        <v>138124.08000000002</v>
      </c>
      <c r="R1686" s="25">
        <f t="shared" si="214"/>
        <v>105214.32</v>
      </c>
      <c r="S1686" s="26">
        <f t="shared" si="215"/>
        <v>0.43237861348640411</v>
      </c>
    </row>
    <row r="1687" spans="1:19" ht="15" x14ac:dyDescent="0.2">
      <c r="A1687" s="23">
        <v>46097</v>
      </c>
      <c r="B1687">
        <f t="shared" si="208"/>
        <v>2026</v>
      </c>
      <c r="C1687">
        <f t="shared" si="209"/>
        <v>3</v>
      </c>
      <c r="D1687" t="str">
        <f t="shared" si="210"/>
        <v>Marzo</v>
      </c>
      <c r="E1687" t="str">
        <f t="shared" si="211"/>
        <v>T1</v>
      </c>
      <c r="F1687" t="s">
        <v>1814</v>
      </c>
      <c r="G1687" t="s">
        <v>183</v>
      </c>
      <c r="H1687" t="s">
        <v>55</v>
      </c>
      <c r="I1687" t="s">
        <v>184</v>
      </c>
      <c r="J1687" t="s">
        <v>77</v>
      </c>
      <c r="K1687" t="s">
        <v>107</v>
      </c>
      <c r="L1687" t="s">
        <v>108</v>
      </c>
      <c r="M1687" s="24">
        <v>2</v>
      </c>
      <c r="N1687" s="25">
        <v>415755.06</v>
      </c>
      <c r="O1687" s="25">
        <f t="shared" si="212"/>
        <v>831510.12</v>
      </c>
      <c r="P1687" s="25">
        <v>311887.31</v>
      </c>
      <c r="Q1687" s="25">
        <f t="shared" si="213"/>
        <v>623774.62</v>
      </c>
      <c r="R1687" s="25">
        <f t="shared" si="214"/>
        <v>207735.5</v>
      </c>
      <c r="S1687" s="26">
        <f t="shared" si="215"/>
        <v>0.24982919029295758</v>
      </c>
    </row>
    <row r="1688" spans="1:19" ht="15" x14ac:dyDescent="0.2">
      <c r="A1688" s="23">
        <v>46097</v>
      </c>
      <c r="B1688">
        <f t="shared" si="208"/>
        <v>2026</v>
      </c>
      <c r="C1688">
        <f t="shared" si="209"/>
        <v>3</v>
      </c>
      <c r="D1688" t="str">
        <f t="shared" si="210"/>
        <v>Marzo</v>
      </c>
      <c r="E1688" t="str">
        <f t="shared" si="211"/>
        <v>T1</v>
      </c>
      <c r="F1688" t="s">
        <v>1815</v>
      </c>
      <c r="G1688" t="s">
        <v>114</v>
      </c>
      <c r="H1688" t="s">
        <v>75</v>
      </c>
      <c r="I1688" t="s">
        <v>115</v>
      </c>
      <c r="J1688" t="s">
        <v>77</v>
      </c>
      <c r="K1688" t="s">
        <v>107</v>
      </c>
      <c r="L1688" t="s">
        <v>112</v>
      </c>
      <c r="M1688" s="24">
        <v>6</v>
      </c>
      <c r="N1688" s="25">
        <v>107233.14</v>
      </c>
      <c r="O1688" s="25">
        <f t="shared" si="212"/>
        <v>643398.84</v>
      </c>
      <c r="P1688" s="25">
        <v>69176.66</v>
      </c>
      <c r="Q1688" s="25">
        <f t="shared" si="213"/>
        <v>415059.96</v>
      </c>
      <c r="R1688" s="25">
        <f t="shared" si="214"/>
        <v>228338.87999999995</v>
      </c>
      <c r="S1688" s="26">
        <f t="shared" si="215"/>
        <v>0.35489476480871485</v>
      </c>
    </row>
    <row r="1689" spans="1:19" ht="15" x14ac:dyDescent="0.2">
      <c r="A1689" s="23">
        <v>46097</v>
      </c>
      <c r="B1689">
        <f t="shared" si="208"/>
        <v>2026</v>
      </c>
      <c r="C1689">
        <f t="shared" si="209"/>
        <v>3</v>
      </c>
      <c r="D1689" t="str">
        <f t="shared" si="210"/>
        <v>Marzo</v>
      </c>
      <c r="E1689" t="str">
        <f t="shared" si="211"/>
        <v>T1</v>
      </c>
      <c r="F1689" t="s">
        <v>1816</v>
      </c>
      <c r="G1689" t="s">
        <v>100</v>
      </c>
      <c r="H1689" t="s">
        <v>88</v>
      </c>
      <c r="I1689" t="s">
        <v>101</v>
      </c>
      <c r="J1689" t="s">
        <v>57</v>
      </c>
      <c r="K1689" t="s">
        <v>58</v>
      </c>
      <c r="L1689" t="s">
        <v>59</v>
      </c>
      <c r="M1689" s="24">
        <v>3</v>
      </c>
      <c r="N1689" s="25">
        <v>43761.32</v>
      </c>
      <c r="O1689" s="25">
        <f t="shared" si="212"/>
        <v>131283.96</v>
      </c>
      <c r="P1689" s="25">
        <v>24228.560000000001</v>
      </c>
      <c r="Q1689" s="25">
        <f t="shared" si="213"/>
        <v>72685.680000000008</v>
      </c>
      <c r="R1689" s="25">
        <f t="shared" si="214"/>
        <v>58598.279999999984</v>
      </c>
      <c r="S1689" s="26">
        <f t="shared" si="215"/>
        <v>0.4463475964618982</v>
      </c>
    </row>
    <row r="1690" spans="1:19" ht="15" x14ac:dyDescent="0.2">
      <c r="A1690" s="23">
        <v>46098</v>
      </c>
      <c r="B1690">
        <f t="shared" si="208"/>
        <v>2026</v>
      </c>
      <c r="C1690">
        <f t="shared" si="209"/>
        <v>3</v>
      </c>
      <c r="D1690" t="str">
        <f t="shared" si="210"/>
        <v>Marzo</v>
      </c>
      <c r="E1690" t="str">
        <f t="shared" si="211"/>
        <v>T1</v>
      </c>
      <c r="F1690" t="s">
        <v>1817</v>
      </c>
      <c r="G1690" t="s">
        <v>87</v>
      </c>
      <c r="H1690" t="s">
        <v>88</v>
      </c>
      <c r="I1690" t="s">
        <v>89</v>
      </c>
      <c r="J1690" t="s">
        <v>57</v>
      </c>
      <c r="K1690" t="s">
        <v>58</v>
      </c>
      <c r="L1690" t="s">
        <v>59</v>
      </c>
      <c r="M1690" s="24">
        <v>3</v>
      </c>
      <c r="N1690" s="25">
        <v>51250.59</v>
      </c>
      <c r="O1690" s="25">
        <f t="shared" si="212"/>
        <v>153751.76999999999</v>
      </c>
      <c r="P1690" s="25">
        <v>29369.63</v>
      </c>
      <c r="Q1690" s="25">
        <f t="shared" si="213"/>
        <v>88108.89</v>
      </c>
      <c r="R1690" s="25">
        <f t="shared" si="214"/>
        <v>65642.87999999999</v>
      </c>
      <c r="S1690" s="26">
        <f t="shared" si="215"/>
        <v>0.42694064595158804</v>
      </c>
    </row>
    <row r="1691" spans="1:19" ht="15" x14ac:dyDescent="0.2">
      <c r="A1691" s="23">
        <v>46098</v>
      </c>
      <c r="B1691">
        <f t="shared" si="208"/>
        <v>2026</v>
      </c>
      <c r="C1691">
        <f t="shared" si="209"/>
        <v>3</v>
      </c>
      <c r="D1691" t="str">
        <f t="shared" si="210"/>
        <v>Marzo</v>
      </c>
      <c r="E1691" t="str">
        <f t="shared" si="211"/>
        <v>T1</v>
      </c>
      <c r="F1691" t="s">
        <v>1818</v>
      </c>
      <c r="G1691" t="s">
        <v>92</v>
      </c>
      <c r="H1691" t="s">
        <v>93</v>
      </c>
      <c r="I1691" t="s">
        <v>94</v>
      </c>
      <c r="J1691" t="s">
        <v>125</v>
      </c>
      <c r="K1691" t="s">
        <v>126</v>
      </c>
      <c r="L1691" t="s">
        <v>131</v>
      </c>
      <c r="M1691" s="24">
        <v>6</v>
      </c>
      <c r="N1691" s="25">
        <v>22153.51</v>
      </c>
      <c r="O1691" s="25">
        <f t="shared" si="212"/>
        <v>132921.06</v>
      </c>
      <c r="P1691" s="25">
        <v>12555.52</v>
      </c>
      <c r="Q1691" s="25">
        <f t="shared" si="213"/>
        <v>75333.119999999995</v>
      </c>
      <c r="R1691" s="25">
        <f t="shared" si="214"/>
        <v>57587.94</v>
      </c>
      <c r="S1691" s="26">
        <f t="shared" si="215"/>
        <v>0.43324917812120972</v>
      </c>
    </row>
    <row r="1692" spans="1:19" ht="15" x14ac:dyDescent="0.2">
      <c r="A1692" s="23">
        <v>46099</v>
      </c>
      <c r="B1692">
        <f t="shared" si="208"/>
        <v>2026</v>
      </c>
      <c r="C1692">
        <f t="shared" si="209"/>
        <v>3</v>
      </c>
      <c r="D1692" t="str">
        <f t="shared" si="210"/>
        <v>Marzo</v>
      </c>
      <c r="E1692" t="str">
        <f t="shared" si="211"/>
        <v>T1</v>
      </c>
      <c r="F1692" t="s">
        <v>1819</v>
      </c>
      <c r="G1692" t="s">
        <v>110</v>
      </c>
      <c r="H1692" t="s">
        <v>62</v>
      </c>
      <c r="I1692" t="s">
        <v>69</v>
      </c>
      <c r="J1692" t="s">
        <v>64</v>
      </c>
      <c r="K1692" t="s">
        <v>65</v>
      </c>
      <c r="L1692" t="s">
        <v>66</v>
      </c>
      <c r="M1692" s="24">
        <v>188</v>
      </c>
      <c r="N1692" s="25">
        <v>6495.36</v>
      </c>
      <c r="O1692" s="25">
        <f t="shared" si="212"/>
        <v>1221127.6799999999</v>
      </c>
      <c r="P1692" s="25">
        <v>5385.94</v>
      </c>
      <c r="Q1692" s="25">
        <f t="shared" si="213"/>
        <v>1012556.72</v>
      </c>
      <c r="R1692" s="25">
        <f t="shared" si="214"/>
        <v>208570.95999999996</v>
      </c>
      <c r="S1692" s="26">
        <f t="shared" si="215"/>
        <v>0.17080192629815744</v>
      </c>
    </row>
    <row r="1693" spans="1:19" ht="15" x14ac:dyDescent="0.2">
      <c r="A1693" s="23">
        <v>46099</v>
      </c>
      <c r="B1693">
        <f t="shared" si="208"/>
        <v>2026</v>
      </c>
      <c r="C1693">
        <f t="shared" si="209"/>
        <v>3</v>
      </c>
      <c r="D1693" t="str">
        <f t="shared" si="210"/>
        <v>Marzo</v>
      </c>
      <c r="E1693" t="str">
        <f t="shared" si="211"/>
        <v>T1</v>
      </c>
      <c r="F1693" t="s">
        <v>1820</v>
      </c>
      <c r="G1693" t="s">
        <v>61</v>
      </c>
      <c r="H1693" t="s">
        <v>62</v>
      </c>
      <c r="I1693" t="s">
        <v>63</v>
      </c>
      <c r="J1693" t="s">
        <v>64</v>
      </c>
      <c r="K1693" t="s">
        <v>65</v>
      </c>
      <c r="L1693" t="s">
        <v>66</v>
      </c>
      <c r="M1693" s="24">
        <v>65</v>
      </c>
      <c r="N1693" s="25">
        <v>5757.6</v>
      </c>
      <c r="O1693" s="25">
        <f t="shared" si="212"/>
        <v>374244</v>
      </c>
      <c r="P1693" s="25">
        <v>4825.96</v>
      </c>
      <c r="Q1693" s="25">
        <f t="shared" si="213"/>
        <v>313687.40000000002</v>
      </c>
      <c r="R1693" s="25">
        <f t="shared" si="214"/>
        <v>60556.599999999977</v>
      </c>
      <c r="S1693" s="26">
        <f t="shared" si="215"/>
        <v>0.16181047658746694</v>
      </c>
    </row>
    <row r="1694" spans="1:19" ht="15" x14ac:dyDescent="0.2">
      <c r="A1694" s="23">
        <v>46099</v>
      </c>
      <c r="B1694">
        <f t="shared" si="208"/>
        <v>2026</v>
      </c>
      <c r="C1694">
        <f t="shared" si="209"/>
        <v>3</v>
      </c>
      <c r="D1694" t="str">
        <f t="shared" si="210"/>
        <v>Marzo</v>
      </c>
      <c r="E1694" t="str">
        <f t="shared" si="211"/>
        <v>T1</v>
      </c>
      <c r="F1694" t="s">
        <v>1821</v>
      </c>
      <c r="G1694" t="s">
        <v>61</v>
      </c>
      <c r="H1694" t="s">
        <v>62</v>
      </c>
      <c r="I1694" t="s">
        <v>63</v>
      </c>
      <c r="J1694" t="s">
        <v>70</v>
      </c>
      <c r="K1694" t="s">
        <v>84</v>
      </c>
      <c r="L1694" t="s">
        <v>85</v>
      </c>
      <c r="M1694" s="24">
        <v>51</v>
      </c>
      <c r="N1694" s="25">
        <v>5663.6</v>
      </c>
      <c r="O1694" s="25">
        <f t="shared" si="212"/>
        <v>288843.60000000003</v>
      </c>
      <c r="P1694" s="25">
        <v>4820.87</v>
      </c>
      <c r="Q1694" s="25">
        <f t="shared" si="213"/>
        <v>245864.37</v>
      </c>
      <c r="R1694" s="25">
        <f t="shared" si="214"/>
        <v>42979.23000000004</v>
      </c>
      <c r="S1694" s="26">
        <f t="shared" si="215"/>
        <v>0.148797584575182</v>
      </c>
    </row>
    <row r="1695" spans="1:19" ht="15" x14ac:dyDescent="0.2">
      <c r="A1695" s="23">
        <v>46099</v>
      </c>
      <c r="B1695">
        <f t="shared" si="208"/>
        <v>2026</v>
      </c>
      <c r="C1695">
        <f t="shared" si="209"/>
        <v>3</v>
      </c>
      <c r="D1695" t="str">
        <f t="shared" si="210"/>
        <v>Marzo</v>
      </c>
      <c r="E1695" t="str">
        <f t="shared" si="211"/>
        <v>T1</v>
      </c>
      <c r="F1695" t="s">
        <v>1822</v>
      </c>
      <c r="G1695" t="s">
        <v>100</v>
      </c>
      <c r="H1695" t="s">
        <v>88</v>
      </c>
      <c r="I1695" t="s">
        <v>101</v>
      </c>
      <c r="J1695" t="s">
        <v>70</v>
      </c>
      <c r="K1695" t="s">
        <v>84</v>
      </c>
      <c r="L1695" t="s">
        <v>147</v>
      </c>
      <c r="M1695" s="24">
        <v>7</v>
      </c>
      <c r="N1695" s="25">
        <v>37816.400000000001</v>
      </c>
      <c r="O1695" s="25">
        <f t="shared" si="212"/>
        <v>264714.8</v>
      </c>
      <c r="P1695" s="25">
        <v>21942.799999999999</v>
      </c>
      <c r="Q1695" s="25">
        <f t="shared" si="213"/>
        <v>153599.6</v>
      </c>
      <c r="R1695" s="25">
        <f t="shared" si="214"/>
        <v>111115.19999999998</v>
      </c>
      <c r="S1695" s="26">
        <f t="shared" si="215"/>
        <v>0.41975439227425132</v>
      </c>
    </row>
    <row r="1696" spans="1:19" ht="15" x14ac:dyDescent="0.2">
      <c r="A1696" s="23">
        <v>46099</v>
      </c>
      <c r="B1696">
        <f t="shared" si="208"/>
        <v>2026</v>
      </c>
      <c r="C1696">
        <f t="shared" si="209"/>
        <v>3</v>
      </c>
      <c r="D1696" t="str">
        <f t="shared" si="210"/>
        <v>Marzo</v>
      </c>
      <c r="E1696" t="str">
        <f t="shared" si="211"/>
        <v>T1</v>
      </c>
      <c r="F1696" t="s">
        <v>1823</v>
      </c>
      <c r="G1696" t="s">
        <v>92</v>
      </c>
      <c r="H1696" t="s">
        <v>93</v>
      </c>
      <c r="I1696" t="s">
        <v>94</v>
      </c>
      <c r="J1696" t="s">
        <v>70</v>
      </c>
      <c r="K1696" t="s">
        <v>84</v>
      </c>
      <c r="L1696" t="s">
        <v>147</v>
      </c>
      <c r="M1696" s="24">
        <v>6</v>
      </c>
      <c r="N1696" s="25">
        <v>19944.580000000002</v>
      </c>
      <c r="O1696" s="25">
        <f t="shared" si="212"/>
        <v>119667.48000000001</v>
      </c>
      <c r="P1696" s="25">
        <v>11939.38</v>
      </c>
      <c r="Q1696" s="25">
        <f t="shared" si="213"/>
        <v>71636.28</v>
      </c>
      <c r="R1696" s="25">
        <f t="shared" si="214"/>
        <v>48031.200000000012</v>
      </c>
      <c r="S1696" s="26">
        <f t="shared" si="215"/>
        <v>0.40137220237277504</v>
      </c>
    </row>
    <row r="1697" spans="1:19" ht="15" x14ac:dyDescent="0.2">
      <c r="A1697" s="23">
        <v>46100</v>
      </c>
      <c r="B1697">
        <f t="shared" si="208"/>
        <v>2026</v>
      </c>
      <c r="C1697">
        <f t="shared" si="209"/>
        <v>3</v>
      </c>
      <c r="D1697" t="str">
        <f t="shared" si="210"/>
        <v>Marzo</v>
      </c>
      <c r="E1697" t="str">
        <f t="shared" si="211"/>
        <v>T1</v>
      </c>
      <c r="F1697" t="s">
        <v>1824</v>
      </c>
      <c r="G1697" t="s">
        <v>74</v>
      </c>
      <c r="H1697" t="s">
        <v>75</v>
      </c>
      <c r="I1697" t="s">
        <v>76</v>
      </c>
      <c r="J1697" t="s">
        <v>57</v>
      </c>
      <c r="K1697" t="s">
        <v>58</v>
      </c>
      <c r="L1697" t="s">
        <v>59</v>
      </c>
      <c r="M1697" s="24">
        <v>8</v>
      </c>
      <c r="N1697" s="25">
        <v>39076.239999999998</v>
      </c>
      <c r="O1697" s="25">
        <f t="shared" si="212"/>
        <v>312609.91999999998</v>
      </c>
      <c r="P1697" s="25">
        <v>26891.94</v>
      </c>
      <c r="Q1697" s="25">
        <f t="shared" si="213"/>
        <v>215135.52</v>
      </c>
      <c r="R1697" s="25">
        <f t="shared" si="214"/>
        <v>97474.4</v>
      </c>
      <c r="S1697" s="26">
        <f t="shared" si="215"/>
        <v>0.31180840326500198</v>
      </c>
    </row>
    <row r="1698" spans="1:19" ht="15" x14ac:dyDescent="0.2">
      <c r="A1698" s="23">
        <v>46100</v>
      </c>
      <c r="B1698">
        <f t="shared" si="208"/>
        <v>2026</v>
      </c>
      <c r="C1698">
        <f t="shared" si="209"/>
        <v>3</v>
      </c>
      <c r="D1698" t="str">
        <f t="shared" si="210"/>
        <v>Marzo</v>
      </c>
      <c r="E1698" t="str">
        <f t="shared" si="211"/>
        <v>T1</v>
      </c>
      <c r="F1698" t="s">
        <v>1825</v>
      </c>
      <c r="G1698" t="s">
        <v>74</v>
      </c>
      <c r="H1698" t="s">
        <v>75</v>
      </c>
      <c r="I1698" t="s">
        <v>76</v>
      </c>
      <c r="J1698" t="s">
        <v>125</v>
      </c>
      <c r="K1698" t="s">
        <v>138</v>
      </c>
      <c r="L1698" t="s">
        <v>139</v>
      </c>
      <c r="M1698" s="24">
        <v>5</v>
      </c>
      <c r="N1698" s="25">
        <v>39757.33</v>
      </c>
      <c r="O1698" s="25">
        <f t="shared" si="212"/>
        <v>198786.65000000002</v>
      </c>
      <c r="P1698" s="25">
        <v>26518.26</v>
      </c>
      <c r="Q1698" s="25">
        <f t="shared" si="213"/>
        <v>132591.29999999999</v>
      </c>
      <c r="R1698" s="25">
        <f t="shared" si="214"/>
        <v>66195.350000000035</v>
      </c>
      <c r="S1698" s="26">
        <f t="shared" si="215"/>
        <v>0.33299695930285073</v>
      </c>
    </row>
    <row r="1699" spans="1:19" ht="15" x14ac:dyDescent="0.2">
      <c r="A1699" s="23">
        <v>46100</v>
      </c>
      <c r="B1699">
        <f t="shared" si="208"/>
        <v>2026</v>
      </c>
      <c r="C1699">
        <f t="shared" si="209"/>
        <v>3</v>
      </c>
      <c r="D1699" t="str">
        <f t="shared" si="210"/>
        <v>Marzo</v>
      </c>
      <c r="E1699" t="str">
        <f t="shared" si="211"/>
        <v>T1</v>
      </c>
      <c r="F1699" t="s">
        <v>1826</v>
      </c>
      <c r="G1699" t="s">
        <v>100</v>
      </c>
      <c r="H1699" t="s">
        <v>88</v>
      </c>
      <c r="I1699" t="s">
        <v>101</v>
      </c>
      <c r="J1699" t="s">
        <v>64</v>
      </c>
      <c r="K1699" t="s">
        <v>96</v>
      </c>
      <c r="L1699" t="s">
        <v>103</v>
      </c>
      <c r="M1699" s="24">
        <v>19</v>
      </c>
      <c r="N1699" s="25">
        <v>38437.71</v>
      </c>
      <c r="O1699" s="25">
        <f t="shared" si="212"/>
        <v>730316.49</v>
      </c>
      <c r="P1699" s="25">
        <v>21430.23</v>
      </c>
      <c r="Q1699" s="25">
        <f t="shared" si="213"/>
        <v>407174.37</v>
      </c>
      <c r="R1699" s="25">
        <f t="shared" si="214"/>
        <v>323142.12</v>
      </c>
      <c r="S1699" s="26">
        <f t="shared" si="215"/>
        <v>0.44246860700078128</v>
      </c>
    </row>
    <row r="1700" spans="1:19" ht="15" x14ac:dyDescent="0.2">
      <c r="A1700" s="23">
        <v>46100</v>
      </c>
      <c r="B1700">
        <f t="shared" si="208"/>
        <v>2026</v>
      </c>
      <c r="C1700">
        <f t="shared" si="209"/>
        <v>3</v>
      </c>
      <c r="D1700" t="str">
        <f t="shared" si="210"/>
        <v>Marzo</v>
      </c>
      <c r="E1700" t="str">
        <f t="shared" si="211"/>
        <v>T1</v>
      </c>
      <c r="F1700" t="s">
        <v>1827</v>
      </c>
      <c r="G1700" t="s">
        <v>92</v>
      </c>
      <c r="H1700" t="s">
        <v>93</v>
      </c>
      <c r="I1700" t="s">
        <v>94</v>
      </c>
      <c r="J1700" t="s">
        <v>64</v>
      </c>
      <c r="K1700" t="s">
        <v>96</v>
      </c>
      <c r="L1700" t="s">
        <v>97</v>
      </c>
      <c r="M1700" s="24">
        <v>22</v>
      </c>
      <c r="N1700" s="25">
        <v>20683.53</v>
      </c>
      <c r="O1700" s="25">
        <f t="shared" si="212"/>
        <v>455037.66</v>
      </c>
      <c r="P1700" s="25">
        <v>12271.29</v>
      </c>
      <c r="Q1700" s="25">
        <f t="shared" si="213"/>
        <v>269968.38</v>
      </c>
      <c r="R1700" s="25">
        <f t="shared" si="214"/>
        <v>185069.27999999997</v>
      </c>
      <c r="S1700" s="26">
        <f t="shared" si="215"/>
        <v>0.40671200708969885</v>
      </c>
    </row>
    <row r="1701" spans="1:19" ht="15" x14ac:dyDescent="0.2">
      <c r="A1701" s="23">
        <v>46100</v>
      </c>
      <c r="B1701">
        <f t="shared" si="208"/>
        <v>2026</v>
      </c>
      <c r="C1701">
        <f t="shared" si="209"/>
        <v>3</v>
      </c>
      <c r="D1701" t="str">
        <f t="shared" si="210"/>
        <v>Marzo</v>
      </c>
      <c r="E1701" t="str">
        <f t="shared" si="211"/>
        <v>T1</v>
      </c>
      <c r="F1701" t="s">
        <v>1828</v>
      </c>
      <c r="G1701" t="s">
        <v>206</v>
      </c>
      <c r="H1701" t="s">
        <v>93</v>
      </c>
      <c r="I1701" t="s">
        <v>207</v>
      </c>
      <c r="J1701" t="s">
        <v>77</v>
      </c>
      <c r="K1701" t="s">
        <v>107</v>
      </c>
      <c r="L1701" t="s">
        <v>108</v>
      </c>
      <c r="M1701" s="24">
        <v>2</v>
      </c>
      <c r="N1701" s="25">
        <v>147665.72</v>
      </c>
      <c r="O1701" s="25">
        <f t="shared" si="212"/>
        <v>295331.44</v>
      </c>
      <c r="P1701" s="25">
        <v>77519.69</v>
      </c>
      <c r="Q1701" s="25">
        <f t="shared" si="213"/>
        <v>155039.38</v>
      </c>
      <c r="R1701" s="25">
        <f t="shared" si="214"/>
        <v>140292.06</v>
      </c>
      <c r="S1701" s="26">
        <f t="shared" si="215"/>
        <v>0.47503259388841229</v>
      </c>
    </row>
    <row r="1702" spans="1:19" ht="15" x14ac:dyDescent="0.2">
      <c r="A1702" s="23">
        <v>46100</v>
      </c>
      <c r="B1702">
        <f t="shared" si="208"/>
        <v>2026</v>
      </c>
      <c r="C1702">
        <f t="shared" si="209"/>
        <v>3</v>
      </c>
      <c r="D1702" t="str">
        <f t="shared" si="210"/>
        <v>Marzo</v>
      </c>
      <c r="E1702" t="str">
        <f t="shared" si="211"/>
        <v>T1</v>
      </c>
      <c r="F1702" t="s">
        <v>1829</v>
      </c>
      <c r="G1702" t="s">
        <v>92</v>
      </c>
      <c r="H1702" t="s">
        <v>93</v>
      </c>
      <c r="I1702" t="s">
        <v>94</v>
      </c>
      <c r="J1702" t="s">
        <v>70</v>
      </c>
      <c r="K1702" t="s">
        <v>84</v>
      </c>
      <c r="L1702" t="s">
        <v>147</v>
      </c>
      <c r="M1702" s="24">
        <v>1</v>
      </c>
      <c r="N1702" s="25">
        <v>26265.81</v>
      </c>
      <c r="O1702" s="25">
        <f t="shared" si="212"/>
        <v>26265.81</v>
      </c>
      <c r="P1702" s="25">
        <v>15834.94</v>
      </c>
      <c r="Q1702" s="25">
        <f t="shared" si="213"/>
        <v>15834.94</v>
      </c>
      <c r="R1702" s="25">
        <f t="shared" si="214"/>
        <v>10430.870000000001</v>
      </c>
      <c r="S1702" s="26">
        <f t="shared" si="215"/>
        <v>0.39712729209569397</v>
      </c>
    </row>
    <row r="1703" spans="1:19" ht="15" x14ac:dyDescent="0.2">
      <c r="A1703" s="23">
        <v>46101</v>
      </c>
      <c r="B1703">
        <f t="shared" si="208"/>
        <v>2026</v>
      </c>
      <c r="C1703">
        <f t="shared" si="209"/>
        <v>3</v>
      </c>
      <c r="D1703" t="str">
        <f t="shared" si="210"/>
        <v>Marzo</v>
      </c>
      <c r="E1703" t="str">
        <f t="shared" si="211"/>
        <v>T1</v>
      </c>
      <c r="F1703" t="s">
        <v>1830</v>
      </c>
      <c r="G1703" t="s">
        <v>110</v>
      </c>
      <c r="H1703" t="s">
        <v>62</v>
      </c>
      <c r="I1703" t="s">
        <v>69</v>
      </c>
      <c r="J1703" t="s">
        <v>70</v>
      </c>
      <c r="K1703" t="s">
        <v>71</v>
      </c>
      <c r="L1703" t="s">
        <v>72</v>
      </c>
      <c r="M1703" s="24">
        <v>59</v>
      </c>
      <c r="N1703" s="25">
        <v>6250.09</v>
      </c>
      <c r="O1703" s="25">
        <f t="shared" si="212"/>
        <v>368755.31</v>
      </c>
      <c r="P1703" s="25">
        <v>5376.82</v>
      </c>
      <c r="Q1703" s="25">
        <f t="shared" si="213"/>
        <v>317232.38</v>
      </c>
      <c r="R1703" s="25">
        <f t="shared" si="214"/>
        <v>51522.929999999993</v>
      </c>
      <c r="S1703" s="26">
        <f t="shared" si="215"/>
        <v>0.13972118801489256</v>
      </c>
    </row>
    <row r="1704" spans="1:19" ht="15" x14ac:dyDescent="0.2">
      <c r="A1704" s="23">
        <v>46101</v>
      </c>
      <c r="B1704">
        <f t="shared" si="208"/>
        <v>2026</v>
      </c>
      <c r="C1704">
        <f t="shared" si="209"/>
        <v>3</v>
      </c>
      <c r="D1704" t="str">
        <f t="shared" si="210"/>
        <v>Marzo</v>
      </c>
      <c r="E1704" t="str">
        <f t="shared" si="211"/>
        <v>T1</v>
      </c>
      <c r="F1704" t="s">
        <v>1831</v>
      </c>
      <c r="G1704" t="s">
        <v>74</v>
      </c>
      <c r="H1704" t="s">
        <v>75</v>
      </c>
      <c r="I1704" t="s">
        <v>76</v>
      </c>
      <c r="J1704" t="s">
        <v>77</v>
      </c>
      <c r="K1704" t="s">
        <v>78</v>
      </c>
      <c r="L1704" t="s">
        <v>117</v>
      </c>
      <c r="M1704" s="24">
        <v>15</v>
      </c>
      <c r="N1704" s="25">
        <v>40076.050000000003</v>
      </c>
      <c r="O1704" s="25">
        <f t="shared" si="212"/>
        <v>601140.75</v>
      </c>
      <c r="P1704" s="25">
        <v>27127.13</v>
      </c>
      <c r="Q1704" s="25">
        <f t="shared" si="213"/>
        <v>406906.95</v>
      </c>
      <c r="R1704" s="25">
        <f t="shared" si="214"/>
        <v>194233.8</v>
      </c>
      <c r="S1704" s="26">
        <f t="shared" si="215"/>
        <v>0.32310868960389061</v>
      </c>
    </row>
    <row r="1705" spans="1:19" ht="15" x14ac:dyDescent="0.2">
      <c r="A1705" s="23">
        <v>46101</v>
      </c>
      <c r="B1705">
        <f t="shared" si="208"/>
        <v>2026</v>
      </c>
      <c r="C1705">
        <f t="shared" si="209"/>
        <v>3</v>
      </c>
      <c r="D1705" t="str">
        <f t="shared" si="210"/>
        <v>Marzo</v>
      </c>
      <c r="E1705" t="str">
        <f t="shared" si="211"/>
        <v>T1</v>
      </c>
      <c r="F1705" t="s">
        <v>1832</v>
      </c>
      <c r="G1705" t="s">
        <v>114</v>
      </c>
      <c r="H1705" t="s">
        <v>75</v>
      </c>
      <c r="I1705" t="s">
        <v>115</v>
      </c>
      <c r="J1705" t="s">
        <v>57</v>
      </c>
      <c r="K1705" t="s">
        <v>81</v>
      </c>
      <c r="L1705" t="s">
        <v>82</v>
      </c>
      <c r="M1705" s="24">
        <v>8</v>
      </c>
      <c r="N1705" s="25">
        <v>91157.59</v>
      </c>
      <c r="O1705" s="25">
        <f t="shared" si="212"/>
        <v>729260.72</v>
      </c>
      <c r="P1705" s="25">
        <v>62211.33</v>
      </c>
      <c r="Q1705" s="25">
        <f t="shared" si="213"/>
        <v>497690.64</v>
      </c>
      <c r="R1705" s="25">
        <f t="shared" si="214"/>
        <v>231570.07999999996</v>
      </c>
      <c r="S1705" s="26">
        <f t="shared" si="215"/>
        <v>0.31754086522032882</v>
      </c>
    </row>
    <row r="1706" spans="1:19" ht="15" x14ac:dyDescent="0.2">
      <c r="A1706" s="23">
        <v>46101</v>
      </c>
      <c r="B1706">
        <f t="shared" si="208"/>
        <v>2026</v>
      </c>
      <c r="C1706">
        <f t="shared" si="209"/>
        <v>3</v>
      </c>
      <c r="D1706" t="str">
        <f t="shared" si="210"/>
        <v>Marzo</v>
      </c>
      <c r="E1706" t="str">
        <f t="shared" si="211"/>
        <v>T1</v>
      </c>
      <c r="F1706" t="s">
        <v>1833</v>
      </c>
      <c r="G1706" t="s">
        <v>144</v>
      </c>
      <c r="H1706" t="s">
        <v>88</v>
      </c>
      <c r="I1706" t="s">
        <v>145</v>
      </c>
      <c r="J1706" t="s">
        <v>77</v>
      </c>
      <c r="K1706" t="s">
        <v>107</v>
      </c>
      <c r="L1706" t="s">
        <v>108</v>
      </c>
      <c r="M1706" s="24">
        <v>5</v>
      </c>
      <c r="N1706" s="25">
        <v>14665.24</v>
      </c>
      <c r="O1706" s="25">
        <f t="shared" si="212"/>
        <v>73326.2</v>
      </c>
      <c r="P1706" s="25">
        <v>7504.82</v>
      </c>
      <c r="Q1706" s="25">
        <f t="shared" si="213"/>
        <v>37524.1</v>
      </c>
      <c r="R1706" s="25">
        <f t="shared" si="214"/>
        <v>35802.1</v>
      </c>
      <c r="S1706" s="26">
        <f t="shared" si="215"/>
        <v>0.48825794872773987</v>
      </c>
    </row>
    <row r="1707" spans="1:19" ht="15" x14ac:dyDescent="0.2">
      <c r="A1707" s="23">
        <v>46101</v>
      </c>
      <c r="B1707">
        <f t="shared" si="208"/>
        <v>2026</v>
      </c>
      <c r="C1707">
        <f t="shared" si="209"/>
        <v>3</v>
      </c>
      <c r="D1707" t="str">
        <f t="shared" si="210"/>
        <v>Marzo</v>
      </c>
      <c r="E1707" t="str">
        <f t="shared" si="211"/>
        <v>T1</v>
      </c>
      <c r="F1707" t="s">
        <v>1834</v>
      </c>
      <c r="G1707" t="s">
        <v>87</v>
      </c>
      <c r="H1707" t="s">
        <v>88</v>
      </c>
      <c r="I1707" t="s">
        <v>89</v>
      </c>
      <c r="J1707" t="s">
        <v>125</v>
      </c>
      <c r="K1707" t="s">
        <v>126</v>
      </c>
      <c r="L1707" t="s">
        <v>127</v>
      </c>
      <c r="M1707" s="24">
        <v>3</v>
      </c>
      <c r="N1707" s="25">
        <v>60021.67</v>
      </c>
      <c r="O1707" s="25">
        <f t="shared" si="212"/>
        <v>180065.01</v>
      </c>
      <c r="P1707" s="25">
        <v>32200.05</v>
      </c>
      <c r="Q1707" s="25">
        <f t="shared" si="213"/>
        <v>96600.15</v>
      </c>
      <c r="R1707" s="25">
        <f t="shared" si="214"/>
        <v>83464.860000000015</v>
      </c>
      <c r="S1707" s="26">
        <f t="shared" si="215"/>
        <v>0.46352625643371809</v>
      </c>
    </row>
    <row r="1708" spans="1:19" ht="15" x14ac:dyDescent="0.2">
      <c r="A1708" s="23">
        <v>46101</v>
      </c>
      <c r="B1708">
        <f t="shared" si="208"/>
        <v>2026</v>
      </c>
      <c r="C1708">
        <f t="shared" si="209"/>
        <v>3</v>
      </c>
      <c r="D1708" t="str">
        <f t="shared" si="210"/>
        <v>Marzo</v>
      </c>
      <c r="E1708" t="str">
        <f t="shared" si="211"/>
        <v>T1</v>
      </c>
      <c r="F1708" t="s">
        <v>1835</v>
      </c>
      <c r="G1708" t="s">
        <v>144</v>
      </c>
      <c r="H1708" t="s">
        <v>88</v>
      </c>
      <c r="I1708" t="s">
        <v>145</v>
      </c>
      <c r="J1708" t="s">
        <v>70</v>
      </c>
      <c r="K1708" t="s">
        <v>84</v>
      </c>
      <c r="L1708" t="s">
        <v>147</v>
      </c>
      <c r="M1708" s="24">
        <v>13</v>
      </c>
      <c r="N1708" s="25">
        <v>12122.92</v>
      </c>
      <c r="O1708" s="25">
        <f t="shared" si="212"/>
        <v>157597.96</v>
      </c>
      <c r="P1708" s="25">
        <v>6987.39</v>
      </c>
      <c r="Q1708" s="25">
        <f t="shared" si="213"/>
        <v>90836.07</v>
      </c>
      <c r="R1708" s="25">
        <f t="shared" si="214"/>
        <v>66761.889999999985</v>
      </c>
      <c r="S1708" s="26">
        <f t="shared" si="215"/>
        <v>0.42362153672547531</v>
      </c>
    </row>
    <row r="1709" spans="1:19" ht="15" x14ac:dyDescent="0.2">
      <c r="A1709" s="23">
        <v>46102</v>
      </c>
      <c r="B1709">
        <f t="shared" si="208"/>
        <v>2026</v>
      </c>
      <c r="C1709">
        <f t="shared" si="209"/>
        <v>3</v>
      </c>
      <c r="D1709" t="str">
        <f t="shared" si="210"/>
        <v>Marzo</v>
      </c>
      <c r="E1709" t="str">
        <f t="shared" si="211"/>
        <v>T1</v>
      </c>
      <c r="F1709" t="s">
        <v>1836</v>
      </c>
      <c r="G1709" t="s">
        <v>74</v>
      </c>
      <c r="H1709" t="s">
        <v>75</v>
      </c>
      <c r="I1709" t="s">
        <v>76</v>
      </c>
      <c r="J1709" t="s">
        <v>64</v>
      </c>
      <c r="K1709" t="s">
        <v>65</v>
      </c>
      <c r="L1709" t="s">
        <v>66</v>
      </c>
      <c r="M1709" s="24">
        <v>17</v>
      </c>
      <c r="N1709" s="25">
        <v>41523.14</v>
      </c>
      <c r="O1709" s="25">
        <f t="shared" si="212"/>
        <v>705893.38</v>
      </c>
      <c r="P1709" s="25">
        <v>28454.07</v>
      </c>
      <c r="Q1709" s="25">
        <f t="shared" si="213"/>
        <v>483719.19</v>
      </c>
      <c r="R1709" s="25">
        <f t="shared" si="214"/>
        <v>222174.19</v>
      </c>
      <c r="S1709" s="26">
        <f t="shared" si="215"/>
        <v>0.31474185237436281</v>
      </c>
    </row>
    <row r="1710" spans="1:19" ht="15" x14ac:dyDescent="0.2">
      <c r="A1710" s="23">
        <v>46102</v>
      </c>
      <c r="B1710">
        <f t="shared" si="208"/>
        <v>2026</v>
      </c>
      <c r="C1710">
        <f t="shared" si="209"/>
        <v>3</v>
      </c>
      <c r="D1710" t="str">
        <f t="shared" si="210"/>
        <v>Marzo</v>
      </c>
      <c r="E1710" t="str">
        <f t="shared" si="211"/>
        <v>T1</v>
      </c>
      <c r="F1710" t="s">
        <v>1837</v>
      </c>
      <c r="G1710" t="s">
        <v>149</v>
      </c>
      <c r="H1710" t="s">
        <v>93</v>
      </c>
      <c r="I1710" t="s">
        <v>150</v>
      </c>
      <c r="J1710" t="s">
        <v>125</v>
      </c>
      <c r="K1710" t="s">
        <v>138</v>
      </c>
      <c r="L1710" t="s">
        <v>142</v>
      </c>
      <c r="M1710" s="24">
        <v>5</v>
      </c>
      <c r="N1710" s="25">
        <v>48999.47</v>
      </c>
      <c r="O1710" s="25">
        <f t="shared" si="212"/>
        <v>244997.35</v>
      </c>
      <c r="P1710" s="25">
        <v>28359.54</v>
      </c>
      <c r="Q1710" s="25">
        <f t="shared" si="213"/>
        <v>141797.70000000001</v>
      </c>
      <c r="R1710" s="25">
        <f t="shared" si="214"/>
        <v>103199.65</v>
      </c>
      <c r="S1710" s="26">
        <f t="shared" si="215"/>
        <v>0.42122761735994285</v>
      </c>
    </row>
    <row r="1711" spans="1:19" ht="15" x14ac:dyDescent="0.2">
      <c r="A1711" s="23">
        <v>46103</v>
      </c>
      <c r="B1711">
        <f t="shared" si="208"/>
        <v>2026</v>
      </c>
      <c r="C1711">
        <f t="shared" si="209"/>
        <v>3</v>
      </c>
      <c r="D1711" t="str">
        <f t="shared" si="210"/>
        <v>Marzo</v>
      </c>
      <c r="E1711" t="str">
        <f t="shared" si="211"/>
        <v>T1</v>
      </c>
      <c r="F1711" t="s">
        <v>1838</v>
      </c>
      <c r="G1711" t="s">
        <v>54</v>
      </c>
      <c r="H1711" t="s">
        <v>55</v>
      </c>
      <c r="I1711" t="s">
        <v>56</v>
      </c>
      <c r="J1711" t="s">
        <v>125</v>
      </c>
      <c r="K1711" t="s">
        <v>126</v>
      </c>
      <c r="L1711" t="s">
        <v>131</v>
      </c>
      <c r="M1711" s="24">
        <v>11</v>
      </c>
      <c r="N1711" s="25">
        <v>52862.98</v>
      </c>
      <c r="O1711" s="25">
        <f t="shared" si="212"/>
        <v>581492.78</v>
      </c>
      <c r="P1711" s="25">
        <v>41525.81</v>
      </c>
      <c r="Q1711" s="25">
        <f t="shared" si="213"/>
        <v>456783.91</v>
      </c>
      <c r="R1711" s="25">
        <f t="shared" si="214"/>
        <v>124708.87000000005</v>
      </c>
      <c r="S1711" s="26">
        <f t="shared" si="215"/>
        <v>0.21446331629431417</v>
      </c>
    </row>
    <row r="1712" spans="1:19" ht="15" x14ac:dyDescent="0.2">
      <c r="A1712" s="23">
        <v>46103</v>
      </c>
      <c r="B1712">
        <f t="shared" si="208"/>
        <v>2026</v>
      </c>
      <c r="C1712">
        <f t="shared" si="209"/>
        <v>3</v>
      </c>
      <c r="D1712" t="str">
        <f t="shared" si="210"/>
        <v>Marzo</v>
      </c>
      <c r="E1712" t="str">
        <f t="shared" si="211"/>
        <v>T1</v>
      </c>
      <c r="F1712" t="s">
        <v>1839</v>
      </c>
      <c r="G1712" t="s">
        <v>74</v>
      </c>
      <c r="H1712" t="s">
        <v>75</v>
      </c>
      <c r="I1712" t="s">
        <v>76</v>
      </c>
      <c r="J1712" t="s">
        <v>77</v>
      </c>
      <c r="K1712" t="s">
        <v>78</v>
      </c>
      <c r="L1712" t="s">
        <v>79</v>
      </c>
      <c r="M1712" s="24">
        <v>6</v>
      </c>
      <c r="N1712" s="25">
        <v>38829.15</v>
      </c>
      <c r="O1712" s="25">
        <f t="shared" si="212"/>
        <v>232974.90000000002</v>
      </c>
      <c r="P1712" s="25">
        <v>26329.040000000001</v>
      </c>
      <c r="Q1712" s="25">
        <f t="shared" si="213"/>
        <v>157974.24</v>
      </c>
      <c r="R1712" s="25">
        <f t="shared" si="214"/>
        <v>75000.660000000033</v>
      </c>
      <c r="S1712" s="26">
        <f t="shared" si="215"/>
        <v>0.3219259242090029</v>
      </c>
    </row>
    <row r="1713" spans="1:19" ht="15" x14ac:dyDescent="0.2">
      <c r="A1713" s="23">
        <v>46103</v>
      </c>
      <c r="B1713">
        <f t="shared" si="208"/>
        <v>2026</v>
      </c>
      <c r="C1713">
        <f t="shared" si="209"/>
        <v>3</v>
      </c>
      <c r="D1713" t="str">
        <f t="shared" si="210"/>
        <v>Marzo</v>
      </c>
      <c r="E1713" t="str">
        <f t="shared" si="211"/>
        <v>T1</v>
      </c>
      <c r="F1713" t="s">
        <v>1840</v>
      </c>
      <c r="G1713" t="s">
        <v>188</v>
      </c>
      <c r="H1713" t="s">
        <v>88</v>
      </c>
      <c r="I1713" t="s">
        <v>189</v>
      </c>
      <c r="J1713" t="s">
        <v>77</v>
      </c>
      <c r="K1713" t="s">
        <v>78</v>
      </c>
      <c r="L1713" t="s">
        <v>117</v>
      </c>
      <c r="M1713" s="24">
        <v>6</v>
      </c>
      <c r="N1713" s="25">
        <v>86113.47</v>
      </c>
      <c r="O1713" s="25">
        <f t="shared" si="212"/>
        <v>516680.82</v>
      </c>
      <c r="P1713" s="25">
        <v>45120.7</v>
      </c>
      <c r="Q1713" s="25">
        <f t="shared" si="213"/>
        <v>270724.19999999995</v>
      </c>
      <c r="R1713" s="25">
        <f t="shared" si="214"/>
        <v>245956.62000000005</v>
      </c>
      <c r="S1713" s="26">
        <f t="shared" si="215"/>
        <v>0.47603203076127354</v>
      </c>
    </row>
    <row r="1714" spans="1:19" ht="15" x14ac:dyDescent="0.2">
      <c r="A1714" s="23">
        <v>46103</v>
      </c>
      <c r="B1714">
        <f t="shared" si="208"/>
        <v>2026</v>
      </c>
      <c r="C1714">
        <f t="shared" si="209"/>
        <v>3</v>
      </c>
      <c r="D1714" t="str">
        <f t="shared" si="210"/>
        <v>Marzo</v>
      </c>
      <c r="E1714" t="str">
        <f t="shared" si="211"/>
        <v>T1</v>
      </c>
      <c r="F1714" t="s">
        <v>1841</v>
      </c>
      <c r="G1714" t="s">
        <v>144</v>
      </c>
      <c r="H1714" t="s">
        <v>88</v>
      </c>
      <c r="I1714" t="s">
        <v>145</v>
      </c>
      <c r="J1714" t="s">
        <v>70</v>
      </c>
      <c r="K1714" t="s">
        <v>71</v>
      </c>
      <c r="L1714" t="s">
        <v>90</v>
      </c>
      <c r="M1714" s="24">
        <v>17</v>
      </c>
      <c r="N1714" s="25">
        <v>11469.88</v>
      </c>
      <c r="O1714" s="25">
        <f t="shared" si="212"/>
        <v>194987.96</v>
      </c>
      <c r="P1714" s="25">
        <v>6923.07</v>
      </c>
      <c r="Q1714" s="25">
        <f t="shared" si="213"/>
        <v>117692.19</v>
      </c>
      <c r="R1714" s="25">
        <f t="shared" si="214"/>
        <v>77295.76999999999</v>
      </c>
      <c r="S1714" s="26">
        <f t="shared" si="215"/>
        <v>0.39641304006667893</v>
      </c>
    </row>
    <row r="1715" spans="1:19" ht="15" x14ac:dyDescent="0.2">
      <c r="A1715" s="23">
        <v>46103</v>
      </c>
      <c r="B1715">
        <f t="shared" si="208"/>
        <v>2026</v>
      </c>
      <c r="C1715">
        <f t="shared" si="209"/>
        <v>3</v>
      </c>
      <c r="D1715" t="str">
        <f t="shared" si="210"/>
        <v>Marzo</v>
      </c>
      <c r="E1715" t="str">
        <f t="shared" si="211"/>
        <v>T1</v>
      </c>
      <c r="F1715" t="s">
        <v>1842</v>
      </c>
      <c r="G1715" t="s">
        <v>149</v>
      </c>
      <c r="H1715" t="s">
        <v>93</v>
      </c>
      <c r="I1715" t="s">
        <v>150</v>
      </c>
      <c r="J1715" t="s">
        <v>57</v>
      </c>
      <c r="K1715" t="s">
        <v>81</v>
      </c>
      <c r="L1715" t="s">
        <v>82</v>
      </c>
      <c r="M1715" s="24">
        <v>9</v>
      </c>
      <c r="N1715" s="25">
        <v>42649.56</v>
      </c>
      <c r="O1715" s="25">
        <f t="shared" si="212"/>
        <v>383846.04</v>
      </c>
      <c r="P1715" s="25">
        <v>24885.96</v>
      </c>
      <c r="Q1715" s="25">
        <f t="shared" si="213"/>
        <v>223973.63999999998</v>
      </c>
      <c r="R1715" s="25">
        <f t="shared" si="214"/>
        <v>159872.4</v>
      </c>
      <c r="S1715" s="26">
        <f t="shared" si="215"/>
        <v>0.41650136601643722</v>
      </c>
    </row>
    <row r="1716" spans="1:19" ht="15" x14ac:dyDescent="0.2">
      <c r="A1716" s="23">
        <v>46104</v>
      </c>
      <c r="B1716">
        <f t="shared" si="208"/>
        <v>2026</v>
      </c>
      <c r="C1716">
        <f t="shared" si="209"/>
        <v>3</v>
      </c>
      <c r="D1716" t="str">
        <f t="shared" si="210"/>
        <v>Marzo</v>
      </c>
      <c r="E1716" t="str">
        <f t="shared" si="211"/>
        <v>T1</v>
      </c>
      <c r="F1716" t="s">
        <v>1843</v>
      </c>
      <c r="G1716" t="s">
        <v>54</v>
      </c>
      <c r="H1716" t="s">
        <v>55</v>
      </c>
      <c r="I1716" t="s">
        <v>56</v>
      </c>
      <c r="J1716" t="s">
        <v>57</v>
      </c>
      <c r="K1716" t="s">
        <v>58</v>
      </c>
      <c r="L1716" t="s">
        <v>162</v>
      </c>
      <c r="M1716" s="24">
        <v>15</v>
      </c>
      <c r="N1716" s="25">
        <v>52650.400000000001</v>
      </c>
      <c r="O1716" s="25">
        <f t="shared" si="212"/>
        <v>789756</v>
      </c>
      <c r="P1716" s="25">
        <v>41422.78</v>
      </c>
      <c r="Q1716" s="25">
        <f t="shared" si="213"/>
        <v>621341.69999999995</v>
      </c>
      <c r="R1716" s="25">
        <f t="shared" si="214"/>
        <v>168414.30000000005</v>
      </c>
      <c r="S1716" s="26">
        <f t="shared" si="215"/>
        <v>0.21324852232841543</v>
      </c>
    </row>
    <row r="1717" spans="1:19" ht="15" x14ac:dyDescent="0.2">
      <c r="A1717" s="23">
        <v>46104</v>
      </c>
      <c r="B1717">
        <f t="shared" si="208"/>
        <v>2026</v>
      </c>
      <c r="C1717">
        <f t="shared" si="209"/>
        <v>3</v>
      </c>
      <c r="D1717" t="str">
        <f t="shared" si="210"/>
        <v>Marzo</v>
      </c>
      <c r="E1717" t="str">
        <f t="shared" si="211"/>
        <v>T1</v>
      </c>
      <c r="F1717" t="s">
        <v>1844</v>
      </c>
      <c r="G1717" t="s">
        <v>105</v>
      </c>
      <c r="H1717" t="s">
        <v>62</v>
      </c>
      <c r="I1717" t="s">
        <v>106</v>
      </c>
      <c r="J1717" t="s">
        <v>125</v>
      </c>
      <c r="K1717" t="s">
        <v>138</v>
      </c>
      <c r="L1717" t="s">
        <v>142</v>
      </c>
      <c r="M1717" s="24">
        <v>379</v>
      </c>
      <c r="N1717" s="25">
        <v>1848.13</v>
      </c>
      <c r="O1717" s="25">
        <f t="shared" si="212"/>
        <v>700441.27</v>
      </c>
      <c r="P1717" s="25">
        <v>1501.11</v>
      </c>
      <c r="Q1717" s="25">
        <f t="shared" si="213"/>
        <v>568920.68999999994</v>
      </c>
      <c r="R1717" s="25">
        <f t="shared" si="214"/>
        <v>131520.58000000007</v>
      </c>
      <c r="S1717" s="26">
        <f t="shared" si="215"/>
        <v>0.18776817648109179</v>
      </c>
    </row>
    <row r="1718" spans="1:19" ht="15" x14ac:dyDescent="0.2">
      <c r="A1718" s="23">
        <v>46104</v>
      </c>
      <c r="B1718">
        <f t="shared" si="208"/>
        <v>2026</v>
      </c>
      <c r="C1718">
        <f t="shared" si="209"/>
        <v>3</v>
      </c>
      <c r="D1718" t="str">
        <f t="shared" si="210"/>
        <v>Marzo</v>
      </c>
      <c r="E1718" t="str">
        <f t="shared" si="211"/>
        <v>T1</v>
      </c>
      <c r="F1718" t="s">
        <v>1845</v>
      </c>
      <c r="G1718" t="s">
        <v>74</v>
      </c>
      <c r="H1718" t="s">
        <v>75</v>
      </c>
      <c r="I1718" t="s">
        <v>76</v>
      </c>
      <c r="J1718" t="s">
        <v>77</v>
      </c>
      <c r="K1718" t="s">
        <v>107</v>
      </c>
      <c r="L1718" t="s">
        <v>112</v>
      </c>
      <c r="M1718" s="24">
        <v>12</v>
      </c>
      <c r="N1718" s="25">
        <v>43890.720000000001</v>
      </c>
      <c r="O1718" s="25">
        <f t="shared" si="212"/>
        <v>526688.64</v>
      </c>
      <c r="P1718" s="25">
        <v>28319.75</v>
      </c>
      <c r="Q1718" s="25">
        <f t="shared" si="213"/>
        <v>339837</v>
      </c>
      <c r="R1718" s="25">
        <f t="shared" si="214"/>
        <v>186851.64</v>
      </c>
      <c r="S1718" s="26">
        <f t="shared" si="215"/>
        <v>0.35476679352719664</v>
      </c>
    </row>
    <row r="1719" spans="1:19" ht="15" x14ac:dyDescent="0.2">
      <c r="A1719" s="23">
        <v>46104</v>
      </c>
      <c r="B1719">
        <f t="shared" si="208"/>
        <v>2026</v>
      </c>
      <c r="C1719">
        <f t="shared" si="209"/>
        <v>3</v>
      </c>
      <c r="D1719" t="str">
        <f t="shared" si="210"/>
        <v>Marzo</v>
      </c>
      <c r="E1719" t="str">
        <f t="shared" si="211"/>
        <v>T1</v>
      </c>
      <c r="F1719" t="s">
        <v>1846</v>
      </c>
      <c r="G1719" t="s">
        <v>74</v>
      </c>
      <c r="H1719" t="s">
        <v>75</v>
      </c>
      <c r="I1719" t="s">
        <v>76</v>
      </c>
      <c r="J1719" t="s">
        <v>57</v>
      </c>
      <c r="K1719" t="s">
        <v>58</v>
      </c>
      <c r="L1719" t="s">
        <v>59</v>
      </c>
      <c r="M1719" s="24">
        <v>1</v>
      </c>
      <c r="N1719" s="25">
        <v>5523.2</v>
      </c>
      <c r="O1719" s="25">
        <f t="shared" si="212"/>
        <v>5523.2</v>
      </c>
      <c r="P1719" s="25">
        <v>3838.04</v>
      </c>
      <c r="Q1719" s="25">
        <f t="shared" si="213"/>
        <v>3838.04</v>
      </c>
      <c r="R1719" s="25">
        <f t="shared" si="214"/>
        <v>1685.1599999999999</v>
      </c>
      <c r="S1719" s="26">
        <f t="shared" si="215"/>
        <v>0.30510573580533024</v>
      </c>
    </row>
    <row r="1720" spans="1:19" ht="15" x14ac:dyDescent="0.2">
      <c r="A1720" s="23">
        <v>46104</v>
      </c>
      <c r="B1720">
        <f t="shared" si="208"/>
        <v>2026</v>
      </c>
      <c r="C1720">
        <f t="shared" si="209"/>
        <v>3</v>
      </c>
      <c r="D1720" t="str">
        <f t="shared" si="210"/>
        <v>Marzo</v>
      </c>
      <c r="E1720" t="str">
        <f t="shared" si="211"/>
        <v>T1</v>
      </c>
      <c r="F1720" t="s">
        <v>1847</v>
      </c>
      <c r="G1720" t="s">
        <v>74</v>
      </c>
      <c r="H1720" t="s">
        <v>75</v>
      </c>
      <c r="I1720" t="s">
        <v>76</v>
      </c>
      <c r="J1720" t="s">
        <v>125</v>
      </c>
      <c r="K1720" t="s">
        <v>138</v>
      </c>
      <c r="L1720" t="s">
        <v>139</v>
      </c>
      <c r="M1720" s="24">
        <v>4</v>
      </c>
      <c r="N1720" s="25">
        <v>39092.67</v>
      </c>
      <c r="O1720" s="25">
        <f t="shared" si="212"/>
        <v>156370.68</v>
      </c>
      <c r="P1720" s="25">
        <v>26211.59</v>
      </c>
      <c r="Q1720" s="25">
        <f t="shared" si="213"/>
        <v>104846.36</v>
      </c>
      <c r="R1720" s="25">
        <f t="shared" si="214"/>
        <v>51524.319999999992</v>
      </c>
      <c r="S1720" s="26">
        <f t="shared" si="215"/>
        <v>0.32950115712229427</v>
      </c>
    </row>
    <row r="1721" spans="1:19" ht="15" x14ac:dyDescent="0.2">
      <c r="A1721" s="23">
        <v>46104</v>
      </c>
      <c r="B1721">
        <f t="shared" si="208"/>
        <v>2026</v>
      </c>
      <c r="C1721">
        <f t="shared" si="209"/>
        <v>3</v>
      </c>
      <c r="D1721" t="str">
        <f t="shared" si="210"/>
        <v>Marzo</v>
      </c>
      <c r="E1721" t="str">
        <f t="shared" si="211"/>
        <v>T1</v>
      </c>
      <c r="F1721" t="s">
        <v>1848</v>
      </c>
      <c r="G1721" t="s">
        <v>144</v>
      </c>
      <c r="H1721" t="s">
        <v>88</v>
      </c>
      <c r="I1721" t="s">
        <v>145</v>
      </c>
      <c r="J1721" t="s">
        <v>125</v>
      </c>
      <c r="K1721" t="s">
        <v>138</v>
      </c>
      <c r="L1721" t="s">
        <v>142</v>
      </c>
      <c r="M1721" s="24">
        <v>29</v>
      </c>
      <c r="N1721" s="25">
        <v>12715.86</v>
      </c>
      <c r="O1721" s="25">
        <f t="shared" si="212"/>
        <v>368759.94</v>
      </c>
      <c r="P1721" s="25">
        <v>7036.51</v>
      </c>
      <c r="Q1721" s="25">
        <f t="shared" si="213"/>
        <v>204058.79</v>
      </c>
      <c r="R1721" s="25">
        <f t="shared" si="214"/>
        <v>164701.15</v>
      </c>
      <c r="S1721" s="26">
        <f t="shared" si="215"/>
        <v>0.44663514697393647</v>
      </c>
    </row>
    <row r="1722" spans="1:19" ht="15" x14ac:dyDescent="0.2">
      <c r="A1722" s="23">
        <v>46105</v>
      </c>
      <c r="B1722">
        <f t="shared" si="208"/>
        <v>2026</v>
      </c>
      <c r="C1722">
        <f t="shared" si="209"/>
        <v>3</v>
      </c>
      <c r="D1722" t="str">
        <f t="shared" si="210"/>
        <v>Marzo</v>
      </c>
      <c r="E1722" t="str">
        <f t="shared" si="211"/>
        <v>T1</v>
      </c>
      <c r="F1722" t="s">
        <v>1849</v>
      </c>
      <c r="G1722" t="s">
        <v>114</v>
      </c>
      <c r="H1722" t="s">
        <v>75</v>
      </c>
      <c r="I1722" t="s">
        <v>115</v>
      </c>
      <c r="J1722" t="s">
        <v>64</v>
      </c>
      <c r="K1722" t="s">
        <v>96</v>
      </c>
      <c r="L1722" t="s">
        <v>103</v>
      </c>
      <c r="M1722" s="24">
        <v>4</v>
      </c>
      <c r="N1722" s="25">
        <v>103394.45</v>
      </c>
      <c r="O1722" s="25">
        <f t="shared" si="212"/>
        <v>413577.8</v>
      </c>
      <c r="P1722" s="25">
        <v>71446.070000000007</v>
      </c>
      <c r="Q1722" s="25">
        <f t="shared" si="213"/>
        <v>285784.28000000003</v>
      </c>
      <c r="R1722" s="25">
        <f t="shared" si="214"/>
        <v>127793.51999999996</v>
      </c>
      <c r="S1722" s="26">
        <f t="shared" si="215"/>
        <v>0.30899511530841345</v>
      </c>
    </row>
    <row r="1723" spans="1:19" ht="15" x14ac:dyDescent="0.2">
      <c r="A1723" s="23">
        <v>46105</v>
      </c>
      <c r="B1723">
        <f t="shared" si="208"/>
        <v>2026</v>
      </c>
      <c r="C1723">
        <f t="shared" si="209"/>
        <v>3</v>
      </c>
      <c r="D1723" t="str">
        <f t="shared" si="210"/>
        <v>Marzo</v>
      </c>
      <c r="E1723" t="str">
        <f t="shared" si="211"/>
        <v>T1</v>
      </c>
      <c r="F1723" t="s">
        <v>1850</v>
      </c>
      <c r="G1723" t="s">
        <v>74</v>
      </c>
      <c r="H1723" t="s">
        <v>75</v>
      </c>
      <c r="I1723" t="s">
        <v>76</v>
      </c>
      <c r="J1723" t="s">
        <v>125</v>
      </c>
      <c r="K1723" t="s">
        <v>126</v>
      </c>
      <c r="L1723" t="s">
        <v>127</v>
      </c>
      <c r="M1723" s="24">
        <v>5</v>
      </c>
      <c r="N1723" s="25">
        <v>42525.67</v>
      </c>
      <c r="O1723" s="25">
        <f t="shared" si="212"/>
        <v>212628.34999999998</v>
      </c>
      <c r="P1723" s="25">
        <v>28494.14</v>
      </c>
      <c r="Q1723" s="25">
        <f t="shared" si="213"/>
        <v>142470.70000000001</v>
      </c>
      <c r="R1723" s="25">
        <f t="shared" si="214"/>
        <v>70157.649999999965</v>
      </c>
      <c r="S1723" s="26">
        <f t="shared" si="215"/>
        <v>0.32995435462862771</v>
      </c>
    </row>
    <row r="1724" spans="1:19" ht="15" x14ac:dyDescent="0.2">
      <c r="A1724" s="23">
        <v>46105</v>
      </c>
      <c r="B1724">
        <f t="shared" si="208"/>
        <v>2026</v>
      </c>
      <c r="C1724">
        <f t="shared" si="209"/>
        <v>3</v>
      </c>
      <c r="D1724" t="str">
        <f t="shared" si="210"/>
        <v>Marzo</v>
      </c>
      <c r="E1724" t="str">
        <f t="shared" si="211"/>
        <v>T1</v>
      </c>
      <c r="F1724" t="s">
        <v>1851</v>
      </c>
      <c r="G1724" t="s">
        <v>92</v>
      </c>
      <c r="H1724" t="s">
        <v>93</v>
      </c>
      <c r="I1724" t="s">
        <v>94</v>
      </c>
      <c r="J1724" t="s">
        <v>125</v>
      </c>
      <c r="K1724" t="s">
        <v>138</v>
      </c>
      <c r="L1724" t="s">
        <v>139</v>
      </c>
      <c r="M1724" s="24">
        <v>8</v>
      </c>
      <c r="N1724" s="25">
        <v>20204.8</v>
      </c>
      <c r="O1724" s="25">
        <f t="shared" si="212"/>
        <v>161638.39999999999</v>
      </c>
      <c r="P1724" s="25">
        <v>11832.02</v>
      </c>
      <c r="Q1724" s="25">
        <f t="shared" si="213"/>
        <v>94656.16</v>
      </c>
      <c r="R1724" s="25">
        <f t="shared" si="214"/>
        <v>66982.239999999991</v>
      </c>
      <c r="S1724" s="26">
        <f t="shared" si="215"/>
        <v>0.41439558916693059</v>
      </c>
    </row>
    <row r="1725" spans="1:19" ht="15" x14ac:dyDescent="0.2">
      <c r="A1725" s="23">
        <v>46106</v>
      </c>
      <c r="B1725">
        <f t="shared" si="208"/>
        <v>2026</v>
      </c>
      <c r="C1725">
        <f t="shared" si="209"/>
        <v>3</v>
      </c>
      <c r="D1725" t="str">
        <f t="shared" si="210"/>
        <v>Marzo</v>
      </c>
      <c r="E1725" t="str">
        <f t="shared" si="211"/>
        <v>T1</v>
      </c>
      <c r="F1725" t="s">
        <v>1852</v>
      </c>
      <c r="G1725" t="s">
        <v>74</v>
      </c>
      <c r="H1725" t="s">
        <v>75</v>
      </c>
      <c r="I1725" t="s">
        <v>76</v>
      </c>
      <c r="J1725" t="s">
        <v>64</v>
      </c>
      <c r="K1725" t="s">
        <v>96</v>
      </c>
      <c r="L1725" t="s">
        <v>97</v>
      </c>
      <c r="M1725" s="24">
        <v>26</v>
      </c>
      <c r="N1725" s="25">
        <v>39837.949999999997</v>
      </c>
      <c r="O1725" s="25">
        <f t="shared" si="212"/>
        <v>1035786.7</v>
      </c>
      <c r="P1725" s="25">
        <v>27538.58</v>
      </c>
      <c r="Q1725" s="25">
        <f t="shared" si="213"/>
        <v>716003.08000000007</v>
      </c>
      <c r="R1725" s="25">
        <f t="shared" si="214"/>
        <v>319783.61999999988</v>
      </c>
      <c r="S1725" s="26">
        <f t="shared" si="215"/>
        <v>0.30873501272028292</v>
      </c>
    </row>
    <row r="1726" spans="1:19" ht="15" x14ac:dyDescent="0.2">
      <c r="A1726" s="23">
        <v>46106</v>
      </c>
      <c r="B1726">
        <f t="shared" si="208"/>
        <v>2026</v>
      </c>
      <c r="C1726">
        <f t="shared" si="209"/>
        <v>3</v>
      </c>
      <c r="D1726" t="str">
        <f t="shared" si="210"/>
        <v>Marzo</v>
      </c>
      <c r="E1726" t="str">
        <f t="shared" si="211"/>
        <v>T1</v>
      </c>
      <c r="F1726" t="s">
        <v>1853</v>
      </c>
      <c r="G1726" t="s">
        <v>92</v>
      </c>
      <c r="H1726" t="s">
        <v>93</v>
      </c>
      <c r="I1726" t="s">
        <v>94</v>
      </c>
      <c r="J1726" t="s">
        <v>125</v>
      </c>
      <c r="K1726" t="s">
        <v>126</v>
      </c>
      <c r="L1726" t="s">
        <v>131</v>
      </c>
      <c r="M1726" s="24">
        <v>4</v>
      </c>
      <c r="N1726" s="25">
        <v>20698.88</v>
      </c>
      <c r="O1726" s="25">
        <f t="shared" si="212"/>
        <v>82795.520000000004</v>
      </c>
      <c r="P1726" s="25">
        <v>11720.57</v>
      </c>
      <c r="Q1726" s="25">
        <f t="shared" si="213"/>
        <v>46882.28</v>
      </c>
      <c r="R1726" s="25">
        <f t="shared" si="214"/>
        <v>35913.240000000005</v>
      </c>
      <c r="S1726" s="26">
        <f t="shared" si="215"/>
        <v>0.43375825165419585</v>
      </c>
    </row>
    <row r="1727" spans="1:19" ht="15" x14ac:dyDescent="0.2">
      <c r="A1727" s="23">
        <v>46107</v>
      </c>
      <c r="B1727">
        <f t="shared" si="208"/>
        <v>2026</v>
      </c>
      <c r="C1727">
        <f t="shared" si="209"/>
        <v>3</v>
      </c>
      <c r="D1727" t="str">
        <f t="shared" si="210"/>
        <v>Marzo</v>
      </c>
      <c r="E1727" t="str">
        <f t="shared" si="211"/>
        <v>T1</v>
      </c>
      <c r="F1727" t="s">
        <v>1854</v>
      </c>
      <c r="G1727" t="s">
        <v>68</v>
      </c>
      <c r="H1727" t="s">
        <v>62</v>
      </c>
      <c r="I1727" t="s">
        <v>69</v>
      </c>
      <c r="J1727" t="s">
        <v>77</v>
      </c>
      <c r="K1727" t="s">
        <v>107</v>
      </c>
      <c r="L1727" t="s">
        <v>112</v>
      </c>
      <c r="M1727" s="24">
        <v>234</v>
      </c>
      <c r="N1727" s="25">
        <v>3306.79</v>
      </c>
      <c r="O1727" s="25">
        <f t="shared" si="212"/>
        <v>773788.86</v>
      </c>
      <c r="P1727" s="25">
        <v>2604.67</v>
      </c>
      <c r="Q1727" s="25">
        <f t="shared" si="213"/>
        <v>609492.78</v>
      </c>
      <c r="R1727" s="25">
        <f t="shared" si="214"/>
        <v>164296.07999999996</v>
      </c>
      <c r="S1727" s="26">
        <f t="shared" si="215"/>
        <v>0.21232675797374487</v>
      </c>
    </row>
    <row r="1728" spans="1:19" ht="15" x14ac:dyDescent="0.2">
      <c r="A1728" s="23">
        <v>46107</v>
      </c>
      <c r="B1728">
        <f t="shared" si="208"/>
        <v>2026</v>
      </c>
      <c r="C1728">
        <f t="shared" si="209"/>
        <v>3</v>
      </c>
      <c r="D1728" t="str">
        <f t="shared" si="210"/>
        <v>Marzo</v>
      </c>
      <c r="E1728" t="str">
        <f t="shared" si="211"/>
        <v>T1</v>
      </c>
      <c r="F1728" t="s">
        <v>1855</v>
      </c>
      <c r="G1728" t="s">
        <v>68</v>
      </c>
      <c r="H1728" t="s">
        <v>62</v>
      </c>
      <c r="I1728" t="s">
        <v>69</v>
      </c>
      <c r="J1728" t="s">
        <v>57</v>
      </c>
      <c r="K1728" t="s">
        <v>58</v>
      </c>
      <c r="L1728" t="s">
        <v>59</v>
      </c>
      <c r="M1728" s="24">
        <v>124</v>
      </c>
      <c r="N1728" s="25">
        <v>3193.97</v>
      </c>
      <c r="O1728" s="25">
        <f t="shared" si="212"/>
        <v>396052.27999999997</v>
      </c>
      <c r="P1728" s="25">
        <v>2607.91</v>
      </c>
      <c r="Q1728" s="25">
        <f t="shared" si="213"/>
        <v>323380.83999999997</v>
      </c>
      <c r="R1728" s="25">
        <f t="shared" si="214"/>
        <v>72671.44</v>
      </c>
      <c r="S1728" s="26">
        <f t="shared" si="215"/>
        <v>0.18348951305115579</v>
      </c>
    </row>
    <row r="1729" spans="1:19" ht="15" x14ac:dyDescent="0.2">
      <c r="A1729" s="23">
        <v>46107</v>
      </c>
      <c r="B1729">
        <f t="shared" si="208"/>
        <v>2026</v>
      </c>
      <c r="C1729">
        <f t="shared" si="209"/>
        <v>3</v>
      </c>
      <c r="D1729" t="str">
        <f t="shared" si="210"/>
        <v>Marzo</v>
      </c>
      <c r="E1729" t="str">
        <f t="shared" si="211"/>
        <v>T1</v>
      </c>
      <c r="F1729" t="s">
        <v>1856</v>
      </c>
      <c r="G1729" t="s">
        <v>105</v>
      </c>
      <c r="H1729" t="s">
        <v>62</v>
      </c>
      <c r="I1729" t="s">
        <v>106</v>
      </c>
      <c r="J1729" t="s">
        <v>125</v>
      </c>
      <c r="K1729" t="s">
        <v>126</v>
      </c>
      <c r="L1729" t="s">
        <v>131</v>
      </c>
      <c r="M1729" s="24">
        <v>83</v>
      </c>
      <c r="N1729" s="25">
        <v>1841.03</v>
      </c>
      <c r="O1729" s="25">
        <f t="shared" si="212"/>
        <v>152805.49</v>
      </c>
      <c r="P1729" s="25">
        <v>1494.88</v>
      </c>
      <c r="Q1729" s="25">
        <f t="shared" si="213"/>
        <v>124075.04000000001</v>
      </c>
      <c r="R1729" s="25">
        <f t="shared" si="214"/>
        <v>28730.449999999983</v>
      </c>
      <c r="S1729" s="26">
        <f t="shared" si="215"/>
        <v>0.18801974981396274</v>
      </c>
    </row>
    <row r="1730" spans="1:19" ht="15" x14ac:dyDescent="0.2">
      <c r="A1730" s="23">
        <v>46108</v>
      </c>
      <c r="B1730">
        <f t="shared" ref="B1730:B1793" si="216">YEAR($A1730)</f>
        <v>2026</v>
      </c>
      <c r="C1730">
        <f t="shared" ref="C1730:C1793" si="217">MONTH($A1730)</f>
        <v>3</v>
      </c>
      <c r="D1730" t="str">
        <f t="shared" ref="D1730:D1793" si="218">INDEX(lst_Meses,MONTH($A1730))</f>
        <v>Marzo</v>
      </c>
      <c r="E1730" t="str">
        <f t="shared" ref="E1730:E1793" si="219">"T"&amp;ROUNDUP(MONTH($A1730)/3,0)</f>
        <v>T1</v>
      </c>
      <c r="F1730" t="s">
        <v>1857</v>
      </c>
      <c r="G1730" t="s">
        <v>54</v>
      </c>
      <c r="H1730" t="s">
        <v>55</v>
      </c>
      <c r="I1730" t="s">
        <v>56</v>
      </c>
      <c r="J1730" t="s">
        <v>57</v>
      </c>
      <c r="K1730" t="s">
        <v>58</v>
      </c>
      <c r="L1730" t="s">
        <v>59</v>
      </c>
      <c r="M1730" s="24">
        <v>7</v>
      </c>
      <c r="N1730" s="25">
        <v>53096.22</v>
      </c>
      <c r="O1730" s="25">
        <f t="shared" ref="O1730:O1793" si="220">$M1730*$N1730</f>
        <v>371673.54000000004</v>
      </c>
      <c r="P1730" s="25">
        <v>41701.32</v>
      </c>
      <c r="Q1730" s="25">
        <f t="shared" ref="Q1730:Q1793" si="221">$M1730*$P1730</f>
        <v>291909.24</v>
      </c>
      <c r="R1730" s="25">
        <f t="shared" ref="R1730:R1793" si="222">$O1730-$Q1730</f>
        <v>79764.300000000047</v>
      </c>
      <c r="S1730" s="26">
        <f t="shared" ref="S1730:S1793" si="223">IFERROR($R1730/$O1730,0)</f>
        <v>0.21460849755406328</v>
      </c>
    </row>
    <row r="1731" spans="1:19" ht="15" x14ac:dyDescent="0.2">
      <c r="A1731" s="23">
        <v>46108</v>
      </c>
      <c r="B1731">
        <f t="shared" si="216"/>
        <v>2026</v>
      </c>
      <c r="C1731">
        <f t="shared" si="217"/>
        <v>3</v>
      </c>
      <c r="D1731" t="str">
        <f t="shared" si="218"/>
        <v>Marzo</v>
      </c>
      <c r="E1731" t="str">
        <f t="shared" si="219"/>
        <v>T1</v>
      </c>
      <c r="F1731" t="s">
        <v>1858</v>
      </c>
      <c r="G1731" t="s">
        <v>61</v>
      </c>
      <c r="H1731" t="s">
        <v>62</v>
      </c>
      <c r="I1731" t="s">
        <v>63</v>
      </c>
      <c r="J1731" t="s">
        <v>57</v>
      </c>
      <c r="K1731" t="s">
        <v>58</v>
      </c>
      <c r="L1731" t="s">
        <v>162</v>
      </c>
      <c r="M1731" s="24">
        <v>42</v>
      </c>
      <c r="N1731" s="25">
        <v>5877.47</v>
      </c>
      <c r="O1731" s="25">
        <f t="shared" si="220"/>
        <v>246853.74000000002</v>
      </c>
      <c r="P1731" s="25">
        <v>4832.3999999999996</v>
      </c>
      <c r="Q1731" s="25">
        <f t="shared" si="221"/>
        <v>202960.8</v>
      </c>
      <c r="R1731" s="25">
        <f t="shared" si="222"/>
        <v>43892.940000000031</v>
      </c>
      <c r="S1731" s="26">
        <f t="shared" si="223"/>
        <v>0.17780949966567258</v>
      </c>
    </row>
    <row r="1732" spans="1:19" ht="15" x14ac:dyDescent="0.2">
      <c r="A1732" s="23">
        <v>46108</v>
      </c>
      <c r="B1732">
        <f t="shared" si="216"/>
        <v>2026</v>
      </c>
      <c r="C1732">
        <f t="shared" si="217"/>
        <v>3</v>
      </c>
      <c r="D1732" t="str">
        <f t="shared" si="218"/>
        <v>Marzo</v>
      </c>
      <c r="E1732" t="str">
        <f t="shared" si="219"/>
        <v>T1</v>
      </c>
      <c r="F1732" t="s">
        <v>1859</v>
      </c>
      <c r="G1732" t="s">
        <v>87</v>
      </c>
      <c r="H1732" t="s">
        <v>88</v>
      </c>
      <c r="I1732" t="s">
        <v>89</v>
      </c>
      <c r="J1732" t="s">
        <v>125</v>
      </c>
      <c r="K1732" t="s">
        <v>126</v>
      </c>
      <c r="L1732" t="s">
        <v>131</v>
      </c>
      <c r="M1732" s="24">
        <v>3</v>
      </c>
      <c r="N1732" s="25">
        <v>60743.34</v>
      </c>
      <c r="O1732" s="25">
        <f t="shared" si="220"/>
        <v>182230.02</v>
      </c>
      <c r="P1732" s="25">
        <v>33359.379999999997</v>
      </c>
      <c r="Q1732" s="25">
        <f t="shared" si="221"/>
        <v>100078.13999999998</v>
      </c>
      <c r="R1732" s="25">
        <f t="shared" si="222"/>
        <v>82151.88</v>
      </c>
      <c r="S1732" s="26">
        <f t="shared" si="223"/>
        <v>0.45081419625591879</v>
      </c>
    </row>
    <row r="1733" spans="1:19" ht="15" x14ac:dyDescent="0.2">
      <c r="A1733" s="23">
        <v>46108</v>
      </c>
      <c r="B1733">
        <f t="shared" si="216"/>
        <v>2026</v>
      </c>
      <c r="C1733">
        <f t="shared" si="217"/>
        <v>3</v>
      </c>
      <c r="D1733" t="str">
        <f t="shared" si="218"/>
        <v>Marzo</v>
      </c>
      <c r="E1733" t="str">
        <f t="shared" si="219"/>
        <v>T1</v>
      </c>
      <c r="F1733" t="s">
        <v>1860</v>
      </c>
      <c r="G1733" t="s">
        <v>92</v>
      </c>
      <c r="H1733" t="s">
        <v>93</v>
      </c>
      <c r="I1733" t="s">
        <v>94</v>
      </c>
      <c r="J1733" t="s">
        <v>77</v>
      </c>
      <c r="K1733" t="s">
        <v>107</v>
      </c>
      <c r="L1733" t="s">
        <v>108</v>
      </c>
      <c r="M1733" s="24">
        <v>18</v>
      </c>
      <c r="N1733" s="25">
        <v>22475.47</v>
      </c>
      <c r="O1733" s="25">
        <f t="shared" si="220"/>
        <v>404558.46</v>
      </c>
      <c r="P1733" s="25">
        <v>11887.58</v>
      </c>
      <c r="Q1733" s="25">
        <f t="shared" si="221"/>
        <v>213976.44</v>
      </c>
      <c r="R1733" s="25">
        <f t="shared" si="222"/>
        <v>190582.02000000002</v>
      </c>
      <c r="S1733" s="26">
        <f t="shared" si="223"/>
        <v>0.47108647783561369</v>
      </c>
    </row>
    <row r="1734" spans="1:19" ht="15" x14ac:dyDescent="0.2">
      <c r="A1734" s="23">
        <v>46113</v>
      </c>
      <c r="B1734">
        <f t="shared" si="216"/>
        <v>2026</v>
      </c>
      <c r="C1734">
        <f t="shared" si="217"/>
        <v>4</v>
      </c>
      <c r="D1734" t="str">
        <f t="shared" si="218"/>
        <v>Abril</v>
      </c>
      <c r="E1734" t="str">
        <f t="shared" si="219"/>
        <v>T2</v>
      </c>
      <c r="F1734" t="s">
        <v>1861</v>
      </c>
      <c r="G1734" t="s">
        <v>74</v>
      </c>
      <c r="H1734" t="s">
        <v>75</v>
      </c>
      <c r="I1734" t="s">
        <v>76</v>
      </c>
      <c r="J1734" t="s">
        <v>70</v>
      </c>
      <c r="K1734" t="s">
        <v>71</v>
      </c>
      <c r="L1734" t="s">
        <v>72</v>
      </c>
      <c r="M1734" s="24">
        <v>1</v>
      </c>
      <c r="N1734" s="25">
        <v>45826.78</v>
      </c>
      <c r="O1734" s="25">
        <f t="shared" si="220"/>
        <v>45826.78</v>
      </c>
      <c r="P1734" s="25">
        <v>32900.410000000003</v>
      </c>
      <c r="Q1734" s="25">
        <f t="shared" si="221"/>
        <v>32900.410000000003</v>
      </c>
      <c r="R1734" s="25">
        <f t="shared" si="222"/>
        <v>12926.369999999995</v>
      </c>
      <c r="S1734" s="26">
        <f t="shared" si="223"/>
        <v>0.28207022182226194</v>
      </c>
    </row>
    <row r="1735" spans="1:19" ht="15" x14ac:dyDescent="0.2">
      <c r="A1735" s="23">
        <v>46113</v>
      </c>
      <c r="B1735">
        <f t="shared" si="216"/>
        <v>2026</v>
      </c>
      <c r="C1735">
        <f t="shared" si="217"/>
        <v>4</v>
      </c>
      <c r="D1735" t="str">
        <f t="shared" si="218"/>
        <v>Abril</v>
      </c>
      <c r="E1735" t="str">
        <f t="shared" si="219"/>
        <v>T2</v>
      </c>
      <c r="F1735" t="s">
        <v>1862</v>
      </c>
      <c r="G1735" t="s">
        <v>144</v>
      </c>
      <c r="H1735" t="s">
        <v>88</v>
      </c>
      <c r="I1735" t="s">
        <v>145</v>
      </c>
      <c r="J1735" t="s">
        <v>64</v>
      </c>
      <c r="K1735" t="s">
        <v>65</v>
      </c>
      <c r="L1735" t="s">
        <v>66</v>
      </c>
      <c r="M1735" s="24">
        <v>11</v>
      </c>
      <c r="N1735" s="25">
        <v>12968.39</v>
      </c>
      <c r="O1735" s="25">
        <f t="shared" si="220"/>
        <v>142652.28999999998</v>
      </c>
      <c r="P1735" s="25">
        <v>7238.05</v>
      </c>
      <c r="Q1735" s="25">
        <f t="shared" si="221"/>
        <v>79618.55</v>
      </c>
      <c r="R1735" s="25">
        <f t="shared" si="222"/>
        <v>63033.739999999976</v>
      </c>
      <c r="S1735" s="26">
        <f t="shared" si="223"/>
        <v>0.44186980804864739</v>
      </c>
    </row>
    <row r="1736" spans="1:19" ht="15" x14ac:dyDescent="0.2">
      <c r="A1736" s="23">
        <v>46113</v>
      </c>
      <c r="B1736">
        <f t="shared" si="216"/>
        <v>2026</v>
      </c>
      <c r="C1736">
        <f t="shared" si="217"/>
        <v>4</v>
      </c>
      <c r="D1736" t="str">
        <f t="shared" si="218"/>
        <v>Abril</v>
      </c>
      <c r="E1736" t="str">
        <f t="shared" si="219"/>
        <v>T2</v>
      </c>
      <c r="F1736" t="s">
        <v>1863</v>
      </c>
      <c r="G1736" t="s">
        <v>92</v>
      </c>
      <c r="H1736" t="s">
        <v>93</v>
      </c>
      <c r="I1736" t="s">
        <v>94</v>
      </c>
      <c r="J1736" t="s">
        <v>64</v>
      </c>
      <c r="K1736" t="s">
        <v>65</v>
      </c>
      <c r="L1736" t="s">
        <v>66</v>
      </c>
      <c r="M1736" s="24">
        <v>26</v>
      </c>
      <c r="N1736" s="25">
        <v>20487.03</v>
      </c>
      <c r="O1736" s="25">
        <f t="shared" si="220"/>
        <v>532662.78</v>
      </c>
      <c r="P1736" s="25">
        <v>11966.54</v>
      </c>
      <c r="Q1736" s="25">
        <f t="shared" si="221"/>
        <v>311130.04000000004</v>
      </c>
      <c r="R1736" s="25">
        <f t="shared" si="222"/>
        <v>221532.74</v>
      </c>
      <c r="S1736" s="26">
        <f t="shared" si="223"/>
        <v>0.4158967893345204</v>
      </c>
    </row>
    <row r="1737" spans="1:19" ht="15" x14ac:dyDescent="0.2">
      <c r="A1737" s="23">
        <v>46114</v>
      </c>
      <c r="B1737">
        <f t="shared" si="216"/>
        <v>2026</v>
      </c>
      <c r="C1737">
        <f t="shared" si="217"/>
        <v>4</v>
      </c>
      <c r="D1737" t="str">
        <f t="shared" si="218"/>
        <v>Abril</v>
      </c>
      <c r="E1737" t="str">
        <f t="shared" si="219"/>
        <v>T2</v>
      </c>
      <c r="F1737" t="s">
        <v>1864</v>
      </c>
      <c r="G1737" t="s">
        <v>114</v>
      </c>
      <c r="H1737" t="s">
        <v>75</v>
      </c>
      <c r="I1737" t="s">
        <v>115</v>
      </c>
      <c r="J1737" t="s">
        <v>77</v>
      </c>
      <c r="K1737" t="s">
        <v>107</v>
      </c>
      <c r="L1737" t="s">
        <v>112</v>
      </c>
      <c r="M1737" s="24">
        <v>7</v>
      </c>
      <c r="N1737" s="25">
        <v>104051.36</v>
      </c>
      <c r="O1737" s="25">
        <f t="shared" si="220"/>
        <v>728359.52</v>
      </c>
      <c r="P1737" s="25">
        <v>67307.02</v>
      </c>
      <c r="Q1737" s="25">
        <f t="shared" si="221"/>
        <v>471149.14</v>
      </c>
      <c r="R1737" s="25">
        <f t="shared" si="222"/>
        <v>257210.38</v>
      </c>
      <c r="S1737" s="26">
        <f t="shared" si="223"/>
        <v>0.35313656640336077</v>
      </c>
    </row>
    <row r="1738" spans="1:19" ht="15" x14ac:dyDescent="0.2">
      <c r="A1738" s="23">
        <v>46114</v>
      </c>
      <c r="B1738">
        <f t="shared" si="216"/>
        <v>2026</v>
      </c>
      <c r="C1738">
        <f t="shared" si="217"/>
        <v>4</v>
      </c>
      <c r="D1738" t="str">
        <f t="shared" si="218"/>
        <v>Abril</v>
      </c>
      <c r="E1738" t="str">
        <f t="shared" si="219"/>
        <v>T2</v>
      </c>
      <c r="F1738" t="s">
        <v>1865</v>
      </c>
      <c r="G1738" t="s">
        <v>100</v>
      </c>
      <c r="H1738" t="s">
        <v>88</v>
      </c>
      <c r="I1738" t="s">
        <v>101</v>
      </c>
      <c r="J1738" t="s">
        <v>57</v>
      </c>
      <c r="K1738" t="s">
        <v>81</v>
      </c>
      <c r="L1738" t="s">
        <v>129</v>
      </c>
      <c r="M1738" s="24">
        <v>11</v>
      </c>
      <c r="N1738" s="25">
        <v>36005.07</v>
      </c>
      <c r="O1738" s="25">
        <f t="shared" si="220"/>
        <v>396055.77</v>
      </c>
      <c r="P1738" s="25">
        <v>20066.43</v>
      </c>
      <c r="Q1738" s="25">
        <f t="shared" si="221"/>
        <v>220730.73</v>
      </c>
      <c r="R1738" s="25">
        <f t="shared" si="222"/>
        <v>175325.04</v>
      </c>
      <c r="S1738" s="26">
        <f t="shared" si="223"/>
        <v>0.44267765623008093</v>
      </c>
    </row>
    <row r="1739" spans="1:19" ht="15" x14ac:dyDescent="0.2">
      <c r="A1739" s="23">
        <v>46114</v>
      </c>
      <c r="B1739">
        <f t="shared" si="216"/>
        <v>2026</v>
      </c>
      <c r="C1739">
        <f t="shared" si="217"/>
        <v>4</v>
      </c>
      <c r="D1739" t="str">
        <f t="shared" si="218"/>
        <v>Abril</v>
      </c>
      <c r="E1739" t="str">
        <f t="shared" si="219"/>
        <v>T2</v>
      </c>
      <c r="F1739" t="s">
        <v>1866</v>
      </c>
      <c r="G1739" t="s">
        <v>144</v>
      </c>
      <c r="H1739" t="s">
        <v>88</v>
      </c>
      <c r="I1739" t="s">
        <v>145</v>
      </c>
      <c r="J1739" t="s">
        <v>70</v>
      </c>
      <c r="K1739" t="s">
        <v>84</v>
      </c>
      <c r="L1739" t="s">
        <v>85</v>
      </c>
      <c r="M1739" s="24">
        <v>9</v>
      </c>
      <c r="N1739" s="25">
        <v>11486.2</v>
      </c>
      <c r="O1739" s="25">
        <f t="shared" si="220"/>
        <v>103375.8</v>
      </c>
      <c r="P1739" s="25">
        <v>6904.25</v>
      </c>
      <c r="Q1739" s="25">
        <f t="shared" si="221"/>
        <v>62138.25</v>
      </c>
      <c r="R1739" s="25">
        <f t="shared" si="222"/>
        <v>41237.550000000003</v>
      </c>
      <c r="S1739" s="26">
        <f t="shared" si="223"/>
        <v>0.39890912573348891</v>
      </c>
    </row>
    <row r="1740" spans="1:19" ht="15" x14ac:dyDescent="0.2">
      <c r="A1740" s="23">
        <v>46114</v>
      </c>
      <c r="B1740">
        <f t="shared" si="216"/>
        <v>2026</v>
      </c>
      <c r="C1740">
        <f t="shared" si="217"/>
        <v>4</v>
      </c>
      <c r="D1740" t="str">
        <f t="shared" si="218"/>
        <v>Abril</v>
      </c>
      <c r="E1740" t="str">
        <f t="shared" si="219"/>
        <v>T2</v>
      </c>
      <c r="F1740" t="s">
        <v>1867</v>
      </c>
      <c r="G1740" t="s">
        <v>92</v>
      </c>
      <c r="H1740" t="s">
        <v>93</v>
      </c>
      <c r="I1740" t="s">
        <v>94</v>
      </c>
      <c r="J1740" t="s">
        <v>125</v>
      </c>
      <c r="K1740" t="s">
        <v>126</v>
      </c>
      <c r="L1740" t="s">
        <v>131</v>
      </c>
      <c r="M1740" s="24">
        <v>3</v>
      </c>
      <c r="N1740" s="25">
        <v>19668.64</v>
      </c>
      <c r="O1740" s="25">
        <f t="shared" si="220"/>
        <v>59005.919999999998</v>
      </c>
      <c r="P1740" s="25">
        <v>11195.84</v>
      </c>
      <c r="Q1740" s="25">
        <f t="shared" si="221"/>
        <v>33587.520000000004</v>
      </c>
      <c r="R1740" s="25">
        <f t="shared" si="222"/>
        <v>25418.399999999994</v>
      </c>
      <c r="S1740" s="26">
        <f t="shared" si="223"/>
        <v>0.43077711524538548</v>
      </c>
    </row>
    <row r="1741" spans="1:19" ht="15" x14ac:dyDescent="0.2">
      <c r="A1741" s="23">
        <v>46114</v>
      </c>
      <c r="B1741">
        <f t="shared" si="216"/>
        <v>2026</v>
      </c>
      <c r="C1741">
        <f t="shared" si="217"/>
        <v>4</v>
      </c>
      <c r="D1741" t="str">
        <f t="shared" si="218"/>
        <v>Abril</v>
      </c>
      <c r="E1741" t="str">
        <f t="shared" si="219"/>
        <v>T2</v>
      </c>
      <c r="F1741" t="s">
        <v>1868</v>
      </c>
      <c r="G1741" t="s">
        <v>149</v>
      </c>
      <c r="H1741" t="s">
        <v>93</v>
      </c>
      <c r="I1741" t="s">
        <v>150</v>
      </c>
      <c r="J1741" t="s">
        <v>70</v>
      </c>
      <c r="K1741" t="s">
        <v>84</v>
      </c>
      <c r="L1741" t="s">
        <v>85</v>
      </c>
      <c r="M1741" s="24">
        <v>2</v>
      </c>
      <c r="N1741" s="25">
        <v>45620.75</v>
      </c>
      <c r="O1741" s="25">
        <f t="shared" si="220"/>
        <v>91241.5</v>
      </c>
      <c r="P1741" s="25">
        <v>28149.42</v>
      </c>
      <c r="Q1741" s="25">
        <f t="shared" si="221"/>
        <v>56298.84</v>
      </c>
      <c r="R1741" s="25">
        <f t="shared" si="222"/>
        <v>34942.660000000003</v>
      </c>
      <c r="S1741" s="26">
        <f t="shared" si="223"/>
        <v>0.38296893409249083</v>
      </c>
    </row>
    <row r="1742" spans="1:19" ht="15" x14ac:dyDescent="0.2">
      <c r="A1742" s="23">
        <v>46115</v>
      </c>
      <c r="B1742">
        <f t="shared" si="216"/>
        <v>2026</v>
      </c>
      <c r="C1742">
        <f t="shared" si="217"/>
        <v>4</v>
      </c>
      <c r="D1742" t="str">
        <f t="shared" si="218"/>
        <v>Abril</v>
      </c>
      <c r="E1742" t="str">
        <f t="shared" si="219"/>
        <v>T2</v>
      </c>
      <c r="F1742" t="s">
        <v>1869</v>
      </c>
      <c r="G1742" t="s">
        <v>105</v>
      </c>
      <c r="H1742" t="s">
        <v>62</v>
      </c>
      <c r="I1742" t="s">
        <v>106</v>
      </c>
      <c r="J1742" t="s">
        <v>57</v>
      </c>
      <c r="K1742" t="s">
        <v>81</v>
      </c>
      <c r="L1742" t="s">
        <v>129</v>
      </c>
      <c r="M1742" s="24">
        <v>376</v>
      </c>
      <c r="N1742" s="25">
        <v>1841.11</v>
      </c>
      <c r="O1742" s="25">
        <f t="shared" si="220"/>
        <v>692257.36</v>
      </c>
      <c r="P1742" s="25">
        <v>1498.37</v>
      </c>
      <c r="Q1742" s="25">
        <f t="shared" si="221"/>
        <v>563387.12</v>
      </c>
      <c r="R1742" s="25">
        <f t="shared" si="222"/>
        <v>128870.23999999999</v>
      </c>
      <c r="S1742" s="26">
        <f t="shared" si="223"/>
        <v>0.18615943642693808</v>
      </c>
    </row>
    <row r="1743" spans="1:19" ht="15" x14ac:dyDescent="0.2">
      <c r="A1743" s="23">
        <v>46115</v>
      </c>
      <c r="B1743">
        <f t="shared" si="216"/>
        <v>2026</v>
      </c>
      <c r="C1743">
        <f t="shared" si="217"/>
        <v>4</v>
      </c>
      <c r="D1743" t="str">
        <f t="shared" si="218"/>
        <v>Abril</v>
      </c>
      <c r="E1743" t="str">
        <f t="shared" si="219"/>
        <v>T2</v>
      </c>
      <c r="F1743" t="s">
        <v>1870</v>
      </c>
      <c r="G1743" t="s">
        <v>74</v>
      </c>
      <c r="H1743" t="s">
        <v>75</v>
      </c>
      <c r="I1743" t="s">
        <v>76</v>
      </c>
      <c r="J1743" t="s">
        <v>125</v>
      </c>
      <c r="K1743" t="s">
        <v>138</v>
      </c>
      <c r="L1743" t="s">
        <v>142</v>
      </c>
      <c r="M1743" s="24">
        <v>4</v>
      </c>
      <c r="N1743" s="25">
        <v>42618.54</v>
      </c>
      <c r="O1743" s="25">
        <f t="shared" si="220"/>
        <v>170474.16</v>
      </c>
      <c r="P1743" s="25">
        <v>28774.78</v>
      </c>
      <c r="Q1743" s="25">
        <f t="shared" si="221"/>
        <v>115099.12</v>
      </c>
      <c r="R1743" s="25">
        <f t="shared" si="222"/>
        <v>55375.040000000008</v>
      </c>
      <c r="S1743" s="26">
        <f t="shared" si="223"/>
        <v>0.32482952255051445</v>
      </c>
    </row>
    <row r="1744" spans="1:19" ht="15" x14ac:dyDescent="0.2">
      <c r="A1744" s="23">
        <v>46116</v>
      </c>
      <c r="B1744">
        <f t="shared" si="216"/>
        <v>2026</v>
      </c>
      <c r="C1744">
        <f t="shared" si="217"/>
        <v>4</v>
      </c>
      <c r="D1744" t="str">
        <f t="shared" si="218"/>
        <v>Abril</v>
      </c>
      <c r="E1744" t="str">
        <f t="shared" si="219"/>
        <v>T2</v>
      </c>
      <c r="F1744" t="s">
        <v>1871</v>
      </c>
      <c r="G1744" t="s">
        <v>54</v>
      </c>
      <c r="H1744" t="s">
        <v>55</v>
      </c>
      <c r="I1744" t="s">
        <v>56</v>
      </c>
      <c r="J1744" t="s">
        <v>125</v>
      </c>
      <c r="K1744" t="s">
        <v>138</v>
      </c>
      <c r="L1744" t="s">
        <v>142</v>
      </c>
      <c r="M1744" s="24">
        <v>9</v>
      </c>
      <c r="N1744" s="25">
        <v>56659.58</v>
      </c>
      <c r="O1744" s="25">
        <f t="shared" si="220"/>
        <v>509936.22000000003</v>
      </c>
      <c r="P1744" s="25">
        <v>44326.46</v>
      </c>
      <c r="Q1744" s="25">
        <f t="shared" si="221"/>
        <v>398938.14</v>
      </c>
      <c r="R1744" s="25">
        <f t="shared" si="222"/>
        <v>110998.08000000002</v>
      </c>
      <c r="S1744" s="26">
        <f t="shared" si="223"/>
        <v>0.21767051573626209</v>
      </c>
    </row>
    <row r="1745" spans="1:19" ht="15" x14ac:dyDescent="0.2">
      <c r="A1745" s="23">
        <v>46116</v>
      </c>
      <c r="B1745">
        <f t="shared" si="216"/>
        <v>2026</v>
      </c>
      <c r="C1745">
        <f t="shared" si="217"/>
        <v>4</v>
      </c>
      <c r="D1745" t="str">
        <f t="shared" si="218"/>
        <v>Abril</v>
      </c>
      <c r="E1745" t="str">
        <f t="shared" si="219"/>
        <v>T2</v>
      </c>
      <c r="F1745" t="s">
        <v>1872</v>
      </c>
      <c r="G1745" t="s">
        <v>54</v>
      </c>
      <c r="H1745" t="s">
        <v>55</v>
      </c>
      <c r="I1745" t="s">
        <v>56</v>
      </c>
      <c r="J1745" t="s">
        <v>125</v>
      </c>
      <c r="K1745" t="s">
        <v>126</v>
      </c>
      <c r="L1745" t="s">
        <v>131</v>
      </c>
      <c r="M1745" s="24">
        <v>5</v>
      </c>
      <c r="N1745" s="25">
        <v>53897.61</v>
      </c>
      <c r="O1745" s="25">
        <f t="shared" si="220"/>
        <v>269488.05</v>
      </c>
      <c r="P1745" s="25">
        <v>42031.79</v>
      </c>
      <c r="Q1745" s="25">
        <f t="shared" si="221"/>
        <v>210158.95</v>
      </c>
      <c r="R1745" s="25">
        <f t="shared" si="222"/>
        <v>59329.099999999977</v>
      </c>
      <c r="S1745" s="26">
        <f t="shared" si="223"/>
        <v>0.22015484545604147</v>
      </c>
    </row>
    <row r="1746" spans="1:19" ht="15" x14ac:dyDescent="0.2">
      <c r="A1746" s="23">
        <v>46116</v>
      </c>
      <c r="B1746">
        <f t="shared" si="216"/>
        <v>2026</v>
      </c>
      <c r="C1746">
        <f t="shared" si="217"/>
        <v>4</v>
      </c>
      <c r="D1746" t="str">
        <f t="shared" si="218"/>
        <v>Abril</v>
      </c>
      <c r="E1746" t="str">
        <f t="shared" si="219"/>
        <v>T2</v>
      </c>
      <c r="F1746" t="s">
        <v>1873</v>
      </c>
      <c r="G1746" t="s">
        <v>149</v>
      </c>
      <c r="H1746" t="s">
        <v>93</v>
      </c>
      <c r="I1746" t="s">
        <v>150</v>
      </c>
      <c r="J1746" t="s">
        <v>125</v>
      </c>
      <c r="K1746" t="s">
        <v>138</v>
      </c>
      <c r="L1746" t="s">
        <v>139</v>
      </c>
      <c r="M1746" s="24">
        <v>3</v>
      </c>
      <c r="N1746" s="25">
        <v>44917.52</v>
      </c>
      <c r="O1746" s="25">
        <f t="shared" si="220"/>
        <v>134752.56</v>
      </c>
      <c r="P1746" s="25">
        <v>25402.71</v>
      </c>
      <c r="Q1746" s="25">
        <f t="shared" si="221"/>
        <v>76208.13</v>
      </c>
      <c r="R1746" s="25">
        <f t="shared" si="222"/>
        <v>58544.429999999993</v>
      </c>
      <c r="S1746" s="26">
        <f t="shared" si="223"/>
        <v>0.43445875907663645</v>
      </c>
    </row>
    <row r="1747" spans="1:19" ht="15" x14ac:dyDescent="0.2">
      <c r="A1747" s="23">
        <v>46117</v>
      </c>
      <c r="B1747">
        <f t="shared" si="216"/>
        <v>2026</v>
      </c>
      <c r="C1747">
        <f t="shared" si="217"/>
        <v>4</v>
      </c>
      <c r="D1747" t="str">
        <f t="shared" si="218"/>
        <v>Abril</v>
      </c>
      <c r="E1747" t="str">
        <f t="shared" si="219"/>
        <v>T2</v>
      </c>
      <c r="F1747" t="s">
        <v>1874</v>
      </c>
      <c r="G1747" t="s">
        <v>282</v>
      </c>
      <c r="H1747" t="s">
        <v>55</v>
      </c>
      <c r="I1747" t="s">
        <v>56</v>
      </c>
      <c r="J1747" t="s">
        <v>64</v>
      </c>
      <c r="K1747" t="s">
        <v>65</v>
      </c>
      <c r="L1747" t="s">
        <v>123</v>
      </c>
      <c r="M1747" s="24">
        <v>3</v>
      </c>
      <c r="N1747" s="25">
        <v>442075.5</v>
      </c>
      <c r="O1747" s="25">
        <f t="shared" si="220"/>
        <v>1326226.5</v>
      </c>
      <c r="P1747" s="25">
        <v>351007.11</v>
      </c>
      <c r="Q1747" s="25">
        <f t="shared" si="221"/>
        <v>1053021.33</v>
      </c>
      <c r="R1747" s="25">
        <f t="shared" si="222"/>
        <v>273205.16999999993</v>
      </c>
      <c r="S1747" s="26">
        <f t="shared" si="223"/>
        <v>0.20600189334174812</v>
      </c>
    </row>
    <row r="1748" spans="1:19" ht="15" x14ac:dyDescent="0.2">
      <c r="A1748" s="23">
        <v>46117</v>
      </c>
      <c r="B1748">
        <f t="shared" si="216"/>
        <v>2026</v>
      </c>
      <c r="C1748">
        <f t="shared" si="217"/>
        <v>4</v>
      </c>
      <c r="D1748" t="str">
        <f t="shared" si="218"/>
        <v>Abril</v>
      </c>
      <c r="E1748" t="str">
        <f t="shared" si="219"/>
        <v>T2</v>
      </c>
      <c r="F1748" t="s">
        <v>1875</v>
      </c>
      <c r="G1748" t="s">
        <v>282</v>
      </c>
      <c r="H1748" t="s">
        <v>55</v>
      </c>
      <c r="I1748" t="s">
        <v>56</v>
      </c>
      <c r="J1748" t="s">
        <v>64</v>
      </c>
      <c r="K1748" t="s">
        <v>65</v>
      </c>
      <c r="L1748" t="s">
        <v>66</v>
      </c>
      <c r="M1748" s="24">
        <v>2</v>
      </c>
      <c r="N1748" s="25">
        <v>497014.92</v>
      </c>
      <c r="O1748" s="25">
        <f t="shared" si="220"/>
        <v>994029.84</v>
      </c>
      <c r="P1748" s="25">
        <v>399152.16</v>
      </c>
      <c r="Q1748" s="25">
        <f t="shared" si="221"/>
        <v>798304.32</v>
      </c>
      <c r="R1748" s="25">
        <f t="shared" si="222"/>
        <v>195725.52000000002</v>
      </c>
      <c r="S1748" s="26">
        <f t="shared" si="223"/>
        <v>0.19690105077730868</v>
      </c>
    </row>
    <row r="1749" spans="1:19" ht="15" x14ac:dyDescent="0.2">
      <c r="A1749" s="23">
        <v>46117</v>
      </c>
      <c r="B1749">
        <f t="shared" si="216"/>
        <v>2026</v>
      </c>
      <c r="C1749">
        <f t="shared" si="217"/>
        <v>4</v>
      </c>
      <c r="D1749" t="str">
        <f t="shared" si="218"/>
        <v>Abril</v>
      </c>
      <c r="E1749" t="str">
        <f t="shared" si="219"/>
        <v>T2</v>
      </c>
      <c r="F1749" t="s">
        <v>1876</v>
      </c>
      <c r="G1749" t="s">
        <v>183</v>
      </c>
      <c r="H1749" t="s">
        <v>55</v>
      </c>
      <c r="I1749" t="s">
        <v>184</v>
      </c>
      <c r="J1749" t="s">
        <v>77</v>
      </c>
      <c r="K1749" t="s">
        <v>107</v>
      </c>
      <c r="L1749" t="s">
        <v>108</v>
      </c>
      <c r="M1749" s="24">
        <v>2</v>
      </c>
      <c r="N1749" s="25">
        <v>413759.52</v>
      </c>
      <c r="O1749" s="25">
        <f t="shared" si="220"/>
        <v>827519.04</v>
      </c>
      <c r="P1749" s="25">
        <v>312488.46999999997</v>
      </c>
      <c r="Q1749" s="25">
        <f t="shared" si="221"/>
        <v>624976.93999999994</v>
      </c>
      <c r="R1749" s="25">
        <f t="shared" si="222"/>
        <v>202542.10000000009</v>
      </c>
      <c r="S1749" s="26">
        <f t="shared" si="223"/>
        <v>0.24475823541171945</v>
      </c>
    </row>
    <row r="1750" spans="1:19" ht="15" x14ac:dyDescent="0.2">
      <c r="A1750" s="23">
        <v>46117</v>
      </c>
      <c r="B1750">
        <f t="shared" si="216"/>
        <v>2026</v>
      </c>
      <c r="C1750">
        <f t="shared" si="217"/>
        <v>4</v>
      </c>
      <c r="D1750" t="str">
        <f t="shared" si="218"/>
        <v>Abril</v>
      </c>
      <c r="E1750" t="str">
        <f t="shared" si="219"/>
        <v>T2</v>
      </c>
      <c r="F1750" t="s">
        <v>1877</v>
      </c>
      <c r="G1750" t="s">
        <v>54</v>
      </c>
      <c r="H1750" t="s">
        <v>55</v>
      </c>
      <c r="I1750" t="s">
        <v>56</v>
      </c>
      <c r="J1750" t="s">
        <v>125</v>
      </c>
      <c r="K1750" t="s">
        <v>126</v>
      </c>
      <c r="L1750" t="s">
        <v>127</v>
      </c>
      <c r="M1750" s="24">
        <v>5</v>
      </c>
      <c r="N1750" s="25">
        <v>48081.27</v>
      </c>
      <c r="O1750" s="25">
        <f t="shared" si="220"/>
        <v>240406.34999999998</v>
      </c>
      <c r="P1750" s="25">
        <v>37870.81</v>
      </c>
      <c r="Q1750" s="25">
        <f t="shared" si="221"/>
        <v>189354.05</v>
      </c>
      <c r="R1750" s="25">
        <f t="shared" si="222"/>
        <v>51052.299999999988</v>
      </c>
      <c r="S1750" s="26">
        <f t="shared" si="223"/>
        <v>0.21235836740585259</v>
      </c>
    </row>
    <row r="1751" spans="1:19" ht="15" x14ac:dyDescent="0.2">
      <c r="A1751" s="23">
        <v>46117</v>
      </c>
      <c r="B1751">
        <f t="shared" si="216"/>
        <v>2026</v>
      </c>
      <c r="C1751">
        <f t="shared" si="217"/>
        <v>4</v>
      </c>
      <c r="D1751" t="str">
        <f t="shared" si="218"/>
        <v>Abril</v>
      </c>
      <c r="E1751" t="str">
        <f t="shared" si="219"/>
        <v>T2</v>
      </c>
      <c r="F1751" t="s">
        <v>1878</v>
      </c>
      <c r="G1751" t="s">
        <v>206</v>
      </c>
      <c r="H1751" t="s">
        <v>93</v>
      </c>
      <c r="I1751" t="s">
        <v>207</v>
      </c>
      <c r="J1751" t="s">
        <v>57</v>
      </c>
      <c r="K1751" t="s">
        <v>81</v>
      </c>
      <c r="L1751" t="s">
        <v>82</v>
      </c>
      <c r="M1751" s="24">
        <v>2</v>
      </c>
      <c r="N1751" s="25">
        <v>136873.79999999999</v>
      </c>
      <c r="O1751" s="25">
        <f t="shared" si="220"/>
        <v>273747.59999999998</v>
      </c>
      <c r="P1751" s="25">
        <v>79826.44</v>
      </c>
      <c r="Q1751" s="25">
        <f t="shared" si="221"/>
        <v>159652.88</v>
      </c>
      <c r="R1751" s="25">
        <f t="shared" si="222"/>
        <v>114094.71999999997</v>
      </c>
      <c r="S1751" s="26">
        <f t="shared" si="223"/>
        <v>0.41678801932875387</v>
      </c>
    </row>
    <row r="1752" spans="1:19" ht="15" x14ac:dyDescent="0.2">
      <c r="A1752" s="23">
        <v>46118</v>
      </c>
      <c r="B1752">
        <f t="shared" si="216"/>
        <v>2026</v>
      </c>
      <c r="C1752">
        <f t="shared" si="217"/>
        <v>4</v>
      </c>
      <c r="D1752" t="str">
        <f t="shared" si="218"/>
        <v>Abril</v>
      </c>
      <c r="E1752" t="str">
        <f t="shared" si="219"/>
        <v>T2</v>
      </c>
      <c r="F1752" t="s">
        <v>1879</v>
      </c>
      <c r="G1752" t="s">
        <v>183</v>
      </c>
      <c r="H1752" t="s">
        <v>55</v>
      </c>
      <c r="I1752" t="s">
        <v>184</v>
      </c>
      <c r="J1752" t="s">
        <v>57</v>
      </c>
      <c r="K1752" t="s">
        <v>81</v>
      </c>
      <c r="L1752" t="s">
        <v>82</v>
      </c>
      <c r="M1752" s="24">
        <v>3</v>
      </c>
      <c r="N1752" s="25">
        <v>334266.49</v>
      </c>
      <c r="O1752" s="25">
        <f t="shared" si="220"/>
        <v>1002799.47</v>
      </c>
      <c r="P1752" s="25">
        <v>262024.56</v>
      </c>
      <c r="Q1752" s="25">
        <f t="shared" si="221"/>
        <v>786073.67999999993</v>
      </c>
      <c r="R1752" s="25">
        <f t="shared" si="222"/>
        <v>216725.79000000004</v>
      </c>
      <c r="S1752" s="26">
        <f t="shared" si="223"/>
        <v>0.21612076639809158</v>
      </c>
    </row>
    <row r="1753" spans="1:19" ht="15" x14ac:dyDescent="0.2">
      <c r="A1753" s="23">
        <v>46118</v>
      </c>
      <c r="B1753">
        <f t="shared" si="216"/>
        <v>2026</v>
      </c>
      <c r="C1753">
        <f t="shared" si="217"/>
        <v>4</v>
      </c>
      <c r="D1753" t="str">
        <f t="shared" si="218"/>
        <v>Abril</v>
      </c>
      <c r="E1753" t="str">
        <f t="shared" si="219"/>
        <v>T2</v>
      </c>
      <c r="F1753" t="s">
        <v>1880</v>
      </c>
      <c r="G1753" t="s">
        <v>61</v>
      </c>
      <c r="H1753" t="s">
        <v>62</v>
      </c>
      <c r="I1753" t="s">
        <v>63</v>
      </c>
      <c r="J1753" t="s">
        <v>125</v>
      </c>
      <c r="K1753" t="s">
        <v>138</v>
      </c>
      <c r="L1753" t="s">
        <v>142</v>
      </c>
      <c r="M1753" s="24">
        <v>53</v>
      </c>
      <c r="N1753" s="25">
        <v>5901.3</v>
      </c>
      <c r="O1753" s="25">
        <f t="shared" si="220"/>
        <v>312768.90000000002</v>
      </c>
      <c r="P1753" s="25">
        <v>4795.3500000000004</v>
      </c>
      <c r="Q1753" s="25">
        <f t="shared" si="221"/>
        <v>254153.55000000002</v>
      </c>
      <c r="R1753" s="25">
        <f t="shared" si="222"/>
        <v>58615.350000000006</v>
      </c>
      <c r="S1753" s="26">
        <f t="shared" si="223"/>
        <v>0.18740785928524223</v>
      </c>
    </row>
    <row r="1754" spans="1:19" ht="15" x14ac:dyDescent="0.2">
      <c r="A1754" s="23">
        <v>46118</v>
      </c>
      <c r="B1754">
        <f t="shared" si="216"/>
        <v>2026</v>
      </c>
      <c r="C1754">
        <f t="shared" si="217"/>
        <v>4</v>
      </c>
      <c r="D1754" t="str">
        <f t="shared" si="218"/>
        <v>Abril</v>
      </c>
      <c r="E1754" t="str">
        <f t="shared" si="219"/>
        <v>T2</v>
      </c>
      <c r="F1754" t="s">
        <v>1881</v>
      </c>
      <c r="G1754" t="s">
        <v>68</v>
      </c>
      <c r="H1754" t="s">
        <v>62</v>
      </c>
      <c r="I1754" t="s">
        <v>69</v>
      </c>
      <c r="J1754" t="s">
        <v>70</v>
      </c>
      <c r="K1754" t="s">
        <v>84</v>
      </c>
      <c r="L1754" t="s">
        <v>85</v>
      </c>
      <c r="M1754" s="24">
        <v>118</v>
      </c>
      <c r="N1754" s="25">
        <v>3044.7</v>
      </c>
      <c r="O1754" s="25">
        <f t="shared" si="220"/>
        <v>359274.6</v>
      </c>
      <c r="P1754" s="25">
        <v>2591.9699999999998</v>
      </c>
      <c r="Q1754" s="25">
        <f t="shared" si="221"/>
        <v>305852.45999999996</v>
      </c>
      <c r="R1754" s="25">
        <f t="shared" si="222"/>
        <v>53422.140000000014</v>
      </c>
      <c r="S1754" s="26">
        <f t="shared" si="223"/>
        <v>0.14869445265543407</v>
      </c>
    </row>
    <row r="1755" spans="1:19" ht="15" x14ac:dyDescent="0.2">
      <c r="A1755" s="23">
        <v>46118</v>
      </c>
      <c r="B1755">
        <f t="shared" si="216"/>
        <v>2026</v>
      </c>
      <c r="C1755">
        <f t="shared" si="217"/>
        <v>4</v>
      </c>
      <c r="D1755" t="str">
        <f t="shared" si="218"/>
        <v>Abril</v>
      </c>
      <c r="E1755" t="str">
        <f t="shared" si="219"/>
        <v>T2</v>
      </c>
      <c r="F1755" t="s">
        <v>1882</v>
      </c>
      <c r="G1755" t="s">
        <v>74</v>
      </c>
      <c r="H1755" t="s">
        <v>75</v>
      </c>
      <c r="I1755" t="s">
        <v>76</v>
      </c>
      <c r="J1755" t="s">
        <v>77</v>
      </c>
      <c r="K1755" t="s">
        <v>78</v>
      </c>
      <c r="L1755" t="s">
        <v>79</v>
      </c>
      <c r="M1755" s="24">
        <v>6</v>
      </c>
      <c r="N1755" s="25">
        <v>41411.370000000003</v>
      </c>
      <c r="O1755" s="25">
        <f t="shared" si="220"/>
        <v>248468.22000000003</v>
      </c>
      <c r="P1755" s="25">
        <v>27512.37</v>
      </c>
      <c r="Q1755" s="25">
        <f t="shared" si="221"/>
        <v>165074.22</v>
      </c>
      <c r="R1755" s="25">
        <f t="shared" si="222"/>
        <v>83394.000000000029</v>
      </c>
      <c r="S1755" s="26">
        <f t="shared" si="223"/>
        <v>0.33563246036052424</v>
      </c>
    </row>
    <row r="1756" spans="1:19" ht="15" x14ac:dyDescent="0.2">
      <c r="A1756" s="23">
        <v>46118</v>
      </c>
      <c r="B1756">
        <f t="shared" si="216"/>
        <v>2026</v>
      </c>
      <c r="C1756">
        <f t="shared" si="217"/>
        <v>4</v>
      </c>
      <c r="D1756" t="str">
        <f t="shared" si="218"/>
        <v>Abril</v>
      </c>
      <c r="E1756" t="str">
        <f t="shared" si="219"/>
        <v>T2</v>
      </c>
      <c r="F1756" t="s">
        <v>1883</v>
      </c>
      <c r="G1756" t="s">
        <v>188</v>
      </c>
      <c r="H1756" t="s">
        <v>88</v>
      </c>
      <c r="I1756" t="s">
        <v>189</v>
      </c>
      <c r="J1756" t="s">
        <v>125</v>
      </c>
      <c r="K1756" t="s">
        <v>126</v>
      </c>
      <c r="L1756" t="s">
        <v>127</v>
      </c>
      <c r="M1756" s="24">
        <v>2</v>
      </c>
      <c r="N1756" s="25">
        <v>85300.01</v>
      </c>
      <c r="O1756" s="25">
        <f t="shared" si="220"/>
        <v>170600.02</v>
      </c>
      <c r="P1756" s="25">
        <v>48373.89</v>
      </c>
      <c r="Q1756" s="25">
        <f t="shared" si="221"/>
        <v>96747.78</v>
      </c>
      <c r="R1756" s="25">
        <f t="shared" si="222"/>
        <v>73852.239999999991</v>
      </c>
      <c r="S1756" s="26">
        <f t="shared" si="223"/>
        <v>0.43289701841770006</v>
      </c>
    </row>
    <row r="1757" spans="1:19" ht="15" x14ac:dyDescent="0.2">
      <c r="A1757" s="23">
        <v>46119</v>
      </c>
      <c r="B1757">
        <f t="shared" si="216"/>
        <v>2026</v>
      </c>
      <c r="C1757">
        <f t="shared" si="217"/>
        <v>4</v>
      </c>
      <c r="D1757" t="str">
        <f t="shared" si="218"/>
        <v>Abril</v>
      </c>
      <c r="E1757" t="str">
        <f t="shared" si="219"/>
        <v>T2</v>
      </c>
      <c r="F1757" t="s">
        <v>1884</v>
      </c>
      <c r="G1757" t="s">
        <v>54</v>
      </c>
      <c r="H1757" t="s">
        <v>55</v>
      </c>
      <c r="I1757" t="s">
        <v>56</v>
      </c>
      <c r="J1757" t="s">
        <v>77</v>
      </c>
      <c r="K1757" t="s">
        <v>107</v>
      </c>
      <c r="L1757" t="s">
        <v>108</v>
      </c>
      <c r="M1757" s="24">
        <v>1</v>
      </c>
      <c r="N1757" s="25">
        <v>66735.63</v>
      </c>
      <c r="O1757" s="25">
        <f t="shared" si="220"/>
        <v>66735.63</v>
      </c>
      <c r="P1757" s="25">
        <v>49759.32</v>
      </c>
      <c r="Q1757" s="25">
        <f t="shared" si="221"/>
        <v>49759.32</v>
      </c>
      <c r="R1757" s="25">
        <f t="shared" si="222"/>
        <v>16976.310000000005</v>
      </c>
      <c r="S1757" s="26">
        <f t="shared" si="223"/>
        <v>0.25438150505209889</v>
      </c>
    </row>
    <row r="1758" spans="1:19" ht="15" x14ac:dyDescent="0.2">
      <c r="A1758" s="23">
        <v>46119</v>
      </c>
      <c r="B1758">
        <f t="shared" si="216"/>
        <v>2026</v>
      </c>
      <c r="C1758">
        <f t="shared" si="217"/>
        <v>4</v>
      </c>
      <c r="D1758" t="str">
        <f t="shared" si="218"/>
        <v>Abril</v>
      </c>
      <c r="E1758" t="str">
        <f t="shared" si="219"/>
        <v>T2</v>
      </c>
      <c r="F1758" t="s">
        <v>1885</v>
      </c>
      <c r="G1758" t="s">
        <v>61</v>
      </c>
      <c r="H1758" t="s">
        <v>62</v>
      </c>
      <c r="I1758" t="s">
        <v>63</v>
      </c>
      <c r="J1758" t="s">
        <v>64</v>
      </c>
      <c r="K1758" t="s">
        <v>96</v>
      </c>
      <c r="L1758" t="s">
        <v>97</v>
      </c>
      <c r="M1758" s="24">
        <v>9</v>
      </c>
      <c r="N1758" s="25">
        <v>5654.57</v>
      </c>
      <c r="O1758" s="25">
        <f t="shared" si="220"/>
        <v>50891.13</v>
      </c>
      <c r="P1758" s="25">
        <v>4735.1400000000003</v>
      </c>
      <c r="Q1758" s="25">
        <f t="shared" si="221"/>
        <v>42616.26</v>
      </c>
      <c r="R1758" s="25">
        <f t="shared" si="222"/>
        <v>8274.8699999999953</v>
      </c>
      <c r="S1758" s="26">
        <f t="shared" si="223"/>
        <v>0.16259945495413436</v>
      </c>
    </row>
    <row r="1759" spans="1:19" ht="15" x14ac:dyDescent="0.2">
      <c r="A1759" s="23">
        <v>46119</v>
      </c>
      <c r="B1759">
        <f t="shared" si="216"/>
        <v>2026</v>
      </c>
      <c r="C1759">
        <f t="shared" si="217"/>
        <v>4</v>
      </c>
      <c r="D1759" t="str">
        <f t="shared" si="218"/>
        <v>Abril</v>
      </c>
      <c r="E1759" t="str">
        <f t="shared" si="219"/>
        <v>T2</v>
      </c>
      <c r="F1759" t="s">
        <v>1886</v>
      </c>
      <c r="G1759" t="s">
        <v>87</v>
      </c>
      <c r="H1759" t="s">
        <v>88</v>
      </c>
      <c r="I1759" t="s">
        <v>89</v>
      </c>
      <c r="J1759" t="s">
        <v>57</v>
      </c>
      <c r="K1759" t="s">
        <v>58</v>
      </c>
      <c r="L1759" t="s">
        <v>59</v>
      </c>
      <c r="M1759" s="24">
        <v>3</v>
      </c>
      <c r="N1759" s="25">
        <v>49264.49</v>
      </c>
      <c r="O1759" s="25">
        <f t="shared" si="220"/>
        <v>147793.47</v>
      </c>
      <c r="P1759" s="25">
        <v>27527.35</v>
      </c>
      <c r="Q1759" s="25">
        <f t="shared" si="221"/>
        <v>82582.049999999988</v>
      </c>
      <c r="R1759" s="25">
        <f t="shared" si="222"/>
        <v>65211.420000000013</v>
      </c>
      <c r="S1759" s="26">
        <f t="shared" si="223"/>
        <v>0.44123343203187537</v>
      </c>
    </row>
    <row r="1760" spans="1:19" ht="15" x14ac:dyDescent="0.2">
      <c r="A1760" s="23">
        <v>46119</v>
      </c>
      <c r="B1760">
        <f t="shared" si="216"/>
        <v>2026</v>
      </c>
      <c r="C1760">
        <f t="shared" si="217"/>
        <v>4</v>
      </c>
      <c r="D1760" t="str">
        <f t="shared" si="218"/>
        <v>Abril</v>
      </c>
      <c r="E1760" t="str">
        <f t="shared" si="219"/>
        <v>T2</v>
      </c>
      <c r="F1760" t="s">
        <v>1887</v>
      </c>
      <c r="G1760" t="s">
        <v>92</v>
      </c>
      <c r="H1760" t="s">
        <v>93</v>
      </c>
      <c r="I1760" t="s">
        <v>94</v>
      </c>
      <c r="J1760" t="s">
        <v>64</v>
      </c>
      <c r="K1760" t="s">
        <v>96</v>
      </c>
      <c r="L1760" t="s">
        <v>97</v>
      </c>
      <c r="M1760" s="24">
        <v>11</v>
      </c>
      <c r="N1760" s="25">
        <v>20291.39</v>
      </c>
      <c r="O1760" s="25">
        <f t="shared" si="220"/>
        <v>223205.28999999998</v>
      </c>
      <c r="P1760" s="25">
        <v>11776.89</v>
      </c>
      <c r="Q1760" s="25">
        <f t="shared" si="221"/>
        <v>129545.79</v>
      </c>
      <c r="R1760" s="25">
        <f t="shared" si="222"/>
        <v>93659.499999999985</v>
      </c>
      <c r="S1760" s="26">
        <f t="shared" si="223"/>
        <v>0.41961147067795745</v>
      </c>
    </row>
    <row r="1761" spans="1:19" ht="15" x14ac:dyDescent="0.2">
      <c r="A1761" s="23">
        <v>46120</v>
      </c>
      <c r="B1761">
        <f t="shared" si="216"/>
        <v>2026</v>
      </c>
      <c r="C1761">
        <f t="shared" si="217"/>
        <v>4</v>
      </c>
      <c r="D1761" t="str">
        <f t="shared" si="218"/>
        <v>Abril</v>
      </c>
      <c r="E1761" t="str">
        <f t="shared" si="219"/>
        <v>T2</v>
      </c>
      <c r="F1761" t="s">
        <v>1888</v>
      </c>
      <c r="G1761" t="s">
        <v>183</v>
      </c>
      <c r="H1761" t="s">
        <v>55</v>
      </c>
      <c r="I1761" t="s">
        <v>184</v>
      </c>
      <c r="J1761" t="s">
        <v>125</v>
      </c>
      <c r="K1761" t="s">
        <v>138</v>
      </c>
      <c r="L1761" t="s">
        <v>139</v>
      </c>
      <c r="M1761" s="24">
        <v>3</v>
      </c>
      <c r="N1761" s="25">
        <v>333248.32</v>
      </c>
      <c r="O1761" s="25">
        <f t="shared" si="220"/>
        <v>999744.96</v>
      </c>
      <c r="P1761" s="25">
        <v>256710.51</v>
      </c>
      <c r="Q1761" s="25">
        <f t="shared" si="221"/>
        <v>770131.53</v>
      </c>
      <c r="R1761" s="25">
        <f t="shared" si="222"/>
        <v>229613.42999999993</v>
      </c>
      <c r="S1761" s="26">
        <f t="shared" si="223"/>
        <v>0.22967200554829498</v>
      </c>
    </row>
    <row r="1762" spans="1:19" ht="15" x14ac:dyDescent="0.2">
      <c r="A1762" s="23">
        <v>46120</v>
      </c>
      <c r="B1762">
        <f t="shared" si="216"/>
        <v>2026</v>
      </c>
      <c r="C1762">
        <f t="shared" si="217"/>
        <v>4</v>
      </c>
      <c r="D1762" t="str">
        <f t="shared" si="218"/>
        <v>Abril</v>
      </c>
      <c r="E1762" t="str">
        <f t="shared" si="219"/>
        <v>T2</v>
      </c>
      <c r="F1762" t="s">
        <v>1889</v>
      </c>
      <c r="G1762" t="s">
        <v>105</v>
      </c>
      <c r="H1762" t="s">
        <v>62</v>
      </c>
      <c r="I1762" t="s">
        <v>106</v>
      </c>
      <c r="J1762" t="s">
        <v>70</v>
      </c>
      <c r="K1762" t="s">
        <v>84</v>
      </c>
      <c r="L1762" t="s">
        <v>147</v>
      </c>
      <c r="M1762" s="24">
        <v>83</v>
      </c>
      <c r="N1762" s="25">
        <v>1775.05</v>
      </c>
      <c r="O1762" s="25">
        <f t="shared" si="220"/>
        <v>147329.15</v>
      </c>
      <c r="P1762" s="25">
        <v>1504.02</v>
      </c>
      <c r="Q1762" s="25">
        <f t="shared" si="221"/>
        <v>124833.66</v>
      </c>
      <c r="R1762" s="25">
        <f t="shared" si="222"/>
        <v>22495.489999999991</v>
      </c>
      <c r="S1762" s="26">
        <f t="shared" si="223"/>
        <v>0.15268865665755887</v>
      </c>
    </row>
    <row r="1763" spans="1:19" ht="15" x14ac:dyDescent="0.2">
      <c r="A1763" s="23">
        <v>46120</v>
      </c>
      <c r="B1763">
        <f t="shared" si="216"/>
        <v>2026</v>
      </c>
      <c r="C1763">
        <f t="shared" si="217"/>
        <v>4</v>
      </c>
      <c r="D1763" t="str">
        <f t="shared" si="218"/>
        <v>Abril</v>
      </c>
      <c r="E1763" t="str">
        <f t="shared" si="219"/>
        <v>T2</v>
      </c>
      <c r="F1763" t="s">
        <v>1890</v>
      </c>
      <c r="G1763" t="s">
        <v>74</v>
      </c>
      <c r="H1763" t="s">
        <v>75</v>
      </c>
      <c r="I1763" t="s">
        <v>76</v>
      </c>
      <c r="J1763" t="s">
        <v>64</v>
      </c>
      <c r="K1763" t="s">
        <v>96</v>
      </c>
      <c r="L1763" t="s">
        <v>103</v>
      </c>
      <c r="M1763" s="24">
        <v>16</v>
      </c>
      <c r="N1763" s="25">
        <v>40398.589999999997</v>
      </c>
      <c r="O1763" s="25">
        <f t="shared" si="220"/>
        <v>646377.43999999994</v>
      </c>
      <c r="P1763" s="25">
        <v>28652.31</v>
      </c>
      <c r="Q1763" s="25">
        <f t="shared" si="221"/>
        <v>458436.96</v>
      </c>
      <c r="R1763" s="25">
        <f t="shared" si="222"/>
        <v>187940.47999999992</v>
      </c>
      <c r="S1763" s="26">
        <f t="shared" si="223"/>
        <v>0.29075965275025678</v>
      </c>
    </row>
    <row r="1764" spans="1:19" ht="15" x14ac:dyDescent="0.2">
      <c r="A1764" s="23">
        <v>46120</v>
      </c>
      <c r="B1764">
        <f t="shared" si="216"/>
        <v>2026</v>
      </c>
      <c r="C1764">
        <f t="shared" si="217"/>
        <v>4</v>
      </c>
      <c r="D1764" t="str">
        <f t="shared" si="218"/>
        <v>Abril</v>
      </c>
      <c r="E1764" t="str">
        <f t="shared" si="219"/>
        <v>T2</v>
      </c>
      <c r="F1764" t="s">
        <v>1891</v>
      </c>
      <c r="G1764" t="s">
        <v>114</v>
      </c>
      <c r="H1764" t="s">
        <v>75</v>
      </c>
      <c r="I1764" t="s">
        <v>115</v>
      </c>
      <c r="J1764" t="s">
        <v>57</v>
      </c>
      <c r="K1764" t="s">
        <v>58</v>
      </c>
      <c r="L1764" t="s">
        <v>162</v>
      </c>
      <c r="M1764" s="24">
        <v>2</v>
      </c>
      <c r="N1764" s="25">
        <v>96075.27</v>
      </c>
      <c r="O1764" s="25">
        <f t="shared" si="220"/>
        <v>192150.54</v>
      </c>
      <c r="P1764" s="25">
        <v>65475.35</v>
      </c>
      <c r="Q1764" s="25">
        <f t="shared" si="221"/>
        <v>130950.7</v>
      </c>
      <c r="R1764" s="25">
        <f t="shared" si="222"/>
        <v>61199.840000000011</v>
      </c>
      <c r="S1764" s="26">
        <f t="shared" si="223"/>
        <v>0.31849944319698509</v>
      </c>
    </row>
    <row r="1765" spans="1:19" ht="15" x14ac:dyDescent="0.2">
      <c r="A1765" s="23">
        <v>46121</v>
      </c>
      <c r="B1765">
        <f t="shared" si="216"/>
        <v>2026</v>
      </c>
      <c r="C1765">
        <f t="shared" si="217"/>
        <v>4</v>
      </c>
      <c r="D1765" t="str">
        <f t="shared" si="218"/>
        <v>Abril</v>
      </c>
      <c r="E1765" t="str">
        <f t="shared" si="219"/>
        <v>T2</v>
      </c>
      <c r="F1765" t="s">
        <v>1892</v>
      </c>
      <c r="G1765" t="s">
        <v>183</v>
      </c>
      <c r="H1765" t="s">
        <v>55</v>
      </c>
      <c r="I1765" t="s">
        <v>184</v>
      </c>
      <c r="J1765" t="s">
        <v>57</v>
      </c>
      <c r="K1765" t="s">
        <v>81</v>
      </c>
      <c r="L1765" t="s">
        <v>82</v>
      </c>
      <c r="M1765" s="24">
        <v>3</v>
      </c>
      <c r="N1765" s="25">
        <v>359576.71</v>
      </c>
      <c r="O1765" s="25">
        <f t="shared" si="220"/>
        <v>1078730.1300000001</v>
      </c>
      <c r="P1765" s="25">
        <v>282230.7</v>
      </c>
      <c r="Q1765" s="25">
        <f t="shared" si="221"/>
        <v>846692.10000000009</v>
      </c>
      <c r="R1765" s="25">
        <f t="shared" si="222"/>
        <v>232038.03000000003</v>
      </c>
      <c r="S1765" s="26">
        <f t="shared" si="223"/>
        <v>0.21510294701789778</v>
      </c>
    </row>
    <row r="1766" spans="1:19" ht="15" x14ac:dyDescent="0.2">
      <c r="A1766" s="23">
        <v>46121</v>
      </c>
      <c r="B1766">
        <f t="shared" si="216"/>
        <v>2026</v>
      </c>
      <c r="C1766">
        <f t="shared" si="217"/>
        <v>4</v>
      </c>
      <c r="D1766" t="str">
        <f t="shared" si="218"/>
        <v>Abril</v>
      </c>
      <c r="E1766" t="str">
        <f t="shared" si="219"/>
        <v>T2</v>
      </c>
      <c r="F1766" t="s">
        <v>1893</v>
      </c>
      <c r="G1766" t="s">
        <v>68</v>
      </c>
      <c r="H1766" t="s">
        <v>62</v>
      </c>
      <c r="I1766" t="s">
        <v>69</v>
      </c>
      <c r="J1766" t="s">
        <v>77</v>
      </c>
      <c r="K1766" t="s">
        <v>78</v>
      </c>
      <c r="L1766" t="s">
        <v>79</v>
      </c>
      <c r="M1766" s="24">
        <v>89</v>
      </c>
      <c r="N1766" s="25">
        <v>3221.03</v>
      </c>
      <c r="O1766" s="25">
        <f t="shared" si="220"/>
        <v>286671.67000000004</v>
      </c>
      <c r="P1766" s="25">
        <v>2590.52</v>
      </c>
      <c r="Q1766" s="25">
        <f t="shared" si="221"/>
        <v>230556.28</v>
      </c>
      <c r="R1766" s="25">
        <f t="shared" si="222"/>
        <v>56115.390000000043</v>
      </c>
      <c r="S1766" s="26">
        <f t="shared" si="223"/>
        <v>0.19574794398065226</v>
      </c>
    </row>
    <row r="1767" spans="1:19" ht="15" x14ac:dyDescent="0.2">
      <c r="A1767" s="23">
        <v>46121</v>
      </c>
      <c r="B1767">
        <f t="shared" si="216"/>
        <v>2026</v>
      </c>
      <c r="C1767">
        <f t="shared" si="217"/>
        <v>4</v>
      </c>
      <c r="D1767" t="str">
        <f t="shared" si="218"/>
        <v>Abril</v>
      </c>
      <c r="E1767" t="str">
        <f t="shared" si="219"/>
        <v>T2</v>
      </c>
      <c r="F1767" t="s">
        <v>1894</v>
      </c>
      <c r="G1767" t="s">
        <v>61</v>
      </c>
      <c r="H1767" t="s">
        <v>62</v>
      </c>
      <c r="I1767" t="s">
        <v>63</v>
      </c>
      <c r="J1767" t="s">
        <v>57</v>
      </c>
      <c r="K1767" t="s">
        <v>58</v>
      </c>
      <c r="L1767" t="s">
        <v>162</v>
      </c>
      <c r="M1767" s="24">
        <v>57</v>
      </c>
      <c r="N1767" s="25">
        <v>5770.42</v>
      </c>
      <c r="O1767" s="25">
        <f t="shared" si="220"/>
        <v>328913.94</v>
      </c>
      <c r="P1767" s="25">
        <v>4772.3500000000004</v>
      </c>
      <c r="Q1767" s="25">
        <f t="shared" si="221"/>
        <v>272023.95</v>
      </c>
      <c r="R1767" s="25">
        <f t="shared" si="222"/>
        <v>56889.989999999991</v>
      </c>
      <c r="S1767" s="26">
        <f t="shared" si="223"/>
        <v>0.1729631465300619</v>
      </c>
    </row>
    <row r="1768" spans="1:19" ht="15" x14ac:dyDescent="0.2">
      <c r="A1768" s="23">
        <v>46121</v>
      </c>
      <c r="B1768">
        <f t="shared" si="216"/>
        <v>2026</v>
      </c>
      <c r="C1768">
        <f t="shared" si="217"/>
        <v>4</v>
      </c>
      <c r="D1768" t="str">
        <f t="shared" si="218"/>
        <v>Abril</v>
      </c>
      <c r="E1768" t="str">
        <f t="shared" si="219"/>
        <v>T2</v>
      </c>
      <c r="F1768" t="s">
        <v>1895</v>
      </c>
      <c r="G1768" t="s">
        <v>105</v>
      </c>
      <c r="H1768" t="s">
        <v>62</v>
      </c>
      <c r="I1768" t="s">
        <v>106</v>
      </c>
      <c r="J1768" t="s">
        <v>125</v>
      </c>
      <c r="K1768" t="s">
        <v>126</v>
      </c>
      <c r="L1768" t="s">
        <v>131</v>
      </c>
      <c r="M1768" s="24">
        <v>170</v>
      </c>
      <c r="N1768" s="25">
        <v>1858.1</v>
      </c>
      <c r="O1768" s="25">
        <f t="shared" si="220"/>
        <v>315877</v>
      </c>
      <c r="P1768" s="25">
        <v>1503.78</v>
      </c>
      <c r="Q1768" s="25">
        <f t="shared" si="221"/>
        <v>255642.6</v>
      </c>
      <c r="R1768" s="25">
        <f t="shared" si="222"/>
        <v>60234.399999999994</v>
      </c>
      <c r="S1768" s="26">
        <f t="shared" si="223"/>
        <v>0.19068941391744254</v>
      </c>
    </row>
    <row r="1769" spans="1:19" ht="15" x14ac:dyDescent="0.2">
      <c r="A1769" s="23">
        <v>46122</v>
      </c>
      <c r="B1769">
        <f t="shared" si="216"/>
        <v>2026</v>
      </c>
      <c r="C1769">
        <f t="shared" si="217"/>
        <v>4</v>
      </c>
      <c r="D1769" t="str">
        <f t="shared" si="218"/>
        <v>Abril</v>
      </c>
      <c r="E1769" t="str">
        <f t="shared" si="219"/>
        <v>T2</v>
      </c>
      <c r="F1769" t="s">
        <v>1896</v>
      </c>
      <c r="G1769" t="s">
        <v>54</v>
      </c>
      <c r="H1769" t="s">
        <v>55</v>
      </c>
      <c r="I1769" t="s">
        <v>56</v>
      </c>
      <c r="J1769" t="s">
        <v>77</v>
      </c>
      <c r="K1769" t="s">
        <v>78</v>
      </c>
      <c r="L1769" t="s">
        <v>117</v>
      </c>
      <c r="M1769" s="24">
        <v>17</v>
      </c>
      <c r="N1769" s="25">
        <v>54682.29</v>
      </c>
      <c r="O1769" s="25">
        <f t="shared" si="220"/>
        <v>929598.93</v>
      </c>
      <c r="P1769" s="25">
        <v>42071.360000000001</v>
      </c>
      <c r="Q1769" s="25">
        <f t="shared" si="221"/>
        <v>715213.12</v>
      </c>
      <c r="R1769" s="25">
        <f t="shared" si="222"/>
        <v>214385.81000000006</v>
      </c>
      <c r="S1769" s="26">
        <f t="shared" si="223"/>
        <v>0.23062183386979593</v>
      </c>
    </row>
    <row r="1770" spans="1:19" ht="15" x14ac:dyDescent="0.2">
      <c r="A1770" s="23">
        <v>46122</v>
      </c>
      <c r="B1770">
        <f t="shared" si="216"/>
        <v>2026</v>
      </c>
      <c r="C1770">
        <f t="shared" si="217"/>
        <v>4</v>
      </c>
      <c r="D1770" t="str">
        <f t="shared" si="218"/>
        <v>Abril</v>
      </c>
      <c r="E1770" t="str">
        <f t="shared" si="219"/>
        <v>T2</v>
      </c>
      <c r="F1770" t="s">
        <v>1897</v>
      </c>
      <c r="G1770" t="s">
        <v>54</v>
      </c>
      <c r="H1770" t="s">
        <v>55</v>
      </c>
      <c r="I1770" t="s">
        <v>56</v>
      </c>
      <c r="J1770" t="s">
        <v>57</v>
      </c>
      <c r="K1770" t="s">
        <v>58</v>
      </c>
      <c r="L1770" t="s">
        <v>162</v>
      </c>
      <c r="M1770" s="24">
        <v>8</v>
      </c>
      <c r="N1770" s="25">
        <v>52763.82</v>
      </c>
      <c r="O1770" s="25">
        <f t="shared" si="220"/>
        <v>422110.56</v>
      </c>
      <c r="P1770" s="25">
        <v>41459.339999999997</v>
      </c>
      <c r="Q1770" s="25">
        <f t="shared" si="221"/>
        <v>331674.71999999997</v>
      </c>
      <c r="R1770" s="25">
        <f t="shared" si="222"/>
        <v>90435.840000000026</v>
      </c>
      <c r="S1770" s="26">
        <f t="shared" si="223"/>
        <v>0.21424680775576907</v>
      </c>
    </row>
    <row r="1771" spans="1:19" ht="15" x14ac:dyDescent="0.2">
      <c r="A1771" s="23">
        <v>46122</v>
      </c>
      <c r="B1771">
        <f t="shared" si="216"/>
        <v>2026</v>
      </c>
      <c r="C1771">
        <f t="shared" si="217"/>
        <v>4</v>
      </c>
      <c r="D1771" t="str">
        <f t="shared" si="218"/>
        <v>Abril</v>
      </c>
      <c r="E1771" t="str">
        <f t="shared" si="219"/>
        <v>T2</v>
      </c>
      <c r="F1771" t="s">
        <v>1898</v>
      </c>
      <c r="G1771" t="s">
        <v>105</v>
      </c>
      <c r="H1771" t="s">
        <v>62</v>
      </c>
      <c r="I1771" t="s">
        <v>106</v>
      </c>
      <c r="J1771" t="s">
        <v>64</v>
      </c>
      <c r="K1771" t="s">
        <v>96</v>
      </c>
      <c r="L1771" t="s">
        <v>97</v>
      </c>
      <c r="M1771" s="24">
        <v>307</v>
      </c>
      <c r="N1771" s="25">
        <v>1781.15</v>
      </c>
      <c r="O1771" s="25">
        <f t="shared" si="220"/>
        <v>546813.05000000005</v>
      </c>
      <c r="P1771" s="25">
        <v>1497.95</v>
      </c>
      <c r="Q1771" s="25">
        <f t="shared" si="221"/>
        <v>459870.65</v>
      </c>
      <c r="R1771" s="25">
        <f t="shared" si="222"/>
        <v>86942.400000000023</v>
      </c>
      <c r="S1771" s="26">
        <f t="shared" si="223"/>
        <v>0.15899839991017042</v>
      </c>
    </row>
    <row r="1772" spans="1:19" ht="15" x14ac:dyDescent="0.2">
      <c r="A1772" s="23">
        <v>46122</v>
      </c>
      <c r="B1772">
        <f t="shared" si="216"/>
        <v>2026</v>
      </c>
      <c r="C1772">
        <f t="shared" si="217"/>
        <v>4</v>
      </c>
      <c r="D1772" t="str">
        <f t="shared" si="218"/>
        <v>Abril</v>
      </c>
      <c r="E1772" t="str">
        <f t="shared" si="219"/>
        <v>T2</v>
      </c>
      <c r="F1772" t="s">
        <v>1899</v>
      </c>
      <c r="G1772" t="s">
        <v>114</v>
      </c>
      <c r="H1772" t="s">
        <v>75</v>
      </c>
      <c r="I1772" t="s">
        <v>115</v>
      </c>
      <c r="J1772" t="s">
        <v>77</v>
      </c>
      <c r="K1772" t="s">
        <v>78</v>
      </c>
      <c r="L1772" t="s">
        <v>117</v>
      </c>
      <c r="M1772" s="24">
        <v>5</v>
      </c>
      <c r="N1772" s="25">
        <v>97646.76</v>
      </c>
      <c r="O1772" s="25">
        <f t="shared" si="220"/>
        <v>488233.8</v>
      </c>
      <c r="P1772" s="25">
        <v>64992.58</v>
      </c>
      <c r="Q1772" s="25">
        <f t="shared" si="221"/>
        <v>324962.90000000002</v>
      </c>
      <c r="R1772" s="25">
        <f t="shared" si="222"/>
        <v>163270.89999999997</v>
      </c>
      <c r="S1772" s="26">
        <f t="shared" si="223"/>
        <v>0.33441130048759421</v>
      </c>
    </row>
    <row r="1773" spans="1:19" ht="15" x14ac:dyDescent="0.2">
      <c r="A1773" s="23">
        <v>46122</v>
      </c>
      <c r="B1773">
        <f t="shared" si="216"/>
        <v>2026</v>
      </c>
      <c r="C1773">
        <f t="shared" si="217"/>
        <v>4</v>
      </c>
      <c r="D1773" t="str">
        <f t="shared" si="218"/>
        <v>Abril</v>
      </c>
      <c r="E1773" t="str">
        <f t="shared" si="219"/>
        <v>T2</v>
      </c>
      <c r="F1773" t="s">
        <v>1900</v>
      </c>
      <c r="G1773" t="s">
        <v>74</v>
      </c>
      <c r="H1773" t="s">
        <v>75</v>
      </c>
      <c r="I1773" t="s">
        <v>76</v>
      </c>
      <c r="J1773" t="s">
        <v>125</v>
      </c>
      <c r="K1773" t="s">
        <v>126</v>
      </c>
      <c r="L1773" t="s">
        <v>131</v>
      </c>
      <c r="M1773" s="24">
        <v>5</v>
      </c>
      <c r="N1773" s="25">
        <v>36942.129999999997</v>
      </c>
      <c r="O1773" s="25">
        <f t="shared" si="220"/>
        <v>184710.65</v>
      </c>
      <c r="P1773" s="25">
        <v>25414.23</v>
      </c>
      <c r="Q1773" s="25">
        <f t="shared" si="221"/>
        <v>127071.15</v>
      </c>
      <c r="R1773" s="25">
        <f t="shared" si="222"/>
        <v>57639.5</v>
      </c>
      <c r="S1773" s="26">
        <f t="shared" si="223"/>
        <v>0.31205293251905075</v>
      </c>
    </row>
    <row r="1774" spans="1:19" ht="15" x14ac:dyDescent="0.2">
      <c r="A1774" s="23">
        <v>46122</v>
      </c>
      <c r="B1774">
        <f t="shared" si="216"/>
        <v>2026</v>
      </c>
      <c r="C1774">
        <f t="shared" si="217"/>
        <v>4</v>
      </c>
      <c r="D1774" t="str">
        <f t="shared" si="218"/>
        <v>Abril</v>
      </c>
      <c r="E1774" t="str">
        <f t="shared" si="219"/>
        <v>T2</v>
      </c>
      <c r="F1774" t="s">
        <v>1901</v>
      </c>
      <c r="G1774" t="s">
        <v>74</v>
      </c>
      <c r="H1774" t="s">
        <v>75</v>
      </c>
      <c r="I1774" t="s">
        <v>76</v>
      </c>
      <c r="J1774" t="s">
        <v>70</v>
      </c>
      <c r="K1774" t="s">
        <v>71</v>
      </c>
      <c r="L1774" t="s">
        <v>90</v>
      </c>
      <c r="M1774" s="24">
        <v>2</v>
      </c>
      <c r="N1774" s="25">
        <v>48414.080000000002</v>
      </c>
      <c r="O1774" s="25">
        <f t="shared" si="220"/>
        <v>96828.160000000003</v>
      </c>
      <c r="P1774" s="25">
        <v>34821.910000000003</v>
      </c>
      <c r="Q1774" s="25">
        <f t="shared" si="221"/>
        <v>69643.820000000007</v>
      </c>
      <c r="R1774" s="25">
        <f t="shared" si="222"/>
        <v>27184.339999999997</v>
      </c>
      <c r="S1774" s="26">
        <f t="shared" si="223"/>
        <v>0.28074828644890076</v>
      </c>
    </row>
    <row r="1775" spans="1:19" ht="15" x14ac:dyDescent="0.2">
      <c r="A1775" s="23">
        <v>46122</v>
      </c>
      <c r="B1775">
        <f t="shared" si="216"/>
        <v>2026</v>
      </c>
      <c r="C1775">
        <f t="shared" si="217"/>
        <v>4</v>
      </c>
      <c r="D1775" t="str">
        <f t="shared" si="218"/>
        <v>Abril</v>
      </c>
      <c r="E1775" t="str">
        <f t="shared" si="219"/>
        <v>T2</v>
      </c>
      <c r="F1775" t="s">
        <v>1902</v>
      </c>
      <c r="G1775" t="s">
        <v>188</v>
      </c>
      <c r="H1775" t="s">
        <v>88</v>
      </c>
      <c r="I1775" t="s">
        <v>189</v>
      </c>
      <c r="J1775" t="s">
        <v>57</v>
      </c>
      <c r="K1775" t="s">
        <v>58</v>
      </c>
      <c r="L1775" t="s">
        <v>59</v>
      </c>
      <c r="M1775" s="24">
        <v>3</v>
      </c>
      <c r="N1775" s="25">
        <v>74615.990000000005</v>
      </c>
      <c r="O1775" s="25">
        <f t="shared" si="220"/>
        <v>223847.97000000003</v>
      </c>
      <c r="P1775" s="25">
        <v>42258.83</v>
      </c>
      <c r="Q1775" s="25">
        <f t="shared" si="221"/>
        <v>126776.49</v>
      </c>
      <c r="R1775" s="25">
        <f t="shared" si="222"/>
        <v>97071.480000000025</v>
      </c>
      <c r="S1775" s="26">
        <f t="shared" si="223"/>
        <v>0.43364914142397631</v>
      </c>
    </row>
    <row r="1776" spans="1:19" ht="15" x14ac:dyDescent="0.2">
      <c r="A1776" s="23">
        <v>46122</v>
      </c>
      <c r="B1776">
        <f t="shared" si="216"/>
        <v>2026</v>
      </c>
      <c r="C1776">
        <f t="shared" si="217"/>
        <v>4</v>
      </c>
      <c r="D1776" t="str">
        <f t="shared" si="218"/>
        <v>Abril</v>
      </c>
      <c r="E1776" t="str">
        <f t="shared" si="219"/>
        <v>T2</v>
      </c>
      <c r="F1776" t="s">
        <v>1903</v>
      </c>
      <c r="G1776" t="s">
        <v>87</v>
      </c>
      <c r="H1776" t="s">
        <v>88</v>
      </c>
      <c r="I1776" t="s">
        <v>89</v>
      </c>
      <c r="J1776" t="s">
        <v>57</v>
      </c>
      <c r="K1776" t="s">
        <v>58</v>
      </c>
      <c r="L1776" t="s">
        <v>162</v>
      </c>
      <c r="M1776" s="24">
        <v>3</v>
      </c>
      <c r="N1776" s="25">
        <v>60922.98</v>
      </c>
      <c r="O1776" s="25">
        <f t="shared" si="220"/>
        <v>182768.94</v>
      </c>
      <c r="P1776" s="25">
        <v>34431.120000000003</v>
      </c>
      <c r="Q1776" s="25">
        <f t="shared" si="221"/>
        <v>103293.36000000002</v>
      </c>
      <c r="R1776" s="25">
        <f t="shared" si="222"/>
        <v>79475.579999999987</v>
      </c>
      <c r="S1776" s="26">
        <f t="shared" si="223"/>
        <v>0.43484182815745381</v>
      </c>
    </row>
    <row r="1777" spans="1:19" ht="15" x14ac:dyDescent="0.2">
      <c r="A1777" s="23">
        <v>46122</v>
      </c>
      <c r="B1777">
        <f t="shared" si="216"/>
        <v>2026</v>
      </c>
      <c r="C1777">
        <f t="shared" si="217"/>
        <v>4</v>
      </c>
      <c r="D1777" t="str">
        <f t="shared" si="218"/>
        <v>Abril</v>
      </c>
      <c r="E1777" t="str">
        <f t="shared" si="219"/>
        <v>T2</v>
      </c>
      <c r="F1777" t="s">
        <v>1904</v>
      </c>
      <c r="G1777" t="s">
        <v>144</v>
      </c>
      <c r="H1777" t="s">
        <v>88</v>
      </c>
      <c r="I1777" t="s">
        <v>145</v>
      </c>
      <c r="J1777" t="s">
        <v>125</v>
      </c>
      <c r="K1777" t="s">
        <v>138</v>
      </c>
      <c r="L1777" t="s">
        <v>142</v>
      </c>
      <c r="M1777" s="24">
        <v>21</v>
      </c>
      <c r="N1777" s="25">
        <v>12918.16</v>
      </c>
      <c r="O1777" s="25">
        <f t="shared" si="220"/>
        <v>271281.36</v>
      </c>
      <c r="P1777" s="25">
        <v>7105.09</v>
      </c>
      <c r="Q1777" s="25">
        <f t="shared" si="221"/>
        <v>149206.89000000001</v>
      </c>
      <c r="R1777" s="25">
        <f t="shared" si="222"/>
        <v>122074.46999999997</v>
      </c>
      <c r="S1777" s="26">
        <f t="shared" si="223"/>
        <v>0.4499921041386698</v>
      </c>
    </row>
    <row r="1778" spans="1:19" ht="15" x14ac:dyDescent="0.2">
      <c r="A1778" s="23">
        <v>46123</v>
      </c>
      <c r="B1778">
        <f t="shared" si="216"/>
        <v>2026</v>
      </c>
      <c r="C1778">
        <f t="shared" si="217"/>
        <v>4</v>
      </c>
      <c r="D1778" t="str">
        <f t="shared" si="218"/>
        <v>Abril</v>
      </c>
      <c r="E1778" t="str">
        <f t="shared" si="219"/>
        <v>T2</v>
      </c>
      <c r="F1778" t="s">
        <v>1905</v>
      </c>
      <c r="G1778" t="s">
        <v>110</v>
      </c>
      <c r="H1778" t="s">
        <v>62</v>
      </c>
      <c r="I1778" t="s">
        <v>69</v>
      </c>
      <c r="J1778" t="s">
        <v>70</v>
      </c>
      <c r="K1778" t="s">
        <v>71</v>
      </c>
      <c r="L1778" t="s">
        <v>72</v>
      </c>
      <c r="M1778" s="24">
        <v>41</v>
      </c>
      <c r="N1778" s="25">
        <v>6228.38</v>
      </c>
      <c r="O1778" s="25">
        <f t="shared" si="220"/>
        <v>255363.58000000002</v>
      </c>
      <c r="P1778" s="25">
        <v>5341.09</v>
      </c>
      <c r="Q1778" s="25">
        <f t="shared" si="221"/>
        <v>218984.69</v>
      </c>
      <c r="R1778" s="25">
        <f t="shared" si="222"/>
        <v>36378.890000000014</v>
      </c>
      <c r="S1778" s="26">
        <f t="shared" si="223"/>
        <v>0.14245919484681416</v>
      </c>
    </row>
    <row r="1779" spans="1:19" ht="15" x14ac:dyDescent="0.2">
      <c r="A1779" s="23">
        <v>46123</v>
      </c>
      <c r="B1779">
        <f t="shared" si="216"/>
        <v>2026</v>
      </c>
      <c r="C1779">
        <f t="shared" si="217"/>
        <v>4</v>
      </c>
      <c r="D1779" t="str">
        <f t="shared" si="218"/>
        <v>Abril</v>
      </c>
      <c r="E1779" t="str">
        <f t="shared" si="219"/>
        <v>T2</v>
      </c>
      <c r="F1779" t="s">
        <v>1906</v>
      </c>
      <c r="G1779" t="s">
        <v>144</v>
      </c>
      <c r="H1779" t="s">
        <v>88</v>
      </c>
      <c r="I1779" t="s">
        <v>145</v>
      </c>
      <c r="J1779" t="s">
        <v>64</v>
      </c>
      <c r="K1779" t="s">
        <v>65</v>
      </c>
      <c r="L1779" t="s">
        <v>123</v>
      </c>
      <c r="M1779" s="24">
        <v>78</v>
      </c>
      <c r="N1779" s="25">
        <v>12042.84</v>
      </c>
      <c r="O1779" s="25">
        <f t="shared" si="220"/>
        <v>939341.52</v>
      </c>
      <c r="P1779" s="25">
        <v>6987.61</v>
      </c>
      <c r="Q1779" s="25">
        <f t="shared" si="221"/>
        <v>545033.57999999996</v>
      </c>
      <c r="R1779" s="25">
        <f t="shared" si="222"/>
        <v>394307.94000000006</v>
      </c>
      <c r="S1779" s="26">
        <f t="shared" si="223"/>
        <v>0.41977058567580411</v>
      </c>
    </row>
    <row r="1780" spans="1:19" ht="15" x14ac:dyDescent="0.2">
      <c r="A1780" s="23">
        <v>46123</v>
      </c>
      <c r="B1780">
        <f t="shared" si="216"/>
        <v>2026</v>
      </c>
      <c r="C1780">
        <f t="shared" si="217"/>
        <v>4</v>
      </c>
      <c r="D1780" t="str">
        <f t="shared" si="218"/>
        <v>Abril</v>
      </c>
      <c r="E1780" t="str">
        <f t="shared" si="219"/>
        <v>T2</v>
      </c>
      <c r="F1780" t="s">
        <v>1907</v>
      </c>
      <c r="G1780" t="s">
        <v>144</v>
      </c>
      <c r="H1780" t="s">
        <v>88</v>
      </c>
      <c r="I1780" t="s">
        <v>145</v>
      </c>
      <c r="J1780" t="s">
        <v>70</v>
      </c>
      <c r="K1780" t="s">
        <v>71</v>
      </c>
      <c r="L1780" t="s">
        <v>90</v>
      </c>
      <c r="M1780" s="24">
        <v>6</v>
      </c>
      <c r="N1780" s="25">
        <v>11789.56</v>
      </c>
      <c r="O1780" s="25">
        <f t="shared" si="220"/>
        <v>70737.36</v>
      </c>
      <c r="P1780" s="25">
        <v>6854.51</v>
      </c>
      <c r="Q1780" s="25">
        <f t="shared" si="221"/>
        <v>41127.06</v>
      </c>
      <c r="R1780" s="25">
        <f t="shared" si="222"/>
        <v>29610.300000000003</v>
      </c>
      <c r="S1780" s="26">
        <f t="shared" si="223"/>
        <v>0.41859492635857493</v>
      </c>
    </row>
    <row r="1781" spans="1:19" ht="15" x14ac:dyDescent="0.2">
      <c r="A1781" s="23">
        <v>46123</v>
      </c>
      <c r="B1781">
        <f t="shared" si="216"/>
        <v>2026</v>
      </c>
      <c r="C1781">
        <f t="shared" si="217"/>
        <v>4</v>
      </c>
      <c r="D1781" t="str">
        <f t="shared" si="218"/>
        <v>Abril</v>
      </c>
      <c r="E1781" t="str">
        <f t="shared" si="219"/>
        <v>T2</v>
      </c>
      <c r="F1781" t="s">
        <v>1908</v>
      </c>
      <c r="G1781" t="s">
        <v>92</v>
      </c>
      <c r="H1781" t="s">
        <v>93</v>
      </c>
      <c r="I1781" t="s">
        <v>94</v>
      </c>
      <c r="J1781" t="s">
        <v>57</v>
      </c>
      <c r="K1781" t="s">
        <v>58</v>
      </c>
      <c r="L1781" t="s">
        <v>162</v>
      </c>
      <c r="M1781" s="24">
        <v>6</v>
      </c>
      <c r="N1781" s="25">
        <v>22164.42</v>
      </c>
      <c r="O1781" s="25">
        <f t="shared" si="220"/>
        <v>132986.51999999999</v>
      </c>
      <c r="P1781" s="25">
        <v>12684.49</v>
      </c>
      <c r="Q1781" s="25">
        <f t="shared" si="221"/>
        <v>76106.94</v>
      </c>
      <c r="R1781" s="25">
        <f t="shared" si="222"/>
        <v>56879.579999999987</v>
      </c>
      <c r="S1781" s="26">
        <f t="shared" si="223"/>
        <v>0.4277093648288563</v>
      </c>
    </row>
    <row r="1782" spans="1:19" ht="15" x14ac:dyDescent="0.2">
      <c r="A1782" s="23">
        <v>46123</v>
      </c>
      <c r="B1782">
        <f t="shared" si="216"/>
        <v>2026</v>
      </c>
      <c r="C1782">
        <f t="shared" si="217"/>
        <v>4</v>
      </c>
      <c r="D1782" t="str">
        <f t="shared" si="218"/>
        <v>Abril</v>
      </c>
      <c r="E1782" t="str">
        <f t="shared" si="219"/>
        <v>T2</v>
      </c>
      <c r="F1782" t="s">
        <v>1909</v>
      </c>
      <c r="G1782" t="s">
        <v>149</v>
      </c>
      <c r="H1782" t="s">
        <v>93</v>
      </c>
      <c r="I1782" t="s">
        <v>150</v>
      </c>
      <c r="J1782" t="s">
        <v>125</v>
      </c>
      <c r="K1782" t="s">
        <v>126</v>
      </c>
      <c r="L1782" t="s">
        <v>131</v>
      </c>
      <c r="M1782" s="24">
        <v>3</v>
      </c>
      <c r="N1782" s="25">
        <v>48810.6</v>
      </c>
      <c r="O1782" s="25">
        <f t="shared" si="220"/>
        <v>146431.79999999999</v>
      </c>
      <c r="P1782" s="25">
        <v>28194.6</v>
      </c>
      <c r="Q1782" s="25">
        <f t="shared" si="221"/>
        <v>84583.799999999988</v>
      </c>
      <c r="R1782" s="25">
        <f t="shared" si="222"/>
        <v>61848</v>
      </c>
      <c r="S1782" s="26">
        <f t="shared" si="223"/>
        <v>0.42236727268257307</v>
      </c>
    </row>
    <row r="1783" spans="1:19" ht="15" x14ac:dyDescent="0.2">
      <c r="A1783" s="23">
        <v>46124</v>
      </c>
      <c r="B1783">
        <f t="shared" si="216"/>
        <v>2026</v>
      </c>
      <c r="C1783">
        <f t="shared" si="217"/>
        <v>4</v>
      </c>
      <c r="D1783" t="str">
        <f t="shared" si="218"/>
        <v>Abril</v>
      </c>
      <c r="E1783" t="str">
        <f t="shared" si="219"/>
        <v>T2</v>
      </c>
      <c r="F1783" t="s">
        <v>1910</v>
      </c>
      <c r="G1783" t="s">
        <v>183</v>
      </c>
      <c r="H1783" t="s">
        <v>55</v>
      </c>
      <c r="I1783" t="s">
        <v>184</v>
      </c>
      <c r="J1783" t="s">
        <v>64</v>
      </c>
      <c r="K1783" t="s">
        <v>96</v>
      </c>
      <c r="L1783" t="s">
        <v>97</v>
      </c>
      <c r="M1783" s="24">
        <v>3</v>
      </c>
      <c r="N1783" s="25">
        <v>332424.98</v>
      </c>
      <c r="O1783" s="25">
        <f t="shared" si="220"/>
        <v>997274.94</v>
      </c>
      <c r="P1783" s="25">
        <v>266368.02</v>
      </c>
      <c r="Q1783" s="25">
        <f t="shared" si="221"/>
        <v>799104.06</v>
      </c>
      <c r="R1783" s="25">
        <f t="shared" si="222"/>
        <v>198170.87999999989</v>
      </c>
      <c r="S1783" s="26">
        <f t="shared" si="223"/>
        <v>0.19871238316687262</v>
      </c>
    </row>
    <row r="1784" spans="1:19" ht="15" x14ac:dyDescent="0.2">
      <c r="A1784" s="23">
        <v>46124</v>
      </c>
      <c r="B1784">
        <f t="shared" si="216"/>
        <v>2026</v>
      </c>
      <c r="C1784">
        <f t="shared" si="217"/>
        <v>4</v>
      </c>
      <c r="D1784" t="str">
        <f t="shared" si="218"/>
        <v>Abril</v>
      </c>
      <c r="E1784" t="str">
        <f t="shared" si="219"/>
        <v>T2</v>
      </c>
      <c r="F1784" t="s">
        <v>1911</v>
      </c>
      <c r="G1784" t="s">
        <v>54</v>
      </c>
      <c r="H1784" t="s">
        <v>55</v>
      </c>
      <c r="I1784" t="s">
        <v>56</v>
      </c>
      <c r="J1784" t="s">
        <v>57</v>
      </c>
      <c r="K1784" t="s">
        <v>58</v>
      </c>
      <c r="L1784" t="s">
        <v>59</v>
      </c>
      <c r="M1784" s="24">
        <v>8</v>
      </c>
      <c r="N1784" s="25">
        <v>56063.16</v>
      </c>
      <c r="O1784" s="25">
        <f t="shared" si="220"/>
        <v>448505.28</v>
      </c>
      <c r="P1784" s="25">
        <v>44256.39</v>
      </c>
      <c r="Q1784" s="25">
        <f t="shared" si="221"/>
        <v>354051.12</v>
      </c>
      <c r="R1784" s="25">
        <f t="shared" si="222"/>
        <v>94454.160000000033</v>
      </c>
      <c r="S1784" s="26">
        <f t="shared" si="223"/>
        <v>0.21059765450252899</v>
      </c>
    </row>
    <row r="1785" spans="1:19" ht="15" x14ac:dyDescent="0.2">
      <c r="A1785" s="23">
        <v>46124</v>
      </c>
      <c r="B1785">
        <f t="shared" si="216"/>
        <v>2026</v>
      </c>
      <c r="C1785">
        <f t="shared" si="217"/>
        <v>4</v>
      </c>
      <c r="D1785" t="str">
        <f t="shared" si="218"/>
        <v>Abril</v>
      </c>
      <c r="E1785" t="str">
        <f t="shared" si="219"/>
        <v>T2</v>
      </c>
      <c r="F1785" t="s">
        <v>1912</v>
      </c>
      <c r="G1785" t="s">
        <v>54</v>
      </c>
      <c r="H1785" t="s">
        <v>55</v>
      </c>
      <c r="I1785" t="s">
        <v>56</v>
      </c>
      <c r="J1785" t="s">
        <v>70</v>
      </c>
      <c r="K1785" t="s">
        <v>71</v>
      </c>
      <c r="L1785" t="s">
        <v>90</v>
      </c>
      <c r="M1785" s="24">
        <v>5</v>
      </c>
      <c r="N1785" s="25">
        <v>55557.71</v>
      </c>
      <c r="O1785" s="25">
        <f t="shared" si="220"/>
        <v>277788.55</v>
      </c>
      <c r="P1785" s="25">
        <v>46102.879999999997</v>
      </c>
      <c r="Q1785" s="25">
        <f t="shared" si="221"/>
        <v>230514.4</v>
      </c>
      <c r="R1785" s="25">
        <f t="shared" si="222"/>
        <v>47274.149999999994</v>
      </c>
      <c r="S1785" s="26">
        <f t="shared" si="223"/>
        <v>0.17018034040639904</v>
      </c>
    </row>
    <row r="1786" spans="1:19" ht="15" x14ac:dyDescent="0.2">
      <c r="A1786" s="23">
        <v>46124</v>
      </c>
      <c r="B1786">
        <f t="shared" si="216"/>
        <v>2026</v>
      </c>
      <c r="C1786">
        <f t="shared" si="217"/>
        <v>4</v>
      </c>
      <c r="D1786" t="str">
        <f t="shared" si="218"/>
        <v>Abril</v>
      </c>
      <c r="E1786" t="str">
        <f t="shared" si="219"/>
        <v>T2</v>
      </c>
      <c r="F1786" t="s">
        <v>1913</v>
      </c>
      <c r="G1786" t="s">
        <v>68</v>
      </c>
      <c r="H1786" t="s">
        <v>62</v>
      </c>
      <c r="I1786" t="s">
        <v>69</v>
      </c>
      <c r="J1786" t="s">
        <v>77</v>
      </c>
      <c r="K1786" t="s">
        <v>107</v>
      </c>
      <c r="L1786" t="s">
        <v>108</v>
      </c>
      <c r="M1786" s="24">
        <v>113</v>
      </c>
      <c r="N1786" s="25">
        <v>3322</v>
      </c>
      <c r="O1786" s="25">
        <f t="shared" si="220"/>
        <v>375386</v>
      </c>
      <c r="P1786" s="25">
        <v>2603.02</v>
      </c>
      <c r="Q1786" s="25">
        <f t="shared" si="221"/>
        <v>294141.26</v>
      </c>
      <c r="R1786" s="25">
        <f t="shared" si="222"/>
        <v>81244.739999999991</v>
      </c>
      <c r="S1786" s="26">
        <f t="shared" si="223"/>
        <v>0.21642986152919924</v>
      </c>
    </row>
    <row r="1787" spans="1:19" ht="15" x14ac:dyDescent="0.2">
      <c r="A1787" s="23">
        <v>46124</v>
      </c>
      <c r="B1787">
        <f t="shared" si="216"/>
        <v>2026</v>
      </c>
      <c r="C1787">
        <f t="shared" si="217"/>
        <v>4</v>
      </c>
      <c r="D1787" t="str">
        <f t="shared" si="218"/>
        <v>Abril</v>
      </c>
      <c r="E1787" t="str">
        <f t="shared" si="219"/>
        <v>T2</v>
      </c>
      <c r="F1787" t="s">
        <v>1914</v>
      </c>
      <c r="G1787" t="s">
        <v>110</v>
      </c>
      <c r="H1787" t="s">
        <v>62</v>
      </c>
      <c r="I1787" t="s">
        <v>69</v>
      </c>
      <c r="J1787" t="s">
        <v>77</v>
      </c>
      <c r="K1787" t="s">
        <v>107</v>
      </c>
      <c r="L1787" t="s">
        <v>112</v>
      </c>
      <c r="M1787" s="24">
        <v>90</v>
      </c>
      <c r="N1787" s="25">
        <v>6935.24</v>
      </c>
      <c r="O1787" s="25">
        <f t="shared" si="220"/>
        <v>624171.6</v>
      </c>
      <c r="P1787" s="25">
        <v>5377.44</v>
      </c>
      <c r="Q1787" s="25">
        <f t="shared" si="221"/>
        <v>483969.6</v>
      </c>
      <c r="R1787" s="25">
        <f t="shared" si="222"/>
        <v>140202</v>
      </c>
      <c r="S1787" s="26">
        <f t="shared" si="223"/>
        <v>0.22462092155426489</v>
      </c>
    </row>
    <row r="1788" spans="1:19" ht="15" x14ac:dyDescent="0.2">
      <c r="A1788" s="23">
        <v>46124</v>
      </c>
      <c r="B1788">
        <f t="shared" si="216"/>
        <v>2026</v>
      </c>
      <c r="C1788">
        <f t="shared" si="217"/>
        <v>4</v>
      </c>
      <c r="D1788" t="str">
        <f t="shared" si="218"/>
        <v>Abril</v>
      </c>
      <c r="E1788" t="str">
        <f t="shared" si="219"/>
        <v>T2</v>
      </c>
      <c r="F1788" t="s">
        <v>1915</v>
      </c>
      <c r="G1788" t="s">
        <v>114</v>
      </c>
      <c r="H1788" t="s">
        <v>75</v>
      </c>
      <c r="I1788" t="s">
        <v>115</v>
      </c>
      <c r="J1788" t="s">
        <v>64</v>
      </c>
      <c r="K1788" t="s">
        <v>65</v>
      </c>
      <c r="L1788" t="s">
        <v>123</v>
      </c>
      <c r="M1788" s="24">
        <v>6</v>
      </c>
      <c r="N1788" s="25">
        <v>94909.759999999995</v>
      </c>
      <c r="O1788" s="25">
        <f t="shared" si="220"/>
        <v>569458.55999999994</v>
      </c>
      <c r="P1788" s="25">
        <v>65332.19</v>
      </c>
      <c r="Q1788" s="25">
        <f t="shared" si="221"/>
        <v>391993.14</v>
      </c>
      <c r="R1788" s="25">
        <f t="shared" si="222"/>
        <v>177465.41999999993</v>
      </c>
      <c r="S1788" s="26">
        <f t="shared" si="223"/>
        <v>0.31163886622408477</v>
      </c>
    </row>
    <row r="1789" spans="1:19" ht="15" x14ac:dyDescent="0.2">
      <c r="A1789" s="23">
        <v>46124</v>
      </c>
      <c r="B1789">
        <f t="shared" si="216"/>
        <v>2026</v>
      </c>
      <c r="C1789">
        <f t="shared" si="217"/>
        <v>4</v>
      </c>
      <c r="D1789" t="str">
        <f t="shared" si="218"/>
        <v>Abril</v>
      </c>
      <c r="E1789" t="str">
        <f t="shared" si="219"/>
        <v>T2</v>
      </c>
      <c r="F1789" t="s">
        <v>1916</v>
      </c>
      <c r="G1789" t="s">
        <v>188</v>
      </c>
      <c r="H1789" t="s">
        <v>88</v>
      </c>
      <c r="I1789" t="s">
        <v>189</v>
      </c>
      <c r="J1789" t="s">
        <v>77</v>
      </c>
      <c r="K1789" t="s">
        <v>107</v>
      </c>
      <c r="L1789" t="s">
        <v>108</v>
      </c>
      <c r="M1789" s="24">
        <v>4</v>
      </c>
      <c r="N1789" s="25">
        <v>84658.11</v>
      </c>
      <c r="O1789" s="25">
        <f t="shared" si="220"/>
        <v>338632.44</v>
      </c>
      <c r="P1789" s="25">
        <v>43199.12</v>
      </c>
      <c r="Q1789" s="25">
        <f t="shared" si="221"/>
        <v>172796.48</v>
      </c>
      <c r="R1789" s="25">
        <f t="shared" si="222"/>
        <v>165835.96</v>
      </c>
      <c r="S1789" s="26">
        <f t="shared" si="223"/>
        <v>0.48972260306779819</v>
      </c>
    </row>
    <row r="1790" spans="1:19" ht="15" x14ac:dyDescent="0.2">
      <c r="A1790" s="23">
        <v>46124</v>
      </c>
      <c r="B1790">
        <f t="shared" si="216"/>
        <v>2026</v>
      </c>
      <c r="C1790">
        <f t="shared" si="217"/>
        <v>4</v>
      </c>
      <c r="D1790" t="str">
        <f t="shared" si="218"/>
        <v>Abril</v>
      </c>
      <c r="E1790" t="str">
        <f t="shared" si="219"/>
        <v>T2</v>
      </c>
      <c r="F1790" t="s">
        <v>1917</v>
      </c>
      <c r="G1790" t="s">
        <v>149</v>
      </c>
      <c r="H1790" t="s">
        <v>93</v>
      </c>
      <c r="I1790" t="s">
        <v>150</v>
      </c>
      <c r="J1790" t="s">
        <v>64</v>
      </c>
      <c r="K1790" t="s">
        <v>96</v>
      </c>
      <c r="L1790" t="s">
        <v>103</v>
      </c>
      <c r="M1790" s="24">
        <v>12</v>
      </c>
      <c r="N1790" s="25">
        <v>44490.42</v>
      </c>
      <c r="O1790" s="25">
        <f t="shared" si="220"/>
        <v>533885.04</v>
      </c>
      <c r="P1790" s="25">
        <v>26801.5</v>
      </c>
      <c r="Q1790" s="25">
        <f t="shared" si="221"/>
        <v>321618</v>
      </c>
      <c r="R1790" s="25">
        <f t="shared" si="222"/>
        <v>212267.04000000004</v>
      </c>
      <c r="S1790" s="26">
        <f t="shared" si="223"/>
        <v>0.39758941363106937</v>
      </c>
    </row>
    <row r="1791" spans="1:19" ht="15" x14ac:dyDescent="0.2">
      <c r="A1791" s="23">
        <v>46125</v>
      </c>
      <c r="B1791">
        <f t="shared" si="216"/>
        <v>2026</v>
      </c>
      <c r="C1791">
        <f t="shared" si="217"/>
        <v>4</v>
      </c>
      <c r="D1791" t="str">
        <f t="shared" si="218"/>
        <v>Abril</v>
      </c>
      <c r="E1791" t="str">
        <f t="shared" si="219"/>
        <v>T2</v>
      </c>
      <c r="F1791" t="s">
        <v>1918</v>
      </c>
      <c r="G1791" t="s">
        <v>54</v>
      </c>
      <c r="H1791" t="s">
        <v>55</v>
      </c>
      <c r="I1791" t="s">
        <v>56</v>
      </c>
      <c r="J1791" t="s">
        <v>125</v>
      </c>
      <c r="K1791" t="s">
        <v>126</v>
      </c>
      <c r="L1791" t="s">
        <v>127</v>
      </c>
      <c r="M1791" s="24">
        <v>8</v>
      </c>
      <c r="N1791" s="25">
        <v>50124.63</v>
      </c>
      <c r="O1791" s="25">
        <f t="shared" si="220"/>
        <v>400997.04</v>
      </c>
      <c r="P1791" s="25">
        <v>39501.230000000003</v>
      </c>
      <c r="Q1791" s="25">
        <f t="shared" si="221"/>
        <v>316009.84000000003</v>
      </c>
      <c r="R1791" s="25">
        <f t="shared" si="222"/>
        <v>84987.199999999953</v>
      </c>
      <c r="S1791" s="26">
        <f t="shared" si="223"/>
        <v>0.2119397190562802</v>
      </c>
    </row>
    <row r="1792" spans="1:19" ht="15" x14ac:dyDescent="0.2">
      <c r="A1792" s="23">
        <v>46125</v>
      </c>
      <c r="B1792">
        <f t="shared" si="216"/>
        <v>2026</v>
      </c>
      <c r="C1792">
        <f t="shared" si="217"/>
        <v>4</v>
      </c>
      <c r="D1792" t="str">
        <f t="shared" si="218"/>
        <v>Abril</v>
      </c>
      <c r="E1792" t="str">
        <f t="shared" si="219"/>
        <v>T2</v>
      </c>
      <c r="F1792" t="s">
        <v>1919</v>
      </c>
      <c r="G1792" t="s">
        <v>68</v>
      </c>
      <c r="H1792" t="s">
        <v>62</v>
      </c>
      <c r="I1792" t="s">
        <v>69</v>
      </c>
      <c r="J1792" t="s">
        <v>57</v>
      </c>
      <c r="K1792" t="s">
        <v>81</v>
      </c>
      <c r="L1792" t="s">
        <v>129</v>
      </c>
      <c r="M1792" s="24">
        <v>181</v>
      </c>
      <c r="N1792" s="25">
        <v>3164.56</v>
      </c>
      <c r="O1792" s="25">
        <f t="shared" si="220"/>
        <v>572785.36</v>
      </c>
      <c r="P1792" s="25">
        <v>2605.2800000000002</v>
      </c>
      <c r="Q1792" s="25">
        <f t="shared" si="221"/>
        <v>471555.68000000005</v>
      </c>
      <c r="R1792" s="25">
        <f t="shared" si="222"/>
        <v>101229.67999999993</v>
      </c>
      <c r="S1792" s="26">
        <f t="shared" si="223"/>
        <v>0.17673231033698197</v>
      </c>
    </row>
    <row r="1793" spans="1:19" ht="15" x14ac:dyDescent="0.2">
      <c r="A1793" s="23">
        <v>46125</v>
      </c>
      <c r="B1793">
        <f t="shared" si="216"/>
        <v>2026</v>
      </c>
      <c r="C1793">
        <f t="shared" si="217"/>
        <v>4</v>
      </c>
      <c r="D1793" t="str">
        <f t="shared" si="218"/>
        <v>Abril</v>
      </c>
      <c r="E1793" t="str">
        <f t="shared" si="219"/>
        <v>T2</v>
      </c>
      <c r="F1793" t="s">
        <v>1920</v>
      </c>
      <c r="G1793" t="s">
        <v>114</v>
      </c>
      <c r="H1793" t="s">
        <v>75</v>
      </c>
      <c r="I1793" t="s">
        <v>115</v>
      </c>
      <c r="J1793" t="s">
        <v>64</v>
      </c>
      <c r="K1793" t="s">
        <v>96</v>
      </c>
      <c r="L1793" t="s">
        <v>97</v>
      </c>
      <c r="M1793" s="24">
        <v>7</v>
      </c>
      <c r="N1793" s="25">
        <v>88852.31</v>
      </c>
      <c r="O1793" s="25">
        <f t="shared" si="220"/>
        <v>621966.16999999993</v>
      </c>
      <c r="P1793" s="25">
        <v>62568.23</v>
      </c>
      <c r="Q1793" s="25">
        <f t="shared" si="221"/>
        <v>437977.61000000004</v>
      </c>
      <c r="R1793" s="25">
        <f t="shared" si="222"/>
        <v>183988.55999999988</v>
      </c>
      <c r="S1793" s="26">
        <f t="shared" si="223"/>
        <v>0.29581763265355721</v>
      </c>
    </row>
    <row r="1794" spans="1:19" ht="15" x14ac:dyDescent="0.2">
      <c r="A1794" s="23">
        <v>46126</v>
      </c>
      <c r="B1794">
        <f t="shared" ref="B1794:B1857" si="224">YEAR($A1794)</f>
        <v>2026</v>
      </c>
      <c r="C1794">
        <f t="shared" ref="C1794:C1857" si="225">MONTH($A1794)</f>
        <v>4</v>
      </c>
      <c r="D1794" t="str">
        <f t="shared" ref="D1794:D1857" si="226">INDEX(lst_Meses,MONTH($A1794))</f>
        <v>Abril</v>
      </c>
      <c r="E1794" t="str">
        <f t="shared" ref="E1794:E1857" si="227">"T"&amp;ROUNDUP(MONTH($A1794)/3,0)</f>
        <v>T2</v>
      </c>
      <c r="F1794" t="s">
        <v>1921</v>
      </c>
      <c r="G1794" t="s">
        <v>54</v>
      </c>
      <c r="H1794" t="s">
        <v>55</v>
      </c>
      <c r="I1794" t="s">
        <v>56</v>
      </c>
      <c r="J1794" t="s">
        <v>57</v>
      </c>
      <c r="K1794" t="s">
        <v>58</v>
      </c>
      <c r="L1794" t="s">
        <v>59</v>
      </c>
      <c r="M1794" s="24">
        <v>7</v>
      </c>
      <c r="N1794" s="25">
        <v>55080.84</v>
      </c>
      <c r="O1794" s="25">
        <f t="shared" ref="O1794:O1857" si="228">$M1794*$N1794</f>
        <v>385565.88</v>
      </c>
      <c r="P1794" s="25">
        <v>43922.54</v>
      </c>
      <c r="Q1794" s="25">
        <f t="shared" ref="Q1794:Q1857" si="229">$M1794*$P1794</f>
        <v>307457.78000000003</v>
      </c>
      <c r="R1794" s="25">
        <f t="shared" ref="R1794:R1857" si="230">$O1794-$Q1794</f>
        <v>78108.099999999977</v>
      </c>
      <c r="S1794" s="26">
        <f t="shared" ref="S1794:S1857" si="231">IFERROR($R1794/$O1794,0)</f>
        <v>0.20258042542561072</v>
      </c>
    </row>
    <row r="1795" spans="1:19" ht="15" x14ac:dyDescent="0.2">
      <c r="A1795" s="23">
        <v>46126</v>
      </c>
      <c r="B1795">
        <f t="shared" si="224"/>
        <v>2026</v>
      </c>
      <c r="C1795">
        <f t="shared" si="225"/>
        <v>4</v>
      </c>
      <c r="D1795" t="str">
        <f t="shared" si="226"/>
        <v>Abril</v>
      </c>
      <c r="E1795" t="str">
        <f t="shared" si="227"/>
        <v>T2</v>
      </c>
      <c r="F1795" t="s">
        <v>1922</v>
      </c>
      <c r="G1795" t="s">
        <v>54</v>
      </c>
      <c r="H1795" t="s">
        <v>55</v>
      </c>
      <c r="I1795" t="s">
        <v>56</v>
      </c>
      <c r="J1795" t="s">
        <v>70</v>
      </c>
      <c r="K1795" t="s">
        <v>84</v>
      </c>
      <c r="L1795" t="s">
        <v>85</v>
      </c>
      <c r="M1795" s="24">
        <v>6</v>
      </c>
      <c r="N1795" s="25">
        <v>47384.25</v>
      </c>
      <c r="O1795" s="25">
        <f t="shared" si="228"/>
        <v>284305.5</v>
      </c>
      <c r="P1795" s="25">
        <v>38598.32</v>
      </c>
      <c r="Q1795" s="25">
        <f t="shared" si="229"/>
        <v>231589.91999999998</v>
      </c>
      <c r="R1795" s="25">
        <f t="shared" si="230"/>
        <v>52715.580000000016</v>
      </c>
      <c r="S1795" s="26">
        <f t="shared" si="231"/>
        <v>0.18541878366756892</v>
      </c>
    </row>
    <row r="1796" spans="1:19" ht="15" x14ac:dyDescent="0.2">
      <c r="A1796" s="23">
        <v>46126</v>
      </c>
      <c r="B1796">
        <f t="shared" si="224"/>
        <v>2026</v>
      </c>
      <c r="C1796">
        <f t="shared" si="225"/>
        <v>4</v>
      </c>
      <c r="D1796" t="str">
        <f t="shared" si="226"/>
        <v>Abril</v>
      </c>
      <c r="E1796" t="str">
        <f t="shared" si="227"/>
        <v>T2</v>
      </c>
      <c r="F1796" t="s">
        <v>1923</v>
      </c>
      <c r="G1796" t="s">
        <v>74</v>
      </c>
      <c r="H1796" t="s">
        <v>75</v>
      </c>
      <c r="I1796" t="s">
        <v>76</v>
      </c>
      <c r="J1796" t="s">
        <v>70</v>
      </c>
      <c r="K1796" t="s">
        <v>84</v>
      </c>
      <c r="L1796" t="s">
        <v>147</v>
      </c>
      <c r="M1796" s="24">
        <v>4</v>
      </c>
      <c r="N1796" s="25">
        <v>36265.839999999997</v>
      </c>
      <c r="O1796" s="25">
        <f t="shared" si="228"/>
        <v>145063.35999999999</v>
      </c>
      <c r="P1796" s="25">
        <v>25782.7</v>
      </c>
      <c r="Q1796" s="25">
        <f t="shared" si="229"/>
        <v>103130.8</v>
      </c>
      <c r="R1796" s="25">
        <f t="shared" si="230"/>
        <v>41932.559999999983</v>
      </c>
      <c r="S1796" s="26">
        <f t="shared" si="231"/>
        <v>0.28906375807095597</v>
      </c>
    </row>
    <row r="1797" spans="1:19" ht="15" x14ac:dyDescent="0.2">
      <c r="A1797" s="23">
        <v>46126</v>
      </c>
      <c r="B1797">
        <f t="shared" si="224"/>
        <v>2026</v>
      </c>
      <c r="C1797">
        <f t="shared" si="225"/>
        <v>4</v>
      </c>
      <c r="D1797" t="str">
        <f t="shared" si="226"/>
        <v>Abril</v>
      </c>
      <c r="E1797" t="str">
        <f t="shared" si="227"/>
        <v>T2</v>
      </c>
      <c r="F1797" t="s">
        <v>1924</v>
      </c>
      <c r="G1797" t="s">
        <v>188</v>
      </c>
      <c r="H1797" t="s">
        <v>88</v>
      </c>
      <c r="I1797" t="s">
        <v>189</v>
      </c>
      <c r="J1797" t="s">
        <v>57</v>
      </c>
      <c r="K1797" t="s">
        <v>81</v>
      </c>
      <c r="L1797" t="s">
        <v>129</v>
      </c>
      <c r="M1797" s="24">
        <v>7</v>
      </c>
      <c r="N1797" s="25">
        <v>72203.14</v>
      </c>
      <c r="O1797" s="25">
        <f t="shared" si="228"/>
        <v>505421.98</v>
      </c>
      <c r="P1797" s="25">
        <v>40660.980000000003</v>
      </c>
      <c r="Q1797" s="25">
        <f t="shared" si="229"/>
        <v>284626.86000000004</v>
      </c>
      <c r="R1797" s="25">
        <f t="shared" si="230"/>
        <v>220795.11999999994</v>
      </c>
      <c r="S1797" s="26">
        <f t="shared" si="231"/>
        <v>0.43685302328956876</v>
      </c>
    </row>
    <row r="1798" spans="1:19" ht="15" x14ac:dyDescent="0.2">
      <c r="A1798" s="23">
        <v>46126</v>
      </c>
      <c r="B1798">
        <f t="shared" si="224"/>
        <v>2026</v>
      </c>
      <c r="C1798">
        <f t="shared" si="225"/>
        <v>4</v>
      </c>
      <c r="D1798" t="str">
        <f t="shared" si="226"/>
        <v>Abril</v>
      </c>
      <c r="E1798" t="str">
        <f t="shared" si="227"/>
        <v>T2</v>
      </c>
      <c r="F1798" t="s">
        <v>1925</v>
      </c>
      <c r="G1798" t="s">
        <v>144</v>
      </c>
      <c r="H1798" t="s">
        <v>88</v>
      </c>
      <c r="I1798" t="s">
        <v>145</v>
      </c>
      <c r="J1798" t="s">
        <v>125</v>
      </c>
      <c r="K1798" t="s">
        <v>126</v>
      </c>
      <c r="L1798" t="s">
        <v>131</v>
      </c>
      <c r="M1798" s="24">
        <v>10</v>
      </c>
      <c r="N1798" s="25">
        <v>12707.82</v>
      </c>
      <c r="O1798" s="25">
        <f t="shared" si="228"/>
        <v>127078.2</v>
      </c>
      <c r="P1798" s="25">
        <v>7069.74</v>
      </c>
      <c r="Q1798" s="25">
        <f t="shared" si="229"/>
        <v>70697.399999999994</v>
      </c>
      <c r="R1798" s="25">
        <f t="shared" si="230"/>
        <v>56380.800000000003</v>
      </c>
      <c r="S1798" s="26">
        <f t="shared" si="231"/>
        <v>0.44367011808476986</v>
      </c>
    </row>
    <row r="1799" spans="1:19" ht="15" x14ac:dyDescent="0.2">
      <c r="A1799" s="23">
        <v>46126</v>
      </c>
      <c r="B1799">
        <f t="shared" si="224"/>
        <v>2026</v>
      </c>
      <c r="C1799">
        <f t="shared" si="225"/>
        <v>4</v>
      </c>
      <c r="D1799" t="str">
        <f t="shared" si="226"/>
        <v>Abril</v>
      </c>
      <c r="E1799" t="str">
        <f t="shared" si="227"/>
        <v>T2</v>
      </c>
      <c r="F1799" t="s">
        <v>1926</v>
      </c>
      <c r="G1799" t="s">
        <v>206</v>
      </c>
      <c r="H1799" t="s">
        <v>93</v>
      </c>
      <c r="I1799" t="s">
        <v>207</v>
      </c>
      <c r="J1799" t="s">
        <v>77</v>
      </c>
      <c r="K1799" t="s">
        <v>78</v>
      </c>
      <c r="L1799" t="s">
        <v>117</v>
      </c>
      <c r="M1799" s="24">
        <v>2</v>
      </c>
      <c r="N1799" s="25">
        <v>126002.88</v>
      </c>
      <c r="O1799" s="25">
        <f t="shared" si="228"/>
        <v>252005.76000000001</v>
      </c>
      <c r="P1799" s="25">
        <v>70251.070000000007</v>
      </c>
      <c r="Q1799" s="25">
        <f t="shared" si="229"/>
        <v>140502.14000000001</v>
      </c>
      <c r="R1799" s="25">
        <f t="shared" si="230"/>
        <v>111503.62</v>
      </c>
      <c r="S1799" s="26">
        <f t="shared" si="231"/>
        <v>0.4424645690638182</v>
      </c>
    </row>
    <row r="1800" spans="1:19" ht="15" x14ac:dyDescent="0.2">
      <c r="A1800" s="23">
        <v>46127</v>
      </c>
      <c r="B1800">
        <f t="shared" si="224"/>
        <v>2026</v>
      </c>
      <c r="C1800">
        <f t="shared" si="225"/>
        <v>4</v>
      </c>
      <c r="D1800" t="str">
        <f t="shared" si="226"/>
        <v>Abril</v>
      </c>
      <c r="E1800" t="str">
        <f t="shared" si="227"/>
        <v>T2</v>
      </c>
      <c r="F1800" t="s">
        <v>1927</v>
      </c>
      <c r="G1800" t="s">
        <v>105</v>
      </c>
      <c r="H1800" t="s">
        <v>62</v>
      </c>
      <c r="I1800" t="s">
        <v>106</v>
      </c>
      <c r="J1800" t="s">
        <v>77</v>
      </c>
      <c r="K1800" t="s">
        <v>107</v>
      </c>
      <c r="L1800" t="s">
        <v>112</v>
      </c>
      <c r="M1800" s="24">
        <v>279</v>
      </c>
      <c r="N1800" s="25">
        <v>1916.56</v>
      </c>
      <c r="O1800" s="25">
        <f t="shared" si="228"/>
        <v>534720.24</v>
      </c>
      <c r="P1800" s="25">
        <v>1502.31</v>
      </c>
      <c r="Q1800" s="25">
        <f t="shared" si="229"/>
        <v>419144.49</v>
      </c>
      <c r="R1800" s="25">
        <f t="shared" si="230"/>
        <v>115575.75</v>
      </c>
      <c r="S1800" s="26">
        <f t="shared" si="231"/>
        <v>0.21614246358058187</v>
      </c>
    </row>
    <row r="1801" spans="1:19" ht="15" x14ac:dyDescent="0.2">
      <c r="A1801" s="23">
        <v>46127</v>
      </c>
      <c r="B1801">
        <f t="shared" si="224"/>
        <v>2026</v>
      </c>
      <c r="C1801">
        <f t="shared" si="225"/>
        <v>4</v>
      </c>
      <c r="D1801" t="str">
        <f t="shared" si="226"/>
        <v>Abril</v>
      </c>
      <c r="E1801" t="str">
        <f t="shared" si="227"/>
        <v>T2</v>
      </c>
      <c r="F1801" t="s">
        <v>1928</v>
      </c>
      <c r="G1801" t="s">
        <v>105</v>
      </c>
      <c r="H1801" t="s">
        <v>62</v>
      </c>
      <c r="I1801" t="s">
        <v>106</v>
      </c>
      <c r="J1801" t="s">
        <v>57</v>
      </c>
      <c r="K1801" t="s">
        <v>58</v>
      </c>
      <c r="L1801" t="s">
        <v>162</v>
      </c>
      <c r="M1801" s="24">
        <v>95</v>
      </c>
      <c r="N1801" s="25">
        <v>1819.64</v>
      </c>
      <c r="O1801" s="25">
        <f t="shared" si="228"/>
        <v>172865.80000000002</v>
      </c>
      <c r="P1801" s="25">
        <v>1492.59</v>
      </c>
      <c r="Q1801" s="25">
        <f t="shared" si="229"/>
        <v>141796.04999999999</v>
      </c>
      <c r="R1801" s="25">
        <f t="shared" si="230"/>
        <v>31069.750000000029</v>
      </c>
      <c r="S1801" s="26">
        <f t="shared" si="231"/>
        <v>0.17973335385021227</v>
      </c>
    </row>
    <row r="1802" spans="1:19" ht="15" x14ac:dyDescent="0.2">
      <c r="A1802" s="23">
        <v>46127</v>
      </c>
      <c r="B1802">
        <f t="shared" si="224"/>
        <v>2026</v>
      </c>
      <c r="C1802">
        <f t="shared" si="225"/>
        <v>4</v>
      </c>
      <c r="D1802" t="str">
        <f t="shared" si="226"/>
        <v>Abril</v>
      </c>
      <c r="E1802" t="str">
        <f t="shared" si="227"/>
        <v>T2</v>
      </c>
      <c r="F1802" t="s">
        <v>1929</v>
      </c>
      <c r="G1802" t="s">
        <v>188</v>
      </c>
      <c r="H1802" t="s">
        <v>88</v>
      </c>
      <c r="I1802" t="s">
        <v>189</v>
      </c>
      <c r="J1802" t="s">
        <v>64</v>
      </c>
      <c r="K1802" t="s">
        <v>96</v>
      </c>
      <c r="L1802" t="s">
        <v>103</v>
      </c>
      <c r="M1802" s="24">
        <v>6</v>
      </c>
      <c r="N1802" s="25">
        <v>78140.539999999994</v>
      </c>
      <c r="O1802" s="25">
        <f t="shared" si="228"/>
        <v>468843.24</v>
      </c>
      <c r="P1802" s="25">
        <v>44437.03</v>
      </c>
      <c r="Q1802" s="25">
        <f t="shared" si="229"/>
        <v>266622.18</v>
      </c>
      <c r="R1802" s="25">
        <f t="shared" si="230"/>
        <v>202221.06</v>
      </c>
      <c r="S1802" s="26">
        <f t="shared" si="231"/>
        <v>0.43131913344852751</v>
      </c>
    </row>
    <row r="1803" spans="1:19" ht="15" x14ac:dyDescent="0.2">
      <c r="A1803" s="23">
        <v>46127</v>
      </c>
      <c r="B1803">
        <f t="shared" si="224"/>
        <v>2026</v>
      </c>
      <c r="C1803">
        <f t="shared" si="225"/>
        <v>4</v>
      </c>
      <c r="D1803" t="str">
        <f t="shared" si="226"/>
        <v>Abril</v>
      </c>
      <c r="E1803" t="str">
        <f t="shared" si="227"/>
        <v>T2</v>
      </c>
      <c r="F1803" t="s">
        <v>1930</v>
      </c>
      <c r="G1803" t="s">
        <v>144</v>
      </c>
      <c r="H1803" t="s">
        <v>88</v>
      </c>
      <c r="I1803" t="s">
        <v>145</v>
      </c>
      <c r="J1803" t="s">
        <v>77</v>
      </c>
      <c r="K1803" t="s">
        <v>78</v>
      </c>
      <c r="L1803" t="s">
        <v>79</v>
      </c>
      <c r="M1803" s="24">
        <v>4</v>
      </c>
      <c r="N1803" s="25">
        <v>12761.66</v>
      </c>
      <c r="O1803" s="25">
        <f t="shared" si="228"/>
        <v>51046.64</v>
      </c>
      <c r="P1803" s="25">
        <v>6629.36</v>
      </c>
      <c r="Q1803" s="25">
        <f t="shared" si="229"/>
        <v>26517.439999999999</v>
      </c>
      <c r="R1803" s="25">
        <f t="shared" si="230"/>
        <v>24529.200000000001</v>
      </c>
      <c r="S1803" s="26">
        <f t="shared" si="231"/>
        <v>0.48052526082030084</v>
      </c>
    </row>
    <row r="1804" spans="1:19" ht="15" x14ac:dyDescent="0.2">
      <c r="A1804" s="23">
        <v>46127</v>
      </c>
      <c r="B1804">
        <f t="shared" si="224"/>
        <v>2026</v>
      </c>
      <c r="C1804">
        <f t="shared" si="225"/>
        <v>4</v>
      </c>
      <c r="D1804" t="str">
        <f t="shared" si="226"/>
        <v>Abril</v>
      </c>
      <c r="E1804" t="str">
        <f t="shared" si="227"/>
        <v>T2</v>
      </c>
      <c r="F1804" t="s">
        <v>1931</v>
      </c>
      <c r="G1804" t="s">
        <v>92</v>
      </c>
      <c r="H1804" t="s">
        <v>93</v>
      </c>
      <c r="I1804" t="s">
        <v>94</v>
      </c>
      <c r="J1804" t="s">
        <v>64</v>
      </c>
      <c r="K1804" t="s">
        <v>96</v>
      </c>
      <c r="L1804" t="s">
        <v>97</v>
      </c>
      <c r="M1804" s="24">
        <v>1</v>
      </c>
      <c r="N1804" s="25">
        <v>24600.41</v>
      </c>
      <c r="O1804" s="25">
        <f t="shared" si="228"/>
        <v>24600.41</v>
      </c>
      <c r="P1804" s="25">
        <v>14476.12</v>
      </c>
      <c r="Q1804" s="25">
        <f t="shared" si="229"/>
        <v>14476.12</v>
      </c>
      <c r="R1804" s="25">
        <f t="shared" si="230"/>
        <v>10124.289999999999</v>
      </c>
      <c r="S1804" s="26">
        <f t="shared" si="231"/>
        <v>0.41154964490429219</v>
      </c>
    </row>
    <row r="1805" spans="1:19" ht="15" x14ac:dyDescent="0.2">
      <c r="A1805" s="23">
        <v>46128</v>
      </c>
      <c r="B1805">
        <f t="shared" si="224"/>
        <v>2026</v>
      </c>
      <c r="C1805">
        <f t="shared" si="225"/>
        <v>4</v>
      </c>
      <c r="D1805" t="str">
        <f t="shared" si="226"/>
        <v>Abril</v>
      </c>
      <c r="E1805" t="str">
        <f t="shared" si="227"/>
        <v>T2</v>
      </c>
      <c r="F1805" t="s">
        <v>1932</v>
      </c>
      <c r="G1805" t="s">
        <v>105</v>
      </c>
      <c r="H1805" t="s">
        <v>62</v>
      </c>
      <c r="I1805" t="s">
        <v>106</v>
      </c>
      <c r="J1805" t="s">
        <v>70</v>
      </c>
      <c r="K1805" t="s">
        <v>71</v>
      </c>
      <c r="L1805" t="s">
        <v>90</v>
      </c>
      <c r="M1805" s="24">
        <v>151</v>
      </c>
      <c r="N1805" s="25">
        <v>1753.2</v>
      </c>
      <c r="O1805" s="25">
        <f t="shared" si="228"/>
        <v>264733.2</v>
      </c>
      <c r="P1805" s="25">
        <v>1499.86</v>
      </c>
      <c r="Q1805" s="25">
        <f t="shared" si="229"/>
        <v>226478.86</v>
      </c>
      <c r="R1805" s="25">
        <f t="shared" si="230"/>
        <v>38254.340000000026</v>
      </c>
      <c r="S1805" s="26">
        <f t="shared" si="231"/>
        <v>0.14450148300250978</v>
      </c>
    </row>
    <row r="1806" spans="1:19" ht="15" x14ac:dyDescent="0.2">
      <c r="A1806" s="23">
        <v>46128</v>
      </c>
      <c r="B1806">
        <f t="shared" si="224"/>
        <v>2026</v>
      </c>
      <c r="C1806">
        <f t="shared" si="225"/>
        <v>4</v>
      </c>
      <c r="D1806" t="str">
        <f t="shared" si="226"/>
        <v>Abril</v>
      </c>
      <c r="E1806" t="str">
        <f t="shared" si="227"/>
        <v>T2</v>
      </c>
      <c r="F1806" t="s">
        <v>1933</v>
      </c>
      <c r="G1806" t="s">
        <v>74</v>
      </c>
      <c r="H1806" t="s">
        <v>75</v>
      </c>
      <c r="I1806" t="s">
        <v>76</v>
      </c>
      <c r="J1806" t="s">
        <v>57</v>
      </c>
      <c r="K1806" t="s">
        <v>58</v>
      </c>
      <c r="L1806" t="s">
        <v>162</v>
      </c>
      <c r="M1806" s="24">
        <v>4</v>
      </c>
      <c r="N1806" s="25">
        <v>36085.29</v>
      </c>
      <c r="O1806" s="25">
        <f t="shared" si="228"/>
        <v>144341.16</v>
      </c>
      <c r="P1806" s="25">
        <v>24813.42</v>
      </c>
      <c r="Q1806" s="25">
        <f t="shared" si="229"/>
        <v>99253.68</v>
      </c>
      <c r="R1806" s="25">
        <f t="shared" si="230"/>
        <v>45087.48000000001</v>
      </c>
      <c r="S1806" s="26">
        <f t="shared" si="231"/>
        <v>0.31236744945100903</v>
      </c>
    </row>
    <row r="1807" spans="1:19" ht="15" x14ac:dyDescent="0.2">
      <c r="A1807" s="23">
        <v>46128</v>
      </c>
      <c r="B1807">
        <f t="shared" si="224"/>
        <v>2026</v>
      </c>
      <c r="C1807">
        <f t="shared" si="225"/>
        <v>4</v>
      </c>
      <c r="D1807" t="str">
        <f t="shared" si="226"/>
        <v>Abril</v>
      </c>
      <c r="E1807" t="str">
        <f t="shared" si="227"/>
        <v>T2</v>
      </c>
      <c r="F1807" t="s">
        <v>1934</v>
      </c>
      <c r="G1807" t="s">
        <v>87</v>
      </c>
      <c r="H1807" t="s">
        <v>88</v>
      </c>
      <c r="I1807" t="s">
        <v>89</v>
      </c>
      <c r="J1807" t="s">
        <v>70</v>
      </c>
      <c r="K1807" t="s">
        <v>84</v>
      </c>
      <c r="L1807" t="s">
        <v>147</v>
      </c>
      <c r="M1807" s="24">
        <v>5</v>
      </c>
      <c r="N1807" s="25">
        <v>51951.44</v>
      </c>
      <c r="O1807" s="25">
        <f t="shared" si="228"/>
        <v>259757.2</v>
      </c>
      <c r="P1807" s="25">
        <v>30766.32</v>
      </c>
      <c r="Q1807" s="25">
        <f t="shared" si="229"/>
        <v>153831.6</v>
      </c>
      <c r="R1807" s="25">
        <f t="shared" si="230"/>
        <v>105925.6</v>
      </c>
      <c r="S1807" s="26">
        <f t="shared" si="231"/>
        <v>0.40778696413419918</v>
      </c>
    </row>
    <row r="1808" spans="1:19" ht="15" x14ac:dyDescent="0.2">
      <c r="A1808" s="23">
        <v>46128</v>
      </c>
      <c r="B1808">
        <f t="shared" si="224"/>
        <v>2026</v>
      </c>
      <c r="C1808">
        <f t="shared" si="225"/>
        <v>4</v>
      </c>
      <c r="D1808" t="str">
        <f t="shared" si="226"/>
        <v>Abril</v>
      </c>
      <c r="E1808" t="str">
        <f t="shared" si="227"/>
        <v>T2</v>
      </c>
      <c r="F1808" t="s">
        <v>1935</v>
      </c>
      <c r="G1808" t="s">
        <v>149</v>
      </c>
      <c r="H1808" t="s">
        <v>93</v>
      </c>
      <c r="I1808" t="s">
        <v>150</v>
      </c>
      <c r="J1808" t="s">
        <v>125</v>
      </c>
      <c r="K1808" t="s">
        <v>138</v>
      </c>
      <c r="L1808" t="s">
        <v>139</v>
      </c>
      <c r="M1808" s="24">
        <v>6</v>
      </c>
      <c r="N1808" s="25">
        <v>42621.85</v>
      </c>
      <c r="O1808" s="25">
        <f t="shared" si="228"/>
        <v>255731.09999999998</v>
      </c>
      <c r="P1808" s="25">
        <v>24286.69</v>
      </c>
      <c r="Q1808" s="25">
        <f t="shared" si="229"/>
        <v>145720.13999999998</v>
      </c>
      <c r="R1808" s="25">
        <f t="shared" si="230"/>
        <v>110010.95999999999</v>
      </c>
      <c r="S1808" s="26">
        <f t="shared" si="231"/>
        <v>0.4301821718203222</v>
      </c>
    </row>
    <row r="1809" spans="1:19" ht="15" x14ac:dyDescent="0.2">
      <c r="A1809" s="23">
        <v>46129</v>
      </c>
      <c r="B1809">
        <f t="shared" si="224"/>
        <v>2026</v>
      </c>
      <c r="C1809">
        <f t="shared" si="225"/>
        <v>4</v>
      </c>
      <c r="D1809" t="str">
        <f t="shared" si="226"/>
        <v>Abril</v>
      </c>
      <c r="E1809" t="str">
        <f t="shared" si="227"/>
        <v>T2</v>
      </c>
      <c r="F1809" t="s">
        <v>1936</v>
      </c>
      <c r="G1809" t="s">
        <v>74</v>
      </c>
      <c r="H1809" t="s">
        <v>75</v>
      </c>
      <c r="I1809" t="s">
        <v>76</v>
      </c>
      <c r="J1809" t="s">
        <v>57</v>
      </c>
      <c r="K1809" t="s">
        <v>81</v>
      </c>
      <c r="L1809" t="s">
        <v>82</v>
      </c>
      <c r="M1809" s="24">
        <v>9</v>
      </c>
      <c r="N1809" s="25">
        <v>42799.01</v>
      </c>
      <c r="O1809" s="25">
        <f t="shared" si="228"/>
        <v>385191.09</v>
      </c>
      <c r="P1809" s="25">
        <v>28803.58</v>
      </c>
      <c r="Q1809" s="25">
        <f t="shared" si="229"/>
        <v>259232.22000000003</v>
      </c>
      <c r="R1809" s="25">
        <f t="shared" si="230"/>
        <v>125958.87</v>
      </c>
      <c r="S1809" s="26">
        <f t="shared" si="231"/>
        <v>0.32700359190551365</v>
      </c>
    </row>
    <row r="1810" spans="1:19" ht="15" x14ac:dyDescent="0.2">
      <c r="A1810" s="23">
        <v>46129</v>
      </c>
      <c r="B1810">
        <f t="shared" si="224"/>
        <v>2026</v>
      </c>
      <c r="C1810">
        <f t="shared" si="225"/>
        <v>4</v>
      </c>
      <c r="D1810" t="str">
        <f t="shared" si="226"/>
        <v>Abril</v>
      </c>
      <c r="E1810" t="str">
        <f t="shared" si="227"/>
        <v>T2</v>
      </c>
      <c r="F1810" t="s">
        <v>1937</v>
      </c>
      <c r="G1810" t="s">
        <v>74</v>
      </c>
      <c r="H1810" t="s">
        <v>75</v>
      </c>
      <c r="I1810" t="s">
        <v>76</v>
      </c>
      <c r="J1810" t="s">
        <v>57</v>
      </c>
      <c r="K1810" t="s">
        <v>58</v>
      </c>
      <c r="L1810" t="s">
        <v>162</v>
      </c>
      <c r="M1810" s="24">
        <v>4</v>
      </c>
      <c r="N1810" s="25">
        <v>43511.33</v>
      </c>
      <c r="O1810" s="25">
        <f t="shared" si="228"/>
        <v>174045.32</v>
      </c>
      <c r="P1810" s="25">
        <v>30490.22</v>
      </c>
      <c r="Q1810" s="25">
        <f t="shared" si="229"/>
        <v>121960.88</v>
      </c>
      <c r="R1810" s="25">
        <f t="shared" si="230"/>
        <v>52084.44</v>
      </c>
      <c r="S1810" s="26">
        <f t="shared" si="231"/>
        <v>0.29925791742058905</v>
      </c>
    </row>
    <row r="1811" spans="1:19" ht="15" x14ac:dyDescent="0.2">
      <c r="A1811" s="23">
        <v>46129</v>
      </c>
      <c r="B1811">
        <f t="shared" si="224"/>
        <v>2026</v>
      </c>
      <c r="C1811">
        <f t="shared" si="225"/>
        <v>4</v>
      </c>
      <c r="D1811" t="str">
        <f t="shared" si="226"/>
        <v>Abril</v>
      </c>
      <c r="E1811" t="str">
        <f t="shared" si="227"/>
        <v>T2</v>
      </c>
      <c r="F1811" t="s">
        <v>1938</v>
      </c>
      <c r="G1811" t="s">
        <v>74</v>
      </c>
      <c r="H1811" t="s">
        <v>75</v>
      </c>
      <c r="I1811" t="s">
        <v>76</v>
      </c>
      <c r="J1811" t="s">
        <v>70</v>
      </c>
      <c r="K1811" t="s">
        <v>71</v>
      </c>
      <c r="L1811" t="s">
        <v>90</v>
      </c>
      <c r="M1811" s="24">
        <v>5</v>
      </c>
      <c r="N1811" s="25">
        <v>42366.77</v>
      </c>
      <c r="O1811" s="25">
        <f t="shared" si="228"/>
        <v>211833.84999999998</v>
      </c>
      <c r="P1811" s="25">
        <v>30664.84</v>
      </c>
      <c r="Q1811" s="25">
        <f t="shared" si="229"/>
        <v>153324.20000000001</v>
      </c>
      <c r="R1811" s="25">
        <f t="shared" si="230"/>
        <v>58509.649999999965</v>
      </c>
      <c r="S1811" s="26">
        <f t="shared" si="231"/>
        <v>0.27620538455020277</v>
      </c>
    </row>
    <row r="1812" spans="1:19" ht="15" x14ac:dyDescent="0.2">
      <c r="A1812" s="23">
        <v>46129</v>
      </c>
      <c r="B1812">
        <f t="shared" si="224"/>
        <v>2026</v>
      </c>
      <c r="C1812">
        <f t="shared" si="225"/>
        <v>4</v>
      </c>
      <c r="D1812" t="str">
        <f t="shared" si="226"/>
        <v>Abril</v>
      </c>
      <c r="E1812" t="str">
        <f t="shared" si="227"/>
        <v>T2</v>
      </c>
      <c r="F1812" t="s">
        <v>1939</v>
      </c>
      <c r="G1812" t="s">
        <v>92</v>
      </c>
      <c r="H1812" t="s">
        <v>93</v>
      </c>
      <c r="I1812" t="s">
        <v>94</v>
      </c>
      <c r="J1812" t="s">
        <v>77</v>
      </c>
      <c r="K1812" t="s">
        <v>78</v>
      </c>
      <c r="L1812" t="s">
        <v>79</v>
      </c>
      <c r="M1812" s="24">
        <v>7</v>
      </c>
      <c r="N1812" s="25">
        <v>21458.65</v>
      </c>
      <c r="O1812" s="25">
        <f t="shared" si="228"/>
        <v>150210.55000000002</v>
      </c>
      <c r="P1812" s="25">
        <v>12426</v>
      </c>
      <c r="Q1812" s="25">
        <f t="shared" si="229"/>
        <v>86982</v>
      </c>
      <c r="R1812" s="25">
        <f t="shared" si="230"/>
        <v>63228.550000000017</v>
      </c>
      <c r="S1812" s="26">
        <f t="shared" si="231"/>
        <v>0.42093281730211368</v>
      </c>
    </row>
    <row r="1813" spans="1:19" ht="15" x14ac:dyDescent="0.2">
      <c r="A1813" s="23">
        <v>46130</v>
      </c>
      <c r="B1813">
        <f t="shared" si="224"/>
        <v>2026</v>
      </c>
      <c r="C1813">
        <f t="shared" si="225"/>
        <v>4</v>
      </c>
      <c r="D1813" t="str">
        <f t="shared" si="226"/>
        <v>Abril</v>
      </c>
      <c r="E1813" t="str">
        <f t="shared" si="227"/>
        <v>T2</v>
      </c>
      <c r="F1813" t="s">
        <v>1940</v>
      </c>
      <c r="G1813" t="s">
        <v>92</v>
      </c>
      <c r="H1813" t="s">
        <v>93</v>
      </c>
      <c r="I1813" t="s">
        <v>94</v>
      </c>
      <c r="J1813" t="s">
        <v>77</v>
      </c>
      <c r="K1813" t="s">
        <v>78</v>
      </c>
      <c r="L1813" t="s">
        <v>79</v>
      </c>
      <c r="M1813" s="24">
        <v>3</v>
      </c>
      <c r="N1813" s="25">
        <v>19325.13</v>
      </c>
      <c r="O1813" s="25">
        <f t="shared" si="228"/>
        <v>57975.39</v>
      </c>
      <c r="P1813" s="25">
        <v>10897.01</v>
      </c>
      <c r="Q1813" s="25">
        <f t="shared" si="229"/>
        <v>32691.03</v>
      </c>
      <c r="R1813" s="25">
        <f t="shared" si="230"/>
        <v>25284.36</v>
      </c>
      <c r="S1813" s="26">
        <f t="shared" si="231"/>
        <v>0.43612229257966184</v>
      </c>
    </row>
    <row r="1814" spans="1:19" ht="15" x14ac:dyDescent="0.2">
      <c r="A1814" s="23">
        <v>46130</v>
      </c>
      <c r="B1814">
        <f t="shared" si="224"/>
        <v>2026</v>
      </c>
      <c r="C1814">
        <f t="shared" si="225"/>
        <v>4</v>
      </c>
      <c r="D1814" t="str">
        <f t="shared" si="226"/>
        <v>Abril</v>
      </c>
      <c r="E1814" t="str">
        <f t="shared" si="227"/>
        <v>T2</v>
      </c>
      <c r="F1814" t="s">
        <v>1941</v>
      </c>
      <c r="G1814" t="s">
        <v>206</v>
      </c>
      <c r="H1814" t="s">
        <v>93</v>
      </c>
      <c r="I1814" t="s">
        <v>207</v>
      </c>
      <c r="J1814" t="s">
        <v>57</v>
      </c>
      <c r="K1814" t="s">
        <v>81</v>
      </c>
      <c r="L1814" t="s">
        <v>82</v>
      </c>
      <c r="M1814" s="24">
        <v>2</v>
      </c>
      <c r="N1814" s="25">
        <v>135101.79</v>
      </c>
      <c r="O1814" s="25">
        <f t="shared" si="228"/>
        <v>270203.58</v>
      </c>
      <c r="P1814" s="25">
        <v>75989.179999999993</v>
      </c>
      <c r="Q1814" s="25">
        <f t="shared" si="229"/>
        <v>151978.35999999999</v>
      </c>
      <c r="R1814" s="25">
        <f t="shared" si="230"/>
        <v>118225.22000000003</v>
      </c>
      <c r="S1814" s="26">
        <f t="shared" si="231"/>
        <v>0.43754127906077345</v>
      </c>
    </row>
    <row r="1815" spans="1:19" ht="15" x14ac:dyDescent="0.2">
      <c r="A1815" s="23">
        <v>46130</v>
      </c>
      <c r="B1815">
        <f t="shared" si="224"/>
        <v>2026</v>
      </c>
      <c r="C1815">
        <f t="shared" si="225"/>
        <v>4</v>
      </c>
      <c r="D1815" t="str">
        <f t="shared" si="226"/>
        <v>Abril</v>
      </c>
      <c r="E1815" t="str">
        <f t="shared" si="227"/>
        <v>T2</v>
      </c>
      <c r="F1815" t="s">
        <v>1942</v>
      </c>
      <c r="G1815" t="s">
        <v>92</v>
      </c>
      <c r="H1815" t="s">
        <v>93</v>
      </c>
      <c r="I1815" t="s">
        <v>94</v>
      </c>
      <c r="J1815" t="s">
        <v>57</v>
      </c>
      <c r="K1815" t="s">
        <v>58</v>
      </c>
      <c r="L1815" t="s">
        <v>162</v>
      </c>
      <c r="M1815" s="24">
        <v>10</v>
      </c>
      <c r="N1815" s="25">
        <v>20938.650000000001</v>
      </c>
      <c r="O1815" s="25">
        <f t="shared" si="228"/>
        <v>209386.5</v>
      </c>
      <c r="P1815" s="25">
        <v>11866.24</v>
      </c>
      <c r="Q1815" s="25">
        <f t="shared" si="229"/>
        <v>118662.39999999999</v>
      </c>
      <c r="R1815" s="25">
        <f t="shared" si="230"/>
        <v>90724.1</v>
      </c>
      <c r="S1815" s="26">
        <f t="shared" si="231"/>
        <v>0.4332853359696065</v>
      </c>
    </row>
    <row r="1816" spans="1:19" ht="15" x14ac:dyDescent="0.2">
      <c r="A1816" s="23">
        <v>46131</v>
      </c>
      <c r="B1816">
        <f t="shared" si="224"/>
        <v>2026</v>
      </c>
      <c r="C1816">
        <f t="shared" si="225"/>
        <v>4</v>
      </c>
      <c r="D1816" t="str">
        <f t="shared" si="226"/>
        <v>Abril</v>
      </c>
      <c r="E1816" t="str">
        <f t="shared" si="227"/>
        <v>T2</v>
      </c>
      <c r="F1816" t="s">
        <v>1943</v>
      </c>
      <c r="G1816" t="s">
        <v>54</v>
      </c>
      <c r="H1816" t="s">
        <v>55</v>
      </c>
      <c r="I1816" t="s">
        <v>56</v>
      </c>
      <c r="J1816" t="s">
        <v>77</v>
      </c>
      <c r="K1816" t="s">
        <v>78</v>
      </c>
      <c r="L1816" t="s">
        <v>79</v>
      </c>
      <c r="M1816" s="24">
        <v>12</v>
      </c>
      <c r="N1816" s="25">
        <v>55305.24</v>
      </c>
      <c r="O1816" s="25">
        <f t="shared" si="228"/>
        <v>663662.88</v>
      </c>
      <c r="P1816" s="25">
        <v>42271.29</v>
      </c>
      <c r="Q1816" s="25">
        <f t="shared" si="229"/>
        <v>507255.48</v>
      </c>
      <c r="R1816" s="25">
        <f t="shared" si="230"/>
        <v>156407.40000000002</v>
      </c>
      <c r="S1816" s="26">
        <f t="shared" si="231"/>
        <v>0.23567296697383469</v>
      </c>
    </row>
    <row r="1817" spans="1:19" ht="15" x14ac:dyDescent="0.2">
      <c r="A1817" s="23">
        <v>46131</v>
      </c>
      <c r="B1817">
        <f t="shared" si="224"/>
        <v>2026</v>
      </c>
      <c r="C1817">
        <f t="shared" si="225"/>
        <v>4</v>
      </c>
      <c r="D1817" t="str">
        <f t="shared" si="226"/>
        <v>Abril</v>
      </c>
      <c r="E1817" t="str">
        <f t="shared" si="227"/>
        <v>T2</v>
      </c>
      <c r="F1817" t="s">
        <v>1944</v>
      </c>
      <c r="G1817" t="s">
        <v>54</v>
      </c>
      <c r="H1817" t="s">
        <v>55</v>
      </c>
      <c r="I1817" t="s">
        <v>56</v>
      </c>
      <c r="J1817" t="s">
        <v>70</v>
      </c>
      <c r="K1817" t="s">
        <v>84</v>
      </c>
      <c r="L1817" t="s">
        <v>147</v>
      </c>
      <c r="M1817" s="24">
        <v>8</v>
      </c>
      <c r="N1817" s="25">
        <v>51735.57</v>
      </c>
      <c r="O1817" s="25">
        <f t="shared" si="228"/>
        <v>413884.56</v>
      </c>
      <c r="P1817" s="25">
        <v>42340.14</v>
      </c>
      <c r="Q1817" s="25">
        <f t="shared" si="229"/>
        <v>338721.12</v>
      </c>
      <c r="R1817" s="25">
        <f t="shared" si="230"/>
        <v>75163.44</v>
      </c>
      <c r="S1817" s="26">
        <f t="shared" si="231"/>
        <v>0.18160484169788793</v>
      </c>
    </row>
    <row r="1818" spans="1:19" ht="15" x14ac:dyDescent="0.2">
      <c r="A1818" s="23">
        <v>46131</v>
      </c>
      <c r="B1818">
        <f t="shared" si="224"/>
        <v>2026</v>
      </c>
      <c r="C1818">
        <f t="shared" si="225"/>
        <v>4</v>
      </c>
      <c r="D1818" t="str">
        <f t="shared" si="226"/>
        <v>Abril</v>
      </c>
      <c r="E1818" t="str">
        <f t="shared" si="227"/>
        <v>T2</v>
      </c>
      <c r="F1818" t="s">
        <v>1945</v>
      </c>
      <c r="G1818" t="s">
        <v>105</v>
      </c>
      <c r="H1818" t="s">
        <v>62</v>
      </c>
      <c r="I1818" t="s">
        <v>106</v>
      </c>
      <c r="J1818" t="s">
        <v>77</v>
      </c>
      <c r="K1818" t="s">
        <v>78</v>
      </c>
      <c r="L1818" t="s">
        <v>79</v>
      </c>
      <c r="M1818" s="24">
        <v>190</v>
      </c>
      <c r="N1818" s="25">
        <v>1865.22</v>
      </c>
      <c r="O1818" s="25">
        <f t="shared" si="228"/>
        <v>354391.8</v>
      </c>
      <c r="P1818" s="25">
        <v>1502.51</v>
      </c>
      <c r="Q1818" s="25">
        <f t="shared" si="229"/>
        <v>285476.90000000002</v>
      </c>
      <c r="R1818" s="25">
        <f t="shared" si="230"/>
        <v>68914.899999999965</v>
      </c>
      <c r="S1818" s="26">
        <f t="shared" si="231"/>
        <v>0.19445963478838948</v>
      </c>
    </row>
    <row r="1819" spans="1:19" ht="15" x14ac:dyDescent="0.2">
      <c r="A1819" s="23">
        <v>46131</v>
      </c>
      <c r="B1819">
        <f t="shared" si="224"/>
        <v>2026</v>
      </c>
      <c r="C1819">
        <f t="shared" si="225"/>
        <v>4</v>
      </c>
      <c r="D1819" t="str">
        <f t="shared" si="226"/>
        <v>Abril</v>
      </c>
      <c r="E1819" t="str">
        <f t="shared" si="227"/>
        <v>T2</v>
      </c>
      <c r="F1819" t="s">
        <v>1946</v>
      </c>
      <c r="G1819" t="s">
        <v>74</v>
      </c>
      <c r="H1819" t="s">
        <v>75</v>
      </c>
      <c r="I1819" t="s">
        <v>76</v>
      </c>
      <c r="J1819" t="s">
        <v>77</v>
      </c>
      <c r="K1819" t="s">
        <v>78</v>
      </c>
      <c r="L1819" t="s">
        <v>79</v>
      </c>
      <c r="M1819" s="24">
        <v>2</v>
      </c>
      <c r="N1819" s="25">
        <v>37434.78</v>
      </c>
      <c r="O1819" s="25">
        <f t="shared" si="228"/>
        <v>74869.56</v>
      </c>
      <c r="P1819" s="25">
        <v>24972.37</v>
      </c>
      <c r="Q1819" s="25">
        <f t="shared" si="229"/>
        <v>49944.74</v>
      </c>
      <c r="R1819" s="25">
        <f t="shared" si="230"/>
        <v>24924.82</v>
      </c>
      <c r="S1819" s="26">
        <f t="shared" si="231"/>
        <v>0.33290993028408344</v>
      </c>
    </row>
    <row r="1820" spans="1:19" ht="15" x14ac:dyDescent="0.2">
      <c r="A1820" s="23">
        <v>46132</v>
      </c>
      <c r="B1820">
        <f t="shared" si="224"/>
        <v>2026</v>
      </c>
      <c r="C1820">
        <f t="shared" si="225"/>
        <v>4</v>
      </c>
      <c r="D1820" t="str">
        <f t="shared" si="226"/>
        <v>Abril</v>
      </c>
      <c r="E1820" t="str">
        <f t="shared" si="227"/>
        <v>T2</v>
      </c>
      <c r="F1820" t="s">
        <v>1947</v>
      </c>
      <c r="G1820" t="s">
        <v>54</v>
      </c>
      <c r="H1820" t="s">
        <v>55</v>
      </c>
      <c r="I1820" t="s">
        <v>56</v>
      </c>
      <c r="J1820" t="s">
        <v>64</v>
      </c>
      <c r="K1820" t="s">
        <v>65</v>
      </c>
      <c r="L1820" t="s">
        <v>123</v>
      </c>
      <c r="M1820" s="24">
        <v>27</v>
      </c>
      <c r="N1820" s="25">
        <v>51565.79</v>
      </c>
      <c r="O1820" s="25">
        <f t="shared" si="228"/>
        <v>1392276.33</v>
      </c>
      <c r="P1820" s="25">
        <v>41230.19</v>
      </c>
      <c r="Q1820" s="25">
        <f t="shared" si="229"/>
        <v>1113215.1300000001</v>
      </c>
      <c r="R1820" s="25">
        <f t="shared" si="230"/>
        <v>279061.19999999995</v>
      </c>
      <c r="S1820" s="26">
        <f t="shared" si="231"/>
        <v>0.20043521101877809</v>
      </c>
    </row>
    <row r="1821" spans="1:19" ht="15" x14ac:dyDescent="0.2">
      <c r="A1821" s="23">
        <v>46132</v>
      </c>
      <c r="B1821">
        <f t="shared" si="224"/>
        <v>2026</v>
      </c>
      <c r="C1821">
        <f t="shared" si="225"/>
        <v>4</v>
      </c>
      <c r="D1821" t="str">
        <f t="shared" si="226"/>
        <v>Abril</v>
      </c>
      <c r="E1821" t="str">
        <f t="shared" si="227"/>
        <v>T2</v>
      </c>
      <c r="F1821" t="s">
        <v>1948</v>
      </c>
      <c r="G1821" t="s">
        <v>105</v>
      </c>
      <c r="H1821" t="s">
        <v>62</v>
      </c>
      <c r="I1821" t="s">
        <v>106</v>
      </c>
      <c r="J1821" t="s">
        <v>125</v>
      </c>
      <c r="K1821" t="s">
        <v>138</v>
      </c>
      <c r="L1821" t="s">
        <v>139</v>
      </c>
      <c r="M1821" s="24">
        <v>353</v>
      </c>
      <c r="N1821" s="25">
        <v>1846.02</v>
      </c>
      <c r="O1821" s="25">
        <f t="shared" si="228"/>
        <v>651645.05999999994</v>
      </c>
      <c r="P1821" s="25">
        <v>1498.77</v>
      </c>
      <c r="Q1821" s="25">
        <f t="shared" si="229"/>
        <v>529065.80999999994</v>
      </c>
      <c r="R1821" s="25">
        <f t="shared" si="230"/>
        <v>122579.25</v>
      </c>
      <c r="S1821" s="26">
        <f t="shared" si="231"/>
        <v>0.18810738778561448</v>
      </c>
    </row>
    <row r="1822" spans="1:19" ht="15" x14ac:dyDescent="0.2">
      <c r="A1822" s="23">
        <v>46132</v>
      </c>
      <c r="B1822">
        <f t="shared" si="224"/>
        <v>2026</v>
      </c>
      <c r="C1822">
        <f t="shared" si="225"/>
        <v>4</v>
      </c>
      <c r="D1822" t="str">
        <f t="shared" si="226"/>
        <v>Abril</v>
      </c>
      <c r="E1822" t="str">
        <f t="shared" si="227"/>
        <v>T2</v>
      </c>
      <c r="F1822" t="s">
        <v>1949</v>
      </c>
      <c r="G1822" t="s">
        <v>114</v>
      </c>
      <c r="H1822" t="s">
        <v>75</v>
      </c>
      <c r="I1822" t="s">
        <v>115</v>
      </c>
      <c r="J1822" t="s">
        <v>64</v>
      </c>
      <c r="K1822" t="s">
        <v>65</v>
      </c>
      <c r="L1822" t="s">
        <v>66</v>
      </c>
      <c r="M1822" s="24">
        <v>10</v>
      </c>
      <c r="N1822" s="25">
        <v>95575.54</v>
      </c>
      <c r="O1822" s="25">
        <f t="shared" si="228"/>
        <v>955755.39999999991</v>
      </c>
      <c r="P1822" s="25">
        <v>66385.740000000005</v>
      </c>
      <c r="Q1822" s="25">
        <f t="shared" si="229"/>
        <v>663857.4</v>
      </c>
      <c r="R1822" s="25">
        <f t="shared" si="230"/>
        <v>291897.99999999988</v>
      </c>
      <c r="S1822" s="26">
        <f t="shared" si="231"/>
        <v>0.30541077769479502</v>
      </c>
    </row>
    <row r="1823" spans="1:19" ht="15" x14ac:dyDescent="0.2">
      <c r="A1823" s="23">
        <v>46132</v>
      </c>
      <c r="B1823">
        <f t="shared" si="224"/>
        <v>2026</v>
      </c>
      <c r="C1823">
        <f t="shared" si="225"/>
        <v>4</v>
      </c>
      <c r="D1823" t="str">
        <f t="shared" si="226"/>
        <v>Abril</v>
      </c>
      <c r="E1823" t="str">
        <f t="shared" si="227"/>
        <v>T2</v>
      </c>
      <c r="F1823" t="s">
        <v>1950</v>
      </c>
      <c r="G1823" t="s">
        <v>144</v>
      </c>
      <c r="H1823" t="s">
        <v>88</v>
      </c>
      <c r="I1823" t="s">
        <v>145</v>
      </c>
      <c r="J1823" t="s">
        <v>125</v>
      </c>
      <c r="K1823" t="s">
        <v>138</v>
      </c>
      <c r="L1823" t="s">
        <v>139</v>
      </c>
      <c r="M1823" s="24">
        <v>25</v>
      </c>
      <c r="N1823" s="25">
        <v>12741.6</v>
      </c>
      <c r="O1823" s="25">
        <f t="shared" si="228"/>
        <v>318540</v>
      </c>
      <c r="P1823" s="25">
        <v>6868.08</v>
      </c>
      <c r="Q1823" s="25">
        <f t="shared" si="229"/>
        <v>171702</v>
      </c>
      <c r="R1823" s="25">
        <f t="shared" si="230"/>
        <v>146838</v>
      </c>
      <c r="S1823" s="26">
        <f t="shared" si="231"/>
        <v>0.46097193445093237</v>
      </c>
    </row>
    <row r="1824" spans="1:19" ht="15" x14ac:dyDescent="0.2">
      <c r="A1824" s="23">
        <v>46133</v>
      </c>
      <c r="B1824">
        <f t="shared" si="224"/>
        <v>2026</v>
      </c>
      <c r="C1824">
        <f t="shared" si="225"/>
        <v>4</v>
      </c>
      <c r="D1824" t="str">
        <f t="shared" si="226"/>
        <v>Abril</v>
      </c>
      <c r="E1824" t="str">
        <f t="shared" si="227"/>
        <v>T2</v>
      </c>
      <c r="F1824" t="s">
        <v>1951</v>
      </c>
      <c r="G1824" t="s">
        <v>61</v>
      </c>
      <c r="H1824" t="s">
        <v>62</v>
      </c>
      <c r="I1824" t="s">
        <v>63</v>
      </c>
      <c r="J1824" t="s">
        <v>64</v>
      </c>
      <c r="K1824" t="s">
        <v>65</v>
      </c>
      <c r="L1824" t="s">
        <v>66</v>
      </c>
      <c r="M1824" s="24">
        <v>273</v>
      </c>
      <c r="N1824" s="25">
        <v>5756.08</v>
      </c>
      <c r="O1824" s="25">
        <f t="shared" si="228"/>
        <v>1571409.84</v>
      </c>
      <c r="P1824" s="25">
        <v>4799.53</v>
      </c>
      <c r="Q1824" s="25">
        <f t="shared" si="229"/>
        <v>1310271.69</v>
      </c>
      <c r="R1824" s="25">
        <f t="shared" si="230"/>
        <v>261138.15000000014</v>
      </c>
      <c r="S1824" s="26">
        <f t="shared" si="231"/>
        <v>0.16618080360245174</v>
      </c>
    </row>
    <row r="1825" spans="1:19" ht="15" x14ac:dyDescent="0.2">
      <c r="A1825" s="23">
        <v>46133</v>
      </c>
      <c r="B1825">
        <f t="shared" si="224"/>
        <v>2026</v>
      </c>
      <c r="C1825">
        <f t="shared" si="225"/>
        <v>4</v>
      </c>
      <c r="D1825" t="str">
        <f t="shared" si="226"/>
        <v>Abril</v>
      </c>
      <c r="E1825" t="str">
        <f t="shared" si="227"/>
        <v>T2</v>
      </c>
      <c r="F1825" t="s">
        <v>1952</v>
      </c>
      <c r="G1825" t="s">
        <v>74</v>
      </c>
      <c r="H1825" t="s">
        <v>75</v>
      </c>
      <c r="I1825" t="s">
        <v>76</v>
      </c>
      <c r="J1825" t="s">
        <v>57</v>
      </c>
      <c r="K1825" t="s">
        <v>81</v>
      </c>
      <c r="L1825" t="s">
        <v>82</v>
      </c>
      <c r="M1825" s="24">
        <v>12</v>
      </c>
      <c r="N1825" s="25">
        <v>40831.35</v>
      </c>
      <c r="O1825" s="25">
        <f t="shared" si="228"/>
        <v>489976.19999999995</v>
      </c>
      <c r="P1825" s="25">
        <v>28289.48</v>
      </c>
      <c r="Q1825" s="25">
        <f t="shared" si="229"/>
        <v>339473.76</v>
      </c>
      <c r="R1825" s="25">
        <f t="shared" si="230"/>
        <v>150502.43999999994</v>
      </c>
      <c r="S1825" s="26">
        <f t="shared" si="231"/>
        <v>0.30716275606855997</v>
      </c>
    </row>
    <row r="1826" spans="1:19" ht="15" x14ac:dyDescent="0.2">
      <c r="A1826" s="23">
        <v>46133</v>
      </c>
      <c r="B1826">
        <f t="shared" si="224"/>
        <v>2026</v>
      </c>
      <c r="C1826">
        <f t="shared" si="225"/>
        <v>4</v>
      </c>
      <c r="D1826" t="str">
        <f t="shared" si="226"/>
        <v>Abril</v>
      </c>
      <c r="E1826" t="str">
        <f t="shared" si="227"/>
        <v>T2</v>
      </c>
      <c r="F1826" t="s">
        <v>1953</v>
      </c>
      <c r="G1826" t="s">
        <v>114</v>
      </c>
      <c r="H1826" t="s">
        <v>75</v>
      </c>
      <c r="I1826" t="s">
        <v>115</v>
      </c>
      <c r="J1826" t="s">
        <v>125</v>
      </c>
      <c r="K1826" t="s">
        <v>138</v>
      </c>
      <c r="L1826" t="s">
        <v>139</v>
      </c>
      <c r="M1826" s="24">
        <v>5</v>
      </c>
      <c r="N1826" s="25">
        <v>94880.52</v>
      </c>
      <c r="O1826" s="25">
        <f t="shared" si="228"/>
        <v>474402.60000000003</v>
      </c>
      <c r="P1826" s="25">
        <v>63260.22</v>
      </c>
      <c r="Q1826" s="25">
        <f t="shared" si="229"/>
        <v>316301.09999999998</v>
      </c>
      <c r="R1826" s="25">
        <f t="shared" si="230"/>
        <v>158101.50000000006</v>
      </c>
      <c r="S1826" s="26">
        <f t="shared" si="231"/>
        <v>0.33326440453741202</v>
      </c>
    </row>
    <row r="1827" spans="1:19" ht="15" x14ac:dyDescent="0.2">
      <c r="A1827" s="23">
        <v>46133</v>
      </c>
      <c r="B1827">
        <f t="shared" si="224"/>
        <v>2026</v>
      </c>
      <c r="C1827">
        <f t="shared" si="225"/>
        <v>4</v>
      </c>
      <c r="D1827" t="str">
        <f t="shared" si="226"/>
        <v>Abril</v>
      </c>
      <c r="E1827" t="str">
        <f t="shared" si="227"/>
        <v>T2</v>
      </c>
      <c r="F1827" t="s">
        <v>1954</v>
      </c>
      <c r="G1827" t="s">
        <v>74</v>
      </c>
      <c r="H1827" t="s">
        <v>75</v>
      </c>
      <c r="I1827" t="s">
        <v>76</v>
      </c>
      <c r="J1827" t="s">
        <v>70</v>
      </c>
      <c r="K1827" t="s">
        <v>84</v>
      </c>
      <c r="L1827" t="s">
        <v>147</v>
      </c>
      <c r="M1827" s="24">
        <v>8</v>
      </c>
      <c r="N1827" s="25">
        <v>40691.53</v>
      </c>
      <c r="O1827" s="25">
        <f t="shared" si="228"/>
        <v>325532.24</v>
      </c>
      <c r="P1827" s="25">
        <v>28985.31</v>
      </c>
      <c r="Q1827" s="25">
        <f t="shared" si="229"/>
        <v>231882.48</v>
      </c>
      <c r="R1827" s="25">
        <f t="shared" si="230"/>
        <v>93649.75999999998</v>
      </c>
      <c r="S1827" s="26">
        <f t="shared" si="231"/>
        <v>0.28768198197511863</v>
      </c>
    </row>
    <row r="1828" spans="1:19" ht="15" x14ac:dyDescent="0.2">
      <c r="A1828" s="23">
        <v>46133</v>
      </c>
      <c r="B1828">
        <f t="shared" si="224"/>
        <v>2026</v>
      </c>
      <c r="C1828">
        <f t="shared" si="225"/>
        <v>4</v>
      </c>
      <c r="D1828" t="str">
        <f t="shared" si="226"/>
        <v>Abril</v>
      </c>
      <c r="E1828" t="str">
        <f t="shared" si="227"/>
        <v>T2</v>
      </c>
      <c r="F1828" t="s">
        <v>1955</v>
      </c>
      <c r="G1828" t="s">
        <v>188</v>
      </c>
      <c r="H1828" t="s">
        <v>88</v>
      </c>
      <c r="I1828" t="s">
        <v>189</v>
      </c>
      <c r="J1828" t="s">
        <v>77</v>
      </c>
      <c r="K1828" t="s">
        <v>78</v>
      </c>
      <c r="L1828" t="s">
        <v>79</v>
      </c>
      <c r="M1828" s="24">
        <v>5</v>
      </c>
      <c r="N1828" s="25">
        <v>79568.44</v>
      </c>
      <c r="O1828" s="25">
        <f t="shared" si="228"/>
        <v>397842.2</v>
      </c>
      <c r="P1828" s="25">
        <v>42496.47</v>
      </c>
      <c r="Q1828" s="25">
        <f t="shared" si="229"/>
        <v>212482.35</v>
      </c>
      <c r="R1828" s="25">
        <f t="shared" si="230"/>
        <v>185359.85</v>
      </c>
      <c r="S1828" s="26">
        <f t="shared" si="231"/>
        <v>0.46591299263878994</v>
      </c>
    </row>
    <row r="1829" spans="1:19" ht="15" x14ac:dyDescent="0.2">
      <c r="A1829" s="23">
        <v>46134</v>
      </c>
      <c r="B1829">
        <f t="shared" si="224"/>
        <v>2026</v>
      </c>
      <c r="C1829">
        <f t="shared" si="225"/>
        <v>4</v>
      </c>
      <c r="D1829" t="str">
        <f t="shared" si="226"/>
        <v>Abril</v>
      </c>
      <c r="E1829" t="str">
        <f t="shared" si="227"/>
        <v>T2</v>
      </c>
      <c r="F1829" t="s">
        <v>1956</v>
      </c>
      <c r="G1829" t="s">
        <v>282</v>
      </c>
      <c r="H1829" t="s">
        <v>55</v>
      </c>
      <c r="I1829" t="s">
        <v>56</v>
      </c>
      <c r="J1829" t="s">
        <v>77</v>
      </c>
      <c r="K1829" t="s">
        <v>107</v>
      </c>
      <c r="L1829" t="s">
        <v>108</v>
      </c>
      <c r="M1829" s="24">
        <v>3</v>
      </c>
      <c r="N1829" s="25">
        <v>493016.83</v>
      </c>
      <c r="O1829" s="25">
        <f t="shared" si="228"/>
        <v>1479050.49</v>
      </c>
      <c r="P1829" s="25">
        <v>364104.78</v>
      </c>
      <c r="Q1829" s="25">
        <f t="shared" si="229"/>
        <v>1092314.3400000001</v>
      </c>
      <c r="R1829" s="25">
        <f t="shared" si="230"/>
        <v>386736.14999999991</v>
      </c>
      <c r="S1829" s="26">
        <f t="shared" si="231"/>
        <v>0.26147596218976943</v>
      </c>
    </row>
    <row r="1830" spans="1:19" ht="15" x14ac:dyDescent="0.2">
      <c r="A1830" s="23">
        <v>46134</v>
      </c>
      <c r="B1830">
        <f t="shared" si="224"/>
        <v>2026</v>
      </c>
      <c r="C1830">
        <f t="shared" si="225"/>
        <v>4</v>
      </c>
      <c r="D1830" t="str">
        <f t="shared" si="226"/>
        <v>Abril</v>
      </c>
      <c r="E1830" t="str">
        <f t="shared" si="227"/>
        <v>T2</v>
      </c>
      <c r="F1830" t="s">
        <v>1957</v>
      </c>
      <c r="G1830" t="s">
        <v>110</v>
      </c>
      <c r="H1830" t="s">
        <v>62</v>
      </c>
      <c r="I1830" t="s">
        <v>69</v>
      </c>
      <c r="J1830" t="s">
        <v>77</v>
      </c>
      <c r="K1830" t="s">
        <v>78</v>
      </c>
      <c r="L1830" t="s">
        <v>79</v>
      </c>
      <c r="M1830" s="24">
        <v>54</v>
      </c>
      <c r="N1830" s="25">
        <v>6758.49</v>
      </c>
      <c r="O1830" s="25">
        <f t="shared" si="228"/>
        <v>364958.45999999996</v>
      </c>
      <c r="P1830" s="25">
        <v>5396.93</v>
      </c>
      <c r="Q1830" s="25">
        <f t="shared" si="229"/>
        <v>291434.22000000003</v>
      </c>
      <c r="R1830" s="25">
        <f t="shared" si="230"/>
        <v>73524.239999999932</v>
      </c>
      <c r="S1830" s="26">
        <f t="shared" si="231"/>
        <v>0.20145920168558346</v>
      </c>
    </row>
    <row r="1831" spans="1:19" ht="15" x14ac:dyDescent="0.2">
      <c r="A1831" s="23">
        <v>46134</v>
      </c>
      <c r="B1831">
        <f t="shared" si="224"/>
        <v>2026</v>
      </c>
      <c r="C1831">
        <f t="shared" si="225"/>
        <v>4</v>
      </c>
      <c r="D1831" t="str">
        <f t="shared" si="226"/>
        <v>Abril</v>
      </c>
      <c r="E1831" t="str">
        <f t="shared" si="227"/>
        <v>T2</v>
      </c>
      <c r="F1831" t="s">
        <v>1958</v>
      </c>
      <c r="G1831" t="s">
        <v>74</v>
      </c>
      <c r="H1831" t="s">
        <v>75</v>
      </c>
      <c r="I1831" t="s">
        <v>76</v>
      </c>
      <c r="J1831" t="s">
        <v>77</v>
      </c>
      <c r="K1831" t="s">
        <v>107</v>
      </c>
      <c r="L1831" t="s">
        <v>108</v>
      </c>
      <c r="M1831" s="24">
        <v>11</v>
      </c>
      <c r="N1831" s="25">
        <v>44205.2</v>
      </c>
      <c r="O1831" s="25">
        <f t="shared" si="228"/>
        <v>486257.19999999995</v>
      </c>
      <c r="P1831" s="25">
        <v>28020.720000000001</v>
      </c>
      <c r="Q1831" s="25">
        <f t="shared" si="229"/>
        <v>308227.92000000004</v>
      </c>
      <c r="R1831" s="25">
        <f t="shared" si="230"/>
        <v>178029.27999999991</v>
      </c>
      <c r="S1831" s="26">
        <f t="shared" si="231"/>
        <v>0.36612163274908821</v>
      </c>
    </row>
    <row r="1832" spans="1:19" ht="15" x14ac:dyDescent="0.2">
      <c r="A1832" s="23">
        <v>46134</v>
      </c>
      <c r="B1832">
        <f t="shared" si="224"/>
        <v>2026</v>
      </c>
      <c r="C1832">
        <f t="shared" si="225"/>
        <v>4</v>
      </c>
      <c r="D1832" t="str">
        <f t="shared" si="226"/>
        <v>Abril</v>
      </c>
      <c r="E1832" t="str">
        <f t="shared" si="227"/>
        <v>T2</v>
      </c>
      <c r="F1832" t="s">
        <v>1959</v>
      </c>
      <c r="G1832" t="s">
        <v>206</v>
      </c>
      <c r="H1832" t="s">
        <v>93</v>
      </c>
      <c r="I1832" t="s">
        <v>207</v>
      </c>
      <c r="J1832" t="s">
        <v>64</v>
      </c>
      <c r="K1832" t="s">
        <v>65</v>
      </c>
      <c r="L1832" t="s">
        <v>123</v>
      </c>
      <c r="M1832" s="24">
        <v>4</v>
      </c>
      <c r="N1832" s="25">
        <v>104987.34</v>
      </c>
      <c r="O1832" s="25">
        <f t="shared" si="228"/>
        <v>419949.36</v>
      </c>
      <c r="P1832" s="25">
        <v>63141.1</v>
      </c>
      <c r="Q1832" s="25">
        <f t="shared" si="229"/>
        <v>252564.4</v>
      </c>
      <c r="R1832" s="25">
        <f t="shared" si="230"/>
        <v>167384.95999999999</v>
      </c>
      <c r="S1832" s="26">
        <f t="shared" si="231"/>
        <v>0.3985836768509422</v>
      </c>
    </row>
    <row r="1833" spans="1:19" ht="15" x14ac:dyDescent="0.2">
      <c r="A1833" s="23">
        <v>46134</v>
      </c>
      <c r="B1833">
        <f t="shared" si="224"/>
        <v>2026</v>
      </c>
      <c r="C1833">
        <f t="shared" si="225"/>
        <v>4</v>
      </c>
      <c r="D1833" t="str">
        <f t="shared" si="226"/>
        <v>Abril</v>
      </c>
      <c r="E1833" t="str">
        <f t="shared" si="227"/>
        <v>T2</v>
      </c>
      <c r="F1833" t="s">
        <v>1960</v>
      </c>
      <c r="G1833" t="s">
        <v>206</v>
      </c>
      <c r="H1833" t="s">
        <v>93</v>
      </c>
      <c r="I1833" t="s">
        <v>207</v>
      </c>
      <c r="J1833" t="s">
        <v>77</v>
      </c>
      <c r="K1833" t="s">
        <v>107</v>
      </c>
      <c r="L1833" t="s">
        <v>112</v>
      </c>
      <c r="M1833" s="24">
        <v>3</v>
      </c>
      <c r="N1833" s="25">
        <v>114944.13</v>
      </c>
      <c r="O1833" s="25">
        <f t="shared" si="228"/>
        <v>344832.39</v>
      </c>
      <c r="P1833" s="25">
        <v>60583.82</v>
      </c>
      <c r="Q1833" s="25">
        <f t="shared" si="229"/>
        <v>181751.46</v>
      </c>
      <c r="R1833" s="25">
        <f t="shared" si="230"/>
        <v>163080.93000000002</v>
      </c>
      <c r="S1833" s="26">
        <f t="shared" si="231"/>
        <v>0.47292810863851859</v>
      </c>
    </row>
    <row r="1834" spans="1:19" ht="15" x14ac:dyDescent="0.2">
      <c r="A1834" s="23">
        <v>46135</v>
      </c>
      <c r="B1834">
        <f t="shared" si="224"/>
        <v>2026</v>
      </c>
      <c r="C1834">
        <f t="shared" si="225"/>
        <v>4</v>
      </c>
      <c r="D1834" t="str">
        <f t="shared" si="226"/>
        <v>Abril</v>
      </c>
      <c r="E1834" t="str">
        <f t="shared" si="227"/>
        <v>T2</v>
      </c>
      <c r="F1834" t="s">
        <v>1961</v>
      </c>
      <c r="G1834" t="s">
        <v>54</v>
      </c>
      <c r="H1834" t="s">
        <v>55</v>
      </c>
      <c r="I1834" t="s">
        <v>56</v>
      </c>
      <c r="J1834" t="s">
        <v>70</v>
      </c>
      <c r="K1834" t="s">
        <v>71</v>
      </c>
      <c r="L1834" t="s">
        <v>72</v>
      </c>
      <c r="M1834" s="24">
        <v>9</v>
      </c>
      <c r="N1834" s="25">
        <v>49854.68</v>
      </c>
      <c r="O1834" s="25">
        <f t="shared" si="228"/>
        <v>448692.12</v>
      </c>
      <c r="P1834" s="25">
        <v>40986.93</v>
      </c>
      <c r="Q1834" s="25">
        <f t="shared" si="229"/>
        <v>368882.37</v>
      </c>
      <c r="R1834" s="25">
        <f t="shared" si="230"/>
        <v>79809.75</v>
      </c>
      <c r="S1834" s="26">
        <f t="shared" si="231"/>
        <v>0.17787196708513625</v>
      </c>
    </row>
    <row r="1835" spans="1:19" ht="15" x14ac:dyDescent="0.2">
      <c r="A1835" s="23">
        <v>46135</v>
      </c>
      <c r="B1835">
        <f t="shared" si="224"/>
        <v>2026</v>
      </c>
      <c r="C1835">
        <f t="shared" si="225"/>
        <v>4</v>
      </c>
      <c r="D1835" t="str">
        <f t="shared" si="226"/>
        <v>Abril</v>
      </c>
      <c r="E1835" t="str">
        <f t="shared" si="227"/>
        <v>T2</v>
      </c>
      <c r="F1835" t="s">
        <v>1962</v>
      </c>
      <c r="G1835" t="s">
        <v>188</v>
      </c>
      <c r="H1835" t="s">
        <v>88</v>
      </c>
      <c r="I1835" t="s">
        <v>189</v>
      </c>
      <c r="J1835" t="s">
        <v>70</v>
      </c>
      <c r="K1835" t="s">
        <v>71</v>
      </c>
      <c r="L1835" t="s">
        <v>72</v>
      </c>
      <c r="M1835" s="24">
        <v>3</v>
      </c>
      <c r="N1835" s="25">
        <v>63538.04</v>
      </c>
      <c r="O1835" s="25">
        <f t="shared" si="228"/>
        <v>190614.12</v>
      </c>
      <c r="P1835" s="25">
        <v>37657.089999999997</v>
      </c>
      <c r="Q1835" s="25">
        <f t="shared" si="229"/>
        <v>112971.26999999999</v>
      </c>
      <c r="R1835" s="25">
        <f t="shared" si="230"/>
        <v>77642.850000000006</v>
      </c>
      <c r="S1835" s="26">
        <f t="shared" si="231"/>
        <v>0.40733000262519903</v>
      </c>
    </row>
    <row r="1836" spans="1:19" ht="15" x14ac:dyDescent="0.2">
      <c r="A1836" s="23">
        <v>46136</v>
      </c>
      <c r="B1836">
        <f t="shared" si="224"/>
        <v>2026</v>
      </c>
      <c r="C1836">
        <f t="shared" si="225"/>
        <v>4</v>
      </c>
      <c r="D1836" t="str">
        <f t="shared" si="226"/>
        <v>Abril</v>
      </c>
      <c r="E1836" t="str">
        <f t="shared" si="227"/>
        <v>T2</v>
      </c>
      <c r="F1836" t="s">
        <v>1963</v>
      </c>
      <c r="G1836" t="s">
        <v>110</v>
      </c>
      <c r="H1836" t="s">
        <v>62</v>
      </c>
      <c r="I1836" t="s">
        <v>69</v>
      </c>
      <c r="J1836" t="s">
        <v>125</v>
      </c>
      <c r="K1836" t="s">
        <v>126</v>
      </c>
      <c r="L1836" t="s">
        <v>131</v>
      </c>
      <c r="M1836" s="24">
        <v>26</v>
      </c>
      <c r="N1836" s="25">
        <v>6778.08</v>
      </c>
      <c r="O1836" s="25">
        <f t="shared" si="228"/>
        <v>176230.08</v>
      </c>
      <c r="P1836" s="25">
        <v>5490.63</v>
      </c>
      <c r="Q1836" s="25">
        <f t="shared" si="229"/>
        <v>142756.38</v>
      </c>
      <c r="R1836" s="25">
        <f t="shared" si="230"/>
        <v>33473.699999999983</v>
      </c>
      <c r="S1836" s="26">
        <f t="shared" si="231"/>
        <v>0.18994316974718495</v>
      </c>
    </row>
    <row r="1837" spans="1:19" ht="15" x14ac:dyDescent="0.2">
      <c r="A1837" s="23">
        <v>46137</v>
      </c>
      <c r="B1837">
        <f t="shared" si="224"/>
        <v>2026</v>
      </c>
      <c r="C1837">
        <f t="shared" si="225"/>
        <v>4</v>
      </c>
      <c r="D1837" t="str">
        <f t="shared" si="226"/>
        <v>Abril</v>
      </c>
      <c r="E1837" t="str">
        <f t="shared" si="227"/>
        <v>T2</v>
      </c>
      <c r="F1837" t="s">
        <v>1964</v>
      </c>
      <c r="G1837" t="s">
        <v>54</v>
      </c>
      <c r="H1837" t="s">
        <v>55</v>
      </c>
      <c r="I1837" t="s">
        <v>56</v>
      </c>
      <c r="J1837" t="s">
        <v>70</v>
      </c>
      <c r="K1837" t="s">
        <v>84</v>
      </c>
      <c r="L1837" t="s">
        <v>147</v>
      </c>
      <c r="M1837" s="24">
        <v>5</v>
      </c>
      <c r="N1837" s="25">
        <v>55663.82</v>
      </c>
      <c r="O1837" s="25">
        <f t="shared" si="228"/>
        <v>278319.09999999998</v>
      </c>
      <c r="P1837" s="25">
        <v>45493.04</v>
      </c>
      <c r="Q1837" s="25">
        <f t="shared" si="229"/>
        <v>227465.2</v>
      </c>
      <c r="R1837" s="25">
        <f t="shared" si="230"/>
        <v>50853.899999999965</v>
      </c>
      <c r="S1837" s="26">
        <f t="shared" si="231"/>
        <v>0.1827179665355341</v>
      </c>
    </row>
    <row r="1838" spans="1:19" ht="15" x14ac:dyDescent="0.2">
      <c r="A1838" s="23">
        <v>46137</v>
      </c>
      <c r="B1838">
        <f t="shared" si="224"/>
        <v>2026</v>
      </c>
      <c r="C1838">
        <f t="shared" si="225"/>
        <v>4</v>
      </c>
      <c r="D1838" t="str">
        <f t="shared" si="226"/>
        <v>Abril</v>
      </c>
      <c r="E1838" t="str">
        <f t="shared" si="227"/>
        <v>T2</v>
      </c>
      <c r="F1838" t="s">
        <v>1965</v>
      </c>
      <c r="G1838" t="s">
        <v>61</v>
      </c>
      <c r="H1838" t="s">
        <v>62</v>
      </c>
      <c r="I1838" t="s">
        <v>63</v>
      </c>
      <c r="J1838" t="s">
        <v>57</v>
      </c>
      <c r="K1838" t="s">
        <v>58</v>
      </c>
      <c r="L1838" t="s">
        <v>59</v>
      </c>
      <c r="M1838" s="24">
        <v>42</v>
      </c>
      <c r="N1838" s="25">
        <v>5861.55</v>
      </c>
      <c r="O1838" s="25">
        <f t="shared" si="228"/>
        <v>246185.1</v>
      </c>
      <c r="P1838" s="25">
        <v>4811.7299999999996</v>
      </c>
      <c r="Q1838" s="25">
        <f t="shared" si="229"/>
        <v>202092.65999999997</v>
      </c>
      <c r="R1838" s="25">
        <f t="shared" si="230"/>
        <v>44092.440000000031</v>
      </c>
      <c r="S1838" s="26">
        <f t="shared" si="231"/>
        <v>0.17910279704173823</v>
      </c>
    </row>
    <row r="1839" spans="1:19" ht="15" x14ac:dyDescent="0.2">
      <c r="A1839" s="23">
        <v>46137</v>
      </c>
      <c r="B1839">
        <f t="shared" si="224"/>
        <v>2026</v>
      </c>
      <c r="C1839">
        <f t="shared" si="225"/>
        <v>4</v>
      </c>
      <c r="D1839" t="str">
        <f t="shared" si="226"/>
        <v>Abril</v>
      </c>
      <c r="E1839" t="str">
        <f t="shared" si="227"/>
        <v>T2</v>
      </c>
      <c r="F1839" t="s">
        <v>1966</v>
      </c>
      <c r="G1839" t="s">
        <v>100</v>
      </c>
      <c r="H1839" t="s">
        <v>88</v>
      </c>
      <c r="I1839" t="s">
        <v>101</v>
      </c>
      <c r="J1839" t="s">
        <v>77</v>
      </c>
      <c r="K1839" t="s">
        <v>107</v>
      </c>
      <c r="L1839" t="s">
        <v>112</v>
      </c>
      <c r="M1839" s="24">
        <v>18</v>
      </c>
      <c r="N1839" s="25">
        <v>40936.379999999997</v>
      </c>
      <c r="O1839" s="25">
        <f t="shared" si="228"/>
        <v>736854.84</v>
      </c>
      <c r="P1839" s="25">
        <v>20572.2</v>
      </c>
      <c r="Q1839" s="25">
        <f t="shared" si="229"/>
        <v>370299.60000000003</v>
      </c>
      <c r="R1839" s="25">
        <f t="shared" si="230"/>
        <v>366555.23999999993</v>
      </c>
      <c r="S1839" s="26">
        <f t="shared" si="231"/>
        <v>0.49745922819751032</v>
      </c>
    </row>
    <row r="1840" spans="1:19" ht="15" x14ac:dyDescent="0.2">
      <c r="A1840" s="23">
        <v>46137</v>
      </c>
      <c r="B1840">
        <f t="shared" si="224"/>
        <v>2026</v>
      </c>
      <c r="C1840">
        <f t="shared" si="225"/>
        <v>4</v>
      </c>
      <c r="D1840" t="str">
        <f t="shared" si="226"/>
        <v>Abril</v>
      </c>
      <c r="E1840" t="str">
        <f t="shared" si="227"/>
        <v>T2</v>
      </c>
      <c r="F1840" t="s">
        <v>1967</v>
      </c>
      <c r="G1840" t="s">
        <v>149</v>
      </c>
      <c r="H1840" t="s">
        <v>93</v>
      </c>
      <c r="I1840" t="s">
        <v>150</v>
      </c>
      <c r="J1840" t="s">
        <v>77</v>
      </c>
      <c r="K1840" t="s">
        <v>107</v>
      </c>
      <c r="L1840" t="s">
        <v>108</v>
      </c>
      <c r="M1840" s="24">
        <v>7</v>
      </c>
      <c r="N1840" s="25">
        <v>48575.76</v>
      </c>
      <c r="O1840" s="25">
        <f t="shared" si="228"/>
        <v>340030.32</v>
      </c>
      <c r="P1840" s="25">
        <v>26247.96</v>
      </c>
      <c r="Q1840" s="25">
        <f t="shared" si="229"/>
        <v>183735.72</v>
      </c>
      <c r="R1840" s="25">
        <f t="shared" si="230"/>
        <v>156294.6</v>
      </c>
      <c r="S1840" s="26">
        <f t="shared" si="231"/>
        <v>0.45964901012356779</v>
      </c>
    </row>
    <row r="1841" spans="1:19" ht="15" x14ac:dyDescent="0.2">
      <c r="A1841" s="23">
        <v>46137</v>
      </c>
      <c r="B1841">
        <f t="shared" si="224"/>
        <v>2026</v>
      </c>
      <c r="C1841">
        <f t="shared" si="225"/>
        <v>4</v>
      </c>
      <c r="D1841" t="str">
        <f t="shared" si="226"/>
        <v>Abril</v>
      </c>
      <c r="E1841" t="str">
        <f t="shared" si="227"/>
        <v>T2</v>
      </c>
      <c r="F1841" t="s">
        <v>1968</v>
      </c>
      <c r="G1841" t="s">
        <v>92</v>
      </c>
      <c r="H1841" t="s">
        <v>93</v>
      </c>
      <c r="I1841" t="s">
        <v>94</v>
      </c>
      <c r="J1841" t="s">
        <v>70</v>
      </c>
      <c r="K1841" t="s">
        <v>71</v>
      </c>
      <c r="L1841" t="s">
        <v>72</v>
      </c>
      <c r="M1841" s="24">
        <v>7</v>
      </c>
      <c r="N1841" s="25">
        <v>20318.46</v>
      </c>
      <c r="O1841" s="25">
        <f t="shared" si="228"/>
        <v>142229.22</v>
      </c>
      <c r="P1841" s="25">
        <v>12719.89</v>
      </c>
      <c r="Q1841" s="25">
        <f t="shared" si="229"/>
        <v>89039.23</v>
      </c>
      <c r="R1841" s="25">
        <f t="shared" si="230"/>
        <v>53189.990000000005</v>
      </c>
      <c r="S1841" s="26">
        <f t="shared" si="231"/>
        <v>0.3739737165119798</v>
      </c>
    </row>
    <row r="1842" spans="1:19" ht="15" x14ac:dyDescent="0.2">
      <c r="A1842" s="23">
        <v>46138</v>
      </c>
      <c r="B1842">
        <f t="shared" si="224"/>
        <v>2026</v>
      </c>
      <c r="C1842">
        <f t="shared" si="225"/>
        <v>4</v>
      </c>
      <c r="D1842" t="str">
        <f t="shared" si="226"/>
        <v>Abril</v>
      </c>
      <c r="E1842" t="str">
        <f t="shared" si="227"/>
        <v>T2</v>
      </c>
      <c r="F1842" t="s">
        <v>1969</v>
      </c>
      <c r="G1842" t="s">
        <v>183</v>
      </c>
      <c r="H1842" t="s">
        <v>55</v>
      </c>
      <c r="I1842" t="s">
        <v>184</v>
      </c>
      <c r="J1842" t="s">
        <v>64</v>
      </c>
      <c r="K1842" t="s">
        <v>96</v>
      </c>
      <c r="L1842" t="s">
        <v>103</v>
      </c>
      <c r="M1842" s="24">
        <v>5</v>
      </c>
      <c r="N1842" s="25">
        <v>368034.99</v>
      </c>
      <c r="O1842" s="25">
        <f t="shared" si="228"/>
        <v>1840174.95</v>
      </c>
      <c r="P1842" s="25">
        <v>294185.36</v>
      </c>
      <c r="Q1842" s="25">
        <f t="shared" si="229"/>
        <v>1470926.7999999998</v>
      </c>
      <c r="R1842" s="25">
        <f t="shared" si="230"/>
        <v>369248.15000000014</v>
      </c>
      <c r="S1842" s="26">
        <f t="shared" si="231"/>
        <v>0.20065926340318901</v>
      </c>
    </row>
    <row r="1843" spans="1:19" ht="15" x14ac:dyDescent="0.2">
      <c r="A1843" s="23">
        <v>46138</v>
      </c>
      <c r="B1843">
        <f t="shared" si="224"/>
        <v>2026</v>
      </c>
      <c r="C1843">
        <f t="shared" si="225"/>
        <v>4</v>
      </c>
      <c r="D1843" t="str">
        <f t="shared" si="226"/>
        <v>Abril</v>
      </c>
      <c r="E1843" t="str">
        <f t="shared" si="227"/>
        <v>T2</v>
      </c>
      <c r="F1843" t="s">
        <v>1970</v>
      </c>
      <c r="G1843" t="s">
        <v>87</v>
      </c>
      <c r="H1843" t="s">
        <v>88</v>
      </c>
      <c r="I1843" t="s">
        <v>89</v>
      </c>
      <c r="J1843" t="s">
        <v>64</v>
      </c>
      <c r="K1843" t="s">
        <v>65</v>
      </c>
      <c r="L1843" t="s">
        <v>123</v>
      </c>
      <c r="M1843" s="24">
        <v>7</v>
      </c>
      <c r="N1843" s="25">
        <v>56072.1</v>
      </c>
      <c r="O1843" s="25">
        <f t="shared" si="228"/>
        <v>392504.7</v>
      </c>
      <c r="P1843" s="25">
        <v>30826.37</v>
      </c>
      <c r="Q1843" s="25">
        <f t="shared" si="229"/>
        <v>215784.59</v>
      </c>
      <c r="R1843" s="25">
        <f t="shared" si="230"/>
        <v>176720.11000000002</v>
      </c>
      <c r="S1843" s="26">
        <f t="shared" si="231"/>
        <v>0.45023692709921692</v>
      </c>
    </row>
    <row r="1844" spans="1:19" ht="15" x14ac:dyDescent="0.2">
      <c r="A1844" s="23">
        <v>46138</v>
      </c>
      <c r="B1844">
        <f t="shared" si="224"/>
        <v>2026</v>
      </c>
      <c r="C1844">
        <f t="shared" si="225"/>
        <v>4</v>
      </c>
      <c r="D1844" t="str">
        <f t="shared" si="226"/>
        <v>Abril</v>
      </c>
      <c r="E1844" t="str">
        <f t="shared" si="227"/>
        <v>T2</v>
      </c>
      <c r="F1844" t="s">
        <v>1971</v>
      </c>
      <c r="G1844" t="s">
        <v>188</v>
      </c>
      <c r="H1844" t="s">
        <v>88</v>
      </c>
      <c r="I1844" t="s">
        <v>189</v>
      </c>
      <c r="J1844" t="s">
        <v>77</v>
      </c>
      <c r="K1844" t="s">
        <v>78</v>
      </c>
      <c r="L1844" t="s">
        <v>117</v>
      </c>
      <c r="M1844" s="24">
        <v>4</v>
      </c>
      <c r="N1844" s="25">
        <v>84465.68</v>
      </c>
      <c r="O1844" s="25">
        <f t="shared" si="228"/>
        <v>337862.72</v>
      </c>
      <c r="P1844" s="25">
        <v>44004.32</v>
      </c>
      <c r="Q1844" s="25">
        <f t="shared" si="229"/>
        <v>176017.28</v>
      </c>
      <c r="R1844" s="25">
        <f t="shared" si="230"/>
        <v>161845.43999999997</v>
      </c>
      <c r="S1844" s="26">
        <f t="shared" si="231"/>
        <v>0.47902722147030602</v>
      </c>
    </row>
    <row r="1845" spans="1:19" ht="15" x14ac:dyDescent="0.2">
      <c r="A1845" s="23">
        <v>46139</v>
      </c>
      <c r="B1845">
        <f t="shared" si="224"/>
        <v>2026</v>
      </c>
      <c r="C1845">
        <f t="shared" si="225"/>
        <v>4</v>
      </c>
      <c r="D1845" t="str">
        <f t="shared" si="226"/>
        <v>Abril</v>
      </c>
      <c r="E1845" t="str">
        <f t="shared" si="227"/>
        <v>T2</v>
      </c>
      <c r="F1845" t="s">
        <v>1972</v>
      </c>
      <c r="G1845" t="s">
        <v>61</v>
      </c>
      <c r="H1845" t="s">
        <v>62</v>
      </c>
      <c r="I1845" t="s">
        <v>63</v>
      </c>
      <c r="J1845" t="s">
        <v>64</v>
      </c>
      <c r="K1845" t="s">
        <v>65</v>
      </c>
      <c r="L1845" t="s">
        <v>123</v>
      </c>
      <c r="M1845" s="24">
        <v>142</v>
      </c>
      <c r="N1845" s="25">
        <v>5808.53</v>
      </c>
      <c r="O1845" s="25">
        <f t="shared" si="228"/>
        <v>824811.26</v>
      </c>
      <c r="P1845" s="25">
        <v>4797.92</v>
      </c>
      <c r="Q1845" s="25">
        <f t="shared" si="229"/>
        <v>681304.64</v>
      </c>
      <c r="R1845" s="25">
        <f t="shared" si="230"/>
        <v>143506.62</v>
      </c>
      <c r="S1845" s="26">
        <f t="shared" si="231"/>
        <v>0.17398722224039473</v>
      </c>
    </row>
    <row r="1846" spans="1:19" ht="15" x14ac:dyDescent="0.2">
      <c r="A1846" s="23">
        <v>46139</v>
      </c>
      <c r="B1846">
        <f t="shared" si="224"/>
        <v>2026</v>
      </c>
      <c r="C1846">
        <f t="shared" si="225"/>
        <v>4</v>
      </c>
      <c r="D1846" t="str">
        <f t="shared" si="226"/>
        <v>Abril</v>
      </c>
      <c r="E1846" t="str">
        <f t="shared" si="227"/>
        <v>T2</v>
      </c>
      <c r="F1846" t="s">
        <v>1973</v>
      </c>
      <c r="G1846" t="s">
        <v>61</v>
      </c>
      <c r="H1846" t="s">
        <v>62</v>
      </c>
      <c r="I1846" t="s">
        <v>63</v>
      </c>
      <c r="J1846" t="s">
        <v>64</v>
      </c>
      <c r="K1846" t="s">
        <v>96</v>
      </c>
      <c r="L1846" t="s">
        <v>103</v>
      </c>
      <c r="M1846" s="24">
        <v>233</v>
      </c>
      <c r="N1846" s="25">
        <v>5752.24</v>
      </c>
      <c r="O1846" s="25">
        <f t="shared" si="228"/>
        <v>1340271.92</v>
      </c>
      <c r="P1846" s="25">
        <v>4799.84</v>
      </c>
      <c r="Q1846" s="25">
        <f t="shared" si="229"/>
        <v>1118362.72</v>
      </c>
      <c r="R1846" s="25">
        <f t="shared" si="230"/>
        <v>221909.19999999995</v>
      </c>
      <c r="S1846" s="26">
        <f t="shared" si="231"/>
        <v>0.16557028218572239</v>
      </c>
    </row>
    <row r="1847" spans="1:19" ht="15" x14ac:dyDescent="0.2">
      <c r="A1847" s="23">
        <v>46139</v>
      </c>
      <c r="B1847">
        <f t="shared" si="224"/>
        <v>2026</v>
      </c>
      <c r="C1847">
        <f t="shared" si="225"/>
        <v>4</v>
      </c>
      <c r="D1847" t="str">
        <f t="shared" si="226"/>
        <v>Abril</v>
      </c>
      <c r="E1847" t="str">
        <f t="shared" si="227"/>
        <v>T2</v>
      </c>
      <c r="F1847" t="s">
        <v>1974</v>
      </c>
      <c r="G1847" t="s">
        <v>110</v>
      </c>
      <c r="H1847" t="s">
        <v>62</v>
      </c>
      <c r="I1847" t="s">
        <v>69</v>
      </c>
      <c r="J1847" t="s">
        <v>70</v>
      </c>
      <c r="K1847" t="s">
        <v>84</v>
      </c>
      <c r="L1847" t="s">
        <v>147</v>
      </c>
      <c r="M1847" s="24">
        <v>39</v>
      </c>
      <c r="N1847" s="25">
        <v>6402.14</v>
      </c>
      <c r="O1847" s="25">
        <f t="shared" si="228"/>
        <v>249683.46000000002</v>
      </c>
      <c r="P1847" s="25">
        <v>5422.37</v>
      </c>
      <c r="Q1847" s="25">
        <f t="shared" si="229"/>
        <v>211472.43</v>
      </c>
      <c r="R1847" s="25">
        <f t="shared" si="230"/>
        <v>38211.030000000028</v>
      </c>
      <c r="S1847" s="26">
        <f t="shared" si="231"/>
        <v>0.15303789045537908</v>
      </c>
    </row>
    <row r="1848" spans="1:19" ht="15" x14ac:dyDescent="0.2">
      <c r="A1848" s="23">
        <v>46139</v>
      </c>
      <c r="B1848">
        <f t="shared" si="224"/>
        <v>2026</v>
      </c>
      <c r="C1848">
        <f t="shared" si="225"/>
        <v>4</v>
      </c>
      <c r="D1848" t="str">
        <f t="shared" si="226"/>
        <v>Abril</v>
      </c>
      <c r="E1848" t="str">
        <f t="shared" si="227"/>
        <v>T2</v>
      </c>
      <c r="F1848" t="s">
        <v>1975</v>
      </c>
      <c r="G1848" t="s">
        <v>74</v>
      </c>
      <c r="H1848" t="s">
        <v>75</v>
      </c>
      <c r="I1848" t="s">
        <v>76</v>
      </c>
      <c r="J1848" t="s">
        <v>125</v>
      </c>
      <c r="K1848" t="s">
        <v>126</v>
      </c>
      <c r="L1848" t="s">
        <v>127</v>
      </c>
      <c r="M1848" s="24">
        <v>1</v>
      </c>
      <c r="N1848" s="25">
        <v>13996.8</v>
      </c>
      <c r="O1848" s="25">
        <f t="shared" si="228"/>
        <v>13996.8</v>
      </c>
      <c r="P1848" s="25">
        <v>9372.6200000000008</v>
      </c>
      <c r="Q1848" s="25">
        <f t="shared" si="229"/>
        <v>9372.6200000000008</v>
      </c>
      <c r="R1848" s="25">
        <f t="shared" si="230"/>
        <v>4624.1799999999985</v>
      </c>
      <c r="S1848" s="26">
        <f t="shared" si="231"/>
        <v>0.33037408550525826</v>
      </c>
    </row>
    <row r="1849" spans="1:19" ht="15" x14ac:dyDescent="0.2">
      <c r="A1849" s="23">
        <v>46139</v>
      </c>
      <c r="B1849">
        <f t="shared" si="224"/>
        <v>2026</v>
      </c>
      <c r="C1849">
        <f t="shared" si="225"/>
        <v>4</v>
      </c>
      <c r="D1849" t="str">
        <f t="shared" si="226"/>
        <v>Abril</v>
      </c>
      <c r="E1849" t="str">
        <f t="shared" si="227"/>
        <v>T2</v>
      </c>
      <c r="F1849" t="s">
        <v>1976</v>
      </c>
      <c r="G1849" t="s">
        <v>74</v>
      </c>
      <c r="H1849" t="s">
        <v>75</v>
      </c>
      <c r="I1849" t="s">
        <v>76</v>
      </c>
      <c r="J1849" t="s">
        <v>125</v>
      </c>
      <c r="K1849" t="s">
        <v>126</v>
      </c>
      <c r="L1849" t="s">
        <v>127</v>
      </c>
      <c r="M1849" s="24">
        <v>4</v>
      </c>
      <c r="N1849" s="25">
        <v>43391.57</v>
      </c>
      <c r="O1849" s="25">
        <f t="shared" si="228"/>
        <v>173566.28</v>
      </c>
      <c r="P1849" s="25">
        <v>29823.439999999999</v>
      </c>
      <c r="Q1849" s="25">
        <f t="shared" si="229"/>
        <v>119293.75999999999</v>
      </c>
      <c r="R1849" s="25">
        <f t="shared" si="230"/>
        <v>54272.520000000004</v>
      </c>
      <c r="S1849" s="26">
        <f t="shared" si="231"/>
        <v>0.31269046038205117</v>
      </c>
    </row>
    <row r="1850" spans="1:19" ht="15" x14ac:dyDescent="0.2">
      <c r="A1850" s="23">
        <v>46139</v>
      </c>
      <c r="B1850">
        <f t="shared" si="224"/>
        <v>2026</v>
      </c>
      <c r="C1850">
        <f t="shared" si="225"/>
        <v>4</v>
      </c>
      <c r="D1850" t="str">
        <f t="shared" si="226"/>
        <v>Abril</v>
      </c>
      <c r="E1850" t="str">
        <f t="shared" si="227"/>
        <v>T2</v>
      </c>
      <c r="F1850" t="s">
        <v>1977</v>
      </c>
      <c r="G1850" t="s">
        <v>144</v>
      </c>
      <c r="H1850" t="s">
        <v>88</v>
      </c>
      <c r="I1850" t="s">
        <v>145</v>
      </c>
      <c r="J1850" t="s">
        <v>77</v>
      </c>
      <c r="K1850" t="s">
        <v>107</v>
      </c>
      <c r="L1850" t="s">
        <v>108</v>
      </c>
      <c r="M1850" s="24">
        <v>1</v>
      </c>
      <c r="N1850" s="25">
        <v>5552.52</v>
      </c>
      <c r="O1850" s="25">
        <f t="shared" si="228"/>
        <v>5552.52</v>
      </c>
      <c r="P1850" s="25">
        <v>2909.44</v>
      </c>
      <c r="Q1850" s="25">
        <f t="shared" si="229"/>
        <v>2909.44</v>
      </c>
      <c r="R1850" s="25">
        <f t="shared" si="230"/>
        <v>2643.0800000000004</v>
      </c>
      <c r="S1850" s="26">
        <f t="shared" si="231"/>
        <v>0.47601449431969634</v>
      </c>
    </row>
    <row r="1851" spans="1:19" ht="15" x14ac:dyDescent="0.2">
      <c r="A1851" s="23">
        <v>46139</v>
      </c>
      <c r="B1851">
        <f t="shared" si="224"/>
        <v>2026</v>
      </c>
      <c r="C1851">
        <f t="shared" si="225"/>
        <v>4</v>
      </c>
      <c r="D1851" t="str">
        <f t="shared" si="226"/>
        <v>Abril</v>
      </c>
      <c r="E1851" t="str">
        <f t="shared" si="227"/>
        <v>T2</v>
      </c>
      <c r="F1851" t="s">
        <v>1978</v>
      </c>
      <c r="G1851" t="s">
        <v>92</v>
      </c>
      <c r="H1851" t="s">
        <v>93</v>
      </c>
      <c r="I1851" t="s">
        <v>94</v>
      </c>
      <c r="J1851" t="s">
        <v>70</v>
      </c>
      <c r="K1851" t="s">
        <v>84</v>
      </c>
      <c r="L1851" t="s">
        <v>147</v>
      </c>
      <c r="M1851" s="24">
        <v>5</v>
      </c>
      <c r="N1851" s="25">
        <v>19471.259999999998</v>
      </c>
      <c r="O1851" s="25">
        <f t="shared" si="228"/>
        <v>97356.299999999988</v>
      </c>
      <c r="P1851" s="25">
        <v>12152.07</v>
      </c>
      <c r="Q1851" s="25">
        <f t="shared" si="229"/>
        <v>60760.35</v>
      </c>
      <c r="R1851" s="25">
        <f t="shared" si="230"/>
        <v>36595.94999999999</v>
      </c>
      <c r="S1851" s="26">
        <f t="shared" si="231"/>
        <v>0.37589709140548677</v>
      </c>
    </row>
    <row r="1852" spans="1:19" ht="15" x14ac:dyDescent="0.2">
      <c r="A1852" s="23">
        <v>46140</v>
      </c>
      <c r="B1852">
        <f t="shared" si="224"/>
        <v>2026</v>
      </c>
      <c r="C1852">
        <f t="shared" si="225"/>
        <v>4</v>
      </c>
      <c r="D1852" t="str">
        <f t="shared" si="226"/>
        <v>Abril</v>
      </c>
      <c r="E1852" t="str">
        <f t="shared" si="227"/>
        <v>T2</v>
      </c>
      <c r="F1852" t="s">
        <v>1979</v>
      </c>
      <c r="G1852" t="s">
        <v>144</v>
      </c>
      <c r="H1852" t="s">
        <v>88</v>
      </c>
      <c r="I1852" t="s">
        <v>145</v>
      </c>
      <c r="J1852" t="s">
        <v>64</v>
      </c>
      <c r="K1852" t="s">
        <v>96</v>
      </c>
      <c r="L1852" t="s">
        <v>97</v>
      </c>
      <c r="M1852" s="24">
        <v>60</v>
      </c>
      <c r="N1852" s="25">
        <v>12205.12</v>
      </c>
      <c r="O1852" s="25">
        <f t="shared" si="228"/>
        <v>732307.20000000007</v>
      </c>
      <c r="P1852" s="25">
        <v>6962.24</v>
      </c>
      <c r="Q1852" s="25">
        <f t="shared" si="229"/>
        <v>417734.39999999997</v>
      </c>
      <c r="R1852" s="25">
        <f t="shared" si="230"/>
        <v>314572.8000000001</v>
      </c>
      <c r="S1852" s="26">
        <f t="shared" si="231"/>
        <v>0.42956398626150349</v>
      </c>
    </row>
    <row r="1853" spans="1:19" ht="15" x14ac:dyDescent="0.2">
      <c r="A1853" s="23">
        <v>46140</v>
      </c>
      <c r="B1853">
        <f t="shared" si="224"/>
        <v>2026</v>
      </c>
      <c r="C1853">
        <f t="shared" si="225"/>
        <v>4</v>
      </c>
      <c r="D1853" t="str">
        <f t="shared" si="226"/>
        <v>Abril</v>
      </c>
      <c r="E1853" t="str">
        <f t="shared" si="227"/>
        <v>T2</v>
      </c>
      <c r="F1853" t="s">
        <v>1980</v>
      </c>
      <c r="G1853" t="s">
        <v>92</v>
      </c>
      <c r="H1853" t="s">
        <v>93</v>
      </c>
      <c r="I1853" t="s">
        <v>94</v>
      </c>
      <c r="J1853" t="s">
        <v>70</v>
      </c>
      <c r="K1853" t="s">
        <v>84</v>
      </c>
      <c r="L1853" t="s">
        <v>85</v>
      </c>
      <c r="M1853" s="24">
        <v>4</v>
      </c>
      <c r="N1853" s="25">
        <v>19251.87</v>
      </c>
      <c r="O1853" s="25">
        <f t="shared" si="228"/>
        <v>77007.48</v>
      </c>
      <c r="P1853" s="25">
        <v>12027.36</v>
      </c>
      <c r="Q1853" s="25">
        <f t="shared" si="229"/>
        <v>48109.440000000002</v>
      </c>
      <c r="R1853" s="25">
        <f t="shared" si="230"/>
        <v>28898.039999999994</v>
      </c>
      <c r="S1853" s="26">
        <f t="shared" si="231"/>
        <v>0.37526276668188591</v>
      </c>
    </row>
    <row r="1854" spans="1:19" ht="15" x14ac:dyDescent="0.2">
      <c r="A1854" s="23">
        <v>46140</v>
      </c>
      <c r="B1854">
        <f t="shared" si="224"/>
        <v>2026</v>
      </c>
      <c r="C1854">
        <f t="shared" si="225"/>
        <v>4</v>
      </c>
      <c r="D1854" t="str">
        <f t="shared" si="226"/>
        <v>Abril</v>
      </c>
      <c r="E1854" t="str">
        <f t="shared" si="227"/>
        <v>T2</v>
      </c>
      <c r="F1854" t="s">
        <v>1981</v>
      </c>
      <c r="G1854" t="s">
        <v>92</v>
      </c>
      <c r="H1854" t="s">
        <v>93</v>
      </c>
      <c r="I1854" t="s">
        <v>94</v>
      </c>
      <c r="J1854" t="s">
        <v>70</v>
      </c>
      <c r="K1854" t="s">
        <v>71</v>
      </c>
      <c r="L1854" t="s">
        <v>90</v>
      </c>
      <c r="M1854" s="24">
        <v>3</v>
      </c>
      <c r="N1854" s="25">
        <v>17737.54</v>
      </c>
      <c r="O1854" s="25">
        <f t="shared" si="228"/>
        <v>53212.62</v>
      </c>
      <c r="P1854" s="25">
        <v>10893.39</v>
      </c>
      <c r="Q1854" s="25">
        <f t="shared" si="229"/>
        <v>32680.17</v>
      </c>
      <c r="R1854" s="25">
        <f t="shared" si="230"/>
        <v>20532.450000000004</v>
      </c>
      <c r="S1854" s="26">
        <f t="shared" si="231"/>
        <v>0.3858567760805614</v>
      </c>
    </row>
    <row r="1855" spans="1:19" ht="15" x14ac:dyDescent="0.2">
      <c r="A1855" s="23">
        <v>46143</v>
      </c>
      <c r="B1855">
        <f t="shared" si="224"/>
        <v>2026</v>
      </c>
      <c r="C1855">
        <f t="shared" si="225"/>
        <v>5</v>
      </c>
      <c r="D1855" t="str">
        <f t="shared" si="226"/>
        <v>Mayo</v>
      </c>
      <c r="E1855" t="str">
        <f t="shared" si="227"/>
        <v>T2</v>
      </c>
      <c r="F1855" t="s">
        <v>1982</v>
      </c>
      <c r="G1855" t="s">
        <v>183</v>
      </c>
      <c r="H1855" t="s">
        <v>55</v>
      </c>
      <c r="I1855" t="s">
        <v>184</v>
      </c>
      <c r="J1855" t="s">
        <v>64</v>
      </c>
      <c r="K1855" t="s">
        <v>96</v>
      </c>
      <c r="L1855" t="s">
        <v>97</v>
      </c>
      <c r="M1855" s="24">
        <v>4</v>
      </c>
      <c r="N1855" s="25">
        <v>347757.7</v>
      </c>
      <c r="O1855" s="25">
        <f t="shared" si="228"/>
        <v>1391030.8</v>
      </c>
      <c r="P1855" s="25">
        <v>281161.49</v>
      </c>
      <c r="Q1855" s="25">
        <f t="shared" si="229"/>
        <v>1124645.96</v>
      </c>
      <c r="R1855" s="25">
        <f t="shared" si="230"/>
        <v>266384.84000000008</v>
      </c>
      <c r="S1855" s="26">
        <f t="shared" si="231"/>
        <v>0.19150175538888145</v>
      </c>
    </row>
    <row r="1856" spans="1:19" ht="15" x14ac:dyDescent="0.2">
      <c r="A1856" s="23">
        <v>46143</v>
      </c>
      <c r="B1856">
        <f t="shared" si="224"/>
        <v>2026</v>
      </c>
      <c r="C1856">
        <f t="shared" si="225"/>
        <v>5</v>
      </c>
      <c r="D1856" t="str">
        <f t="shared" si="226"/>
        <v>Mayo</v>
      </c>
      <c r="E1856" t="str">
        <f t="shared" si="227"/>
        <v>T2</v>
      </c>
      <c r="F1856" t="s">
        <v>1983</v>
      </c>
      <c r="G1856" t="s">
        <v>74</v>
      </c>
      <c r="H1856" t="s">
        <v>75</v>
      </c>
      <c r="I1856" t="s">
        <v>76</v>
      </c>
      <c r="J1856" t="s">
        <v>77</v>
      </c>
      <c r="K1856" t="s">
        <v>78</v>
      </c>
      <c r="L1856" t="s">
        <v>117</v>
      </c>
      <c r="M1856" s="24">
        <v>10</v>
      </c>
      <c r="N1856" s="25">
        <v>40666.94</v>
      </c>
      <c r="O1856" s="25">
        <f t="shared" si="228"/>
        <v>406669.4</v>
      </c>
      <c r="P1856" s="25">
        <v>27426.97</v>
      </c>
      <c r="Q1856" s="25">
        <f t="shared" si="229"/>
        <v>274269.7</v>
      </c>
      <c r="R1856" s="25">
        <f t="shared" si="230"/>
        <v>132399.70000000001</v>
      </c>
      <c r="S1856" s="26">
        <f t="shared" si="231"/>
        <v>0.32557084452383189</v>
      </c>
    </row>
    <row r="1857" spans="1:19" ht="15" x14ac:dyDescent="0.2">
      <c r="A1857" s="23">
        <v>46143</v>
      </c>
      <c r="B1857">
        <f t="shared" si="224"/>
        <v>2026</v>
      </c>
      <c r="C1857">
        <f t="shared" si="225"/>
        <v>5</v>
      </c>
      <c r="D1857" t="str">
        <f t="shared" si="226"/>
        <v>Mayo</v>
      </c>
      <c r="E1857" t="str">
        <f t="shared" si="227"/>
        <v>T2</v>
      </c>
      <c r="F1857" t="s">
        <v>1984</v>
      </c>
      <c r="G1857" t="s">
        <v>149</v>
      </c>
      <c r="H1857" t="s">
        <v>93</v>
      </c>
      <c r="I1857" t="s">
        <v>150</v>
      </c>
      <c r="J1857" t="s">
        <v>57</v>
      </c>
      <c r="K1857" t="s">
        <v>58</v>
      </c>
      <c r="L1857" t="s">
        <v>59</v>
      </c>
      <c r="M1857" s="24">
        <v>3</v>
      </c>
      <c r="N1857" s="25">
        <v>38693.019999999997</v>
      </c>
      <c r="O1857" s="25">
        <f t="shared" si="228"/>
        <v>116079.06</v>
      </c>
      <c r="P1857" s="25">
        <v>22411.94</v>
      </c>
      <c r="Q1857" s="25">
        <f t="shared" si="229"/>
        <v>67235.819999999992</v>
      </c>
      <c r="R1857" s="25">
        <f t="shared" si="230"/>
        <v>48843.240000000005</v>
      </c>
      <c r="S1857" s="26">
        <f t="shared" si="231"/>
        <v>0.4207756334346609</v>
      </c>
    </row>
    <row r="1858" spans="1:19" ht="15" x14ac:dyDescent="0.2">
      <c r="A1858" s="23">
        <v>46144</v>
      </c>
      <c r="B1858">
        <f t="shared" ref="B1858:B1921" si="232">YEAR($A1858)</f>
        <v>2026</v>
      </c>
      <c r="C1858">
        <f t="shared" ref="C1858:C1921" si="233">MONTH($A1858)</f>
        <v>5</v>
      </c>
      <c r="D1858" t="str">
        <f t="shared" ref="D1858:D1921" si="234">INDEX(lst_Meses,MONTH($A1858))</f>
        <v>Mayo</v>
      </c>
      <c r="E1858" t="str">
        <f t="shared" ref="E1858:E1921" si="235">"T"&amp;ROUNDUP(MONTH($A1858)/3,0)</f>
        <v>T2</v>
      </c>
      <c r="F1858" t="s">
        <v>1985</v>
      </c>
      <c r="G1858" t="s">
        <v>54</v>
      </c>
      <c r="H1858" t="s">
        <v>55</v>
      </c>
      <c r="I1858" t="s">
        <v>56</v>
      </c>
      <c r="J1858" t="s">
        <v>125</v>
      </c>
      <c r="K1858" t="s">
        <v>126</v>
      </c>
      <c r="L1858" t="s">
        <v>127</v>
      </c>
      <c r="M1858" s="24">
        <v>7</v>
      </c>
      <c r="N1858" s="25">
        <v>54002.99</v>
      </c>
      <c r="O1858" s="25">
        <f t="shared" ref="O1858:O1921" si="236">$M1858*$N1858</f>
        <v>378020.93</v>
      </c>
      <c r="P1858" s="25">
        <v>42976.98</v>
      </c>
      <c r="Q1858" s="25">
        <f t="shared" ref="Q1858:Q1921" si="237">$M1858*$P1858</f>
        <v>300838.86000000004</v>
      </c>
      <c r="R1858" s="25">
        <f t="shared" ref="R1858:R1921" si="238">$O1858-$Q1858</f>
        <v>77182.069999999949</v>
      </c>
      <c r="S1858" s="26">
        <f t="shared" ref="S1858:S1921" si="239">IFERROR($R1858/$O1858,0)</f>
        <v>0.20417406517676137</v>
      </c>
    </row>
    <row r="1859" spans="1:19" ht="15" x14ac:dyDescent="0.2">
      <c r="A1859" s="23">
        <v>46144</v>
      </c>
      <c r="B1859">
        <f t="shared" si="232"/>
        <v>2026</v>
      </c>
      <c r="C1859">
        <f t="shared" si="233"/>
        <v>5</v>
      </c>
      <c r="D1859" t="str">
        <f t="shared" si="234"/>
        <v>Mayo</v>
      </c>
      <c r="E1859" t="str">
        <f t="shared" si="235"/>
        <v>T2</v>
      </c>
      <c r="F1859" t="s">
        <v>1986</v>
      </c>
      <c r="G1859" t="s">
        <v>105</v>
      </c>
      <c r="H1859" t="s">
        <v>62</v>
      </c>
      <c r="I1859" t="s">
        <v>106</v>
      </c>
      <c r="J1859" t="s">
        <v>64</v>
      </c>
      <c r="K1859" t="s">
        <v>96</v>
      </c>
      <c r="L1859" t="s">
        <v>103</v>
      </c>
      <c r="M1859" s="24">
        <v>366</v>
      </c>
      <c r="N1859" s="25">
        <v>1796.36</v>
      </c>
      <c r="O1859" s="25">
        <f t="shared" si="236"/>
        <v>657467.76</v>
      </c>
      <c r="P1859" s="25">
        <v>1500.08</v>
      </c>
      <c r="Q1859" s="25">
        <f t="shared" si="237"/>
        <v>549029.28</v>
      </c>
      <c r="R1859" s="25">
        <f t="shared" si="238"/>
        <v>108438.47999999998</v>
      </c>
      <c r="S1859" s="26">
        <f t="shared" si="239"/>
        <v>0.16493353225411383</v>
      </c>
    </row>
    <row r="1860" spans="1:19" ht="15" x14ac:dyDescent="0.2">
      <c r="A1860" s="23">
        <v>46144</v>
      </c>
      <c r="B1860">
        <f t="shared" si="232"/>
        <v>2026</v>
      </c>
      <c r="C1860">
        <f t="shared" si="233"/>
        <v>5</v>
      </c>
      <c r="D1860" t="str">
        <f t="shared" si="234"/>
        <v>Mayo</v>
      </c>
      <c r="E1860" t="str">
        <f t="shared" si="235"/>
        <v>T2</v>
      </c>
      <c r="F1860" t="s">
        <v>1987</v>
      </c>
      <c r="G1860" t="s">
        <v>61</v>
      </c>
      <c r="H1860" t="s">
        <v>62</v>
      </c>
      <c r="I1860" t="s">
        <v>63</v>
      </c>
      <c r="J1860" t="s">
        <v>70</v>
      </c>
      <c r="K1860" t="s">
        <v>71</v>
      </c>
      <c r="L1860" t="s">
        <v>90</v>
      </c>
      <c r="M1860" s="24">
        <v>58</v>
      </c>
      <c r="N1860" s="25">
        <v>5579.98</v>
      </c>
      <c r="O1860" s="25">
        <f t="shared" si="236"/>
        <v>323638.83999999997</v>
      </c>
      <c r="P1860" s="25">
        <v>4797.5200000000004</v>
      </c>
      <c r="Q1860" s="25">
        <f t="shared" si="237"/>
        <v>278256.16000000003</v>
      </c>
      <c r="R1860" s="25">
        <f t="shared" si="238"/>
        <v>45382.679999999935</v>
      </c>
      <c r="S1860" s="26">
        <f t="shared" si="239"/>
        <v>0.14022630905487099</v>
      </c>
    </row>
    <row r="1861" spans="1:19" ht="15" x14ac:dyDescent="0.2">
      <c r="A1861" s="23">
        <v>46144</v>
      </c>
      <c r="B1861">
        <f t="shared" si="232"/>
        <v>2026</v>
      </c>
      <c r="C1861">
        <f t="shared" si="233"/>
        <v>5</v>
      </c>
      <c r="D1861" t="str">
        <f t="shared" si="234"/>
        <v>Mayo</v>
      </c>
      <c r="E1861" t="str">
        <f t="shared" si="235"/>
        <v>T2</v>
      </c>
      <c r="F1861" t="s">
        <v>1988</v>
      </c>
      <c r="G1861" t="s">
        <v>74</v>
      </c>
      <c r="H1861" t="s">
        <v>75</v>
      </c>
      <c r="I1861" t="s">
        <v>76</v>
      </c>
      <c r="J1861" t="s">
        <v>64</v>
      </c>
      <c r="K1861" t="s">
        <v>96</v>
      </c>
      <c r="L1861" t="s">
        <v>97</v>
      </c>
      <c r="M1861" s="24">
        <v>1</v>
      </c>
      <c r="N1861" s="25">
        <v>39322.1</v>
      </c>
      <c r="O1861" s="25">
        <f t="shared" si="236"/>
        <v>39322.1</v>
      </c>
      <c r="P1861" s="25">
        <v>27474.400000000001</v>
      </c>
      <c r="Q1861" s="25">
        <f t="shared" si="237"/>
        <v>27474.400000000001</v>
      </c>
      <c r="R1861" s="25">
        <f t="shared" si="238"/>
        <v>11847.699999999997</v>
      </c>
      <c r="S1861" s="26">
        <f t="shared" si="239"/>
        <v>0.30129876074777284</v>
      </c>
    </row>
    <row r="1862" spans="1:19" ht="15" x14ac:dyDescent="0.2">
      <c r="A1862" s="23">
        <v>46144</v>
      </c>
      <c r="B1862">
        <f t="shared" si="232"/>
        <v>2026</v>
      </c>
      <c r="C1862">
        <f t="shared" si="233"/>
        <v>5</v>
      </c>
      <c r="D1862" t="str">
        <f t="shared" si="234"/>
        <v>Mayo</v>
      </c>
      <c r="E1862" t="str">
        <f t="shared" si="235"/>
        <v>T2</v>
      </c>
      <c r="F1862" t="s">
        <v>1989</v>
      </c>
      <c r="G1862" t="s">
        <v>114</v>
      </c>
      <c r="H1862" t="s">
        <v>75</v>
      </c>
      <c r="I1862" t="s">
        <v>115</v>
      </c>
      <c r="J1862" t="s">
        <v>57</v>
      </c>
      <c r="K1862" t="s">
        <v>58</v>
      </c>
      <c r="L1862" t="s">
        <v>59</v>
      </c>
      <c r="M1862" s="24">
        <v>2</v>
      </c>
      <c r="N1862" s="25">
        <v>109976.71</v>
      </c>
      <c r="O1862" s="25">
        <f t="shared" si="236"/>
        <v>219953.42</v>
      </c>
      <c r="P1862" s="25">
        <v>75262.62</v>
      </c>
      <c r="Q1862" s="25">
        <f t="shared" si="237"/>
        <v>150525.24</v>
      </c>
      <c r="R1862" s="25">
        <f t="shared" si="238"/>
        <v>69428.180000000022</v>
      </c>
      <c r="S1862" s="26">
        <f t="shared" si="239"/>
        <v>0.3156494679646264</v>
      </c>
    </row>
    <row r="1863" spans="1:19" ht="15" x14ac:dyDescent="0.2">
      <c r="A1863" s="23">
        <v>46144</v>
      </c>
      <c r="B1863">
        <f t="shared" si="232"/>
        <v>2026</v>
      </c>
      <c r="C1863">
        <f t="shared" si="233"/>
        <v>5</v>
      </c>
      <c r="D1863" t="str">
        <f t="shared" si="234"/>
        <v>Mayo</v>
      </c>
      <c r="E1863" t="str">
        <f t="shared" si="235"/>
        <v>T2</v>
      </c>
      <c r="F1863" t="s">
        <v>1990</v>
      </c>
      <c r="G1863" t="s">
        <v>188</v>
      </c>
      <c r="H1863" t="s">
        <v>88</v>
      </c>
      <c r="I1863" t="s">
        <v>189</v>
      </c>
      <c r="J1863" t="s">
        <v>57</v>
      </c>
      <c r="K1863" t="s">
        <v>58</v>
      </c>
      <c r="L1863" t="s">
        <v>59</v>
      </c>
      <c r="M1863" s="24">
        <v>4</v>
      </c>
      <c r="N1863" s="25">
        <v>78048.149999999994</v>
      </c>
      <c r="O1863" s="25">
        <f t="shared" si="236"/>
        <v>312192.59999999998</v>
      </c>
      <c r="P1863" s="25">
        <v>42934.89</v>
      </c>
      <c r="Q1863" s="25">
        <f t="shared" si="237"/>
        <v>171739.56</v>
      </c>
      <c r="R1863" s="25">
        <f t="shared" si="238"/>
        <v>140453.03999999998</v>
      </c>
      <c r="S1863" s="26">
        <f t="shared" si="239"/>
        <v>0.44989227803605847</v>
      </c>
    </row>
    <row r="1864" spans="1:19" ht="15" x14ac:dyDescent="0.2">
      <c r="A1864" s="23">
        <v>46145</v>
      </c>
      <c r="B1864">
        <f t="shared" si="232"/>
        <v>2026</v>
      </c>
      <c r="C1864">
        <f t="shared" si="233"/>
        <v>5</v>
      </c>
      <c r="D1864" t="str">
        <f t="shared" si="234"/>
        <v>Mayo</v>
      </c>
      <c r="E1864" t="str">
        <f t="shared" si="235"/>
        <v>T2</v>
      </c>
      <c r="F1864" t="s">
        <v>1991</v>
      </c>
      <c r="G1864" t="s">
        <v>54</v>
      </c>
      <c r="H1864" t="s">
        <v>55</v>
      </c>
      <c r="I1864" t="s">
        <v>56</v>
      </c>
      <c r="J1864" t="s">
        <v>77</v>
      </c>
      <c r="K1864" t="s">
        <v>78</v>
      </c>
      <c r="L1864" t="s">
        <v>117</v>
      </c>
      <c r="M1864" s="24">
        <v>10</v>
      </c>
      <c r="N1864" s="25">
        <v>53724.05</v>
      </c>
      <c r="O1864" s="25">
        <f t="shared" si="236"/>
        <v>537240.5</v>
      </c>
      <c r="P1864" s="25">
        <v>41820.57</v>
      </c>
      <c r="Q1864" s="25">
        <f t="shared" si="237"/>
        <v>418205.7</v>
      </c>
      <c r="R1864" s="25">
        <f t="shared" si="238"/>
        <v>119034.79999999999</v>
      </c>
      <c r="S1864" s="26">
        <f t="shared" si="239"/>
        <v>0.22156706354044414</v>
      </c>
    </row>
    <row r="1865" spans="1:19" ht="15" x14ac:dyDescent="0.2">
      <c r="A1865" s="23">
        <v>46145</v>
      </c>
      <c r="B1865">
        <f t="shared" si="232"/>
        <v>2026</v>
      </c>
      <c r="C1865">
        <f t="shared" si="233"/>
        <v>5</v>
      </c>
      <c r="D1865" t="str">
        <f t="shared" si="234"/>
        <v>Mayo</v>
      </c>
      <c r="E1865" t="str">
        <f t="shared" si="235"/>
        <v>T2</v>
      </c>
      <c r="F1865" t="s">
        <v>1992</v>
      </c>
      <c r="G1865" t="s">
        <v>92</v>
      </c>
      <c r="H1865" t="s">
        <v>93</v>
      </c>
      <c r="I1865" t="s">
        <v>94</v>
      </c>
      <c r="J1865" t="s">
        <v>77</v>
      </c>
      <c r="K1865" t="s">
        <v>107</v>
      </c>
      <c r="L1865" t="s">
        <v>108</v>
      </c>
      <c r="M1865" s="24">
        <v>15</v>
      </c>
      <c r="N1865" s="25">
        <v>21306.7</v>
      </c>
      <c r="O1865" s="25">
        <f t="shared" si="236"/>
        <v>319600.5</v>
      </c>
      <c r="P1865" s="25">
        <v>11858.04</v>
      </c>
      <c r="Q1865" s="25">
        <f t="shared" si="237"/>
        <v>177870.6</v>
      </c>
      <c r="R1865" s="25">
        <f t="shared" si="238"/>
        <v>141729.9</v>
      </c>
      <c r="S1865" s="26">
        <f t="shared" si="239"/>
        <v>0.44345956905574302</v>
      </c>
    </row>
    <row r="1866" spans="1:19" ht="15" x14ac:dyDescent="0.2">
      <c r="A1866" s="23">
        <v>46146</v>
      </c>
      <c r="B1866">
        <f t="shared" si="232"/>
        <v>2026</v>
      </c>
      <c r="C1866">
        <f t="shared" si="233"/>
        <v>5</v>
      </c>
      <c r="D1866" t="str">
        <f t="shared" si="234"/>
        <v>Mayo</v>
      </c>
      <c r="E1866" t="str">
        <f t="shared" si="235"/>
        <v>T2</v>
      </c>
      <c r="F1866" t="s">
        <v>1993</v>
      </c>
      <c r="G1866" t="s">
        <v>61</v>
      </c>
      <c r="H1866" t="s">
        <v>62</v>
      </c>
      <c r="I1866" t="s">
        <v>63</v>
      </c>
      <c r="J1866" t="s">
        <v>70</v>
      </c>
      <c r="K1866" t="s">
        <v>84</v>
      </c>
      <c r="L1866" t="s">
        <v>147</v>
      </c>
      <c r="M1866" s="24">
        <v>56</v>
      </c>
      <c r="N1866" s="25">
        <v>5705.64</v>
      </c>
      <c r="O1866" s="25">
        <f t="shared" si="236"/>
        <v>319515.84000000003</v>
      </c>
      <c r="P1866" s="25">
        <v>4826.6499999999996</v>
      </c>
      <c r="Q1866" s="25">
        <f t="shared" si="237"/>
        <v>270292.39999999997</v>
      </c>
      <c r="R1866" s="25">
        <f t="shared" si="238"/>
        <v>49223.440000000061</v>
      </c>
      <c r="S1866" s="26">
        <f t="shared" si="239"/>
        <v>0.15405633723824164</v>
      </c>
    </row>
    <row r="1867" spans="1:19" ht="15" x14ac:dyDescent="0.2">
      <c r="A1867" s="23">
        <v>46146</v>
      </c>
      <c r="B1867">
        <f t="shared" si="232"/>
        <v>2026</v>
      </c>
      <c r="C1867">
        <f t="shared" si="233"/>
        <v>5</v>
      </c>
      <c r="D1867" t="str">
        <f t="shared" si="234"/>
        <v>Mayo</v>
      </c>
      <c r="E1867" t="str">
        <f t="shared" si="235"/>
        <v>T2</v>
      </c>
      <c r="F1867" t="s">
        <v>1994</v>
      </c>
      <c r="G1867" t="s">
        <v>100</v>
      </c>
      <c r="H1867" t="s">
        <v>88</v>
      </c>
      <c r="I1867" t="s">
        <v>101</v>
      </c>
      <c r="J1867" t="s">
        <v>64</v>
      </c>
      <c r="K1867" t="s">
        <v>96</v>
      </c>
      <c r="L1867" t="s">
        <v>103</v>
      </c>
      <c r="M1867" s="24">
        <v>24</v>
      </c>
      <c r="N1867" s="25">
        <v>37379.15</v>
      </c>
      <c r="O1867" s="25">
        <f t="shared" si="236"/>
        <v>897099.60000000009</v>
      </c>
      <c r="P1867" s="25">
        <v>20923.46</v>
      </c>
      <c r="Q1867" s="25">
        <f t="shared" si="237"/>
        <v>502163.04</v>
      </c>
      <c r="R1867" s="25">
        <f t="shared" si="238"/>
        <v>394936.56000000011</v>
      </c>
      <c r="S1867" s="26">
        <f t="shared" si="239"/>
        <v>0.44023713754860672</v>
      </c>
    </row>
    <row r="1868" spans="1:19" ht="15" x14ac:dyDescent="0.2">
      <c r="A1868" s="23">
        <v>46146</v>
      </c>
      <c r="B1868">
        <f t="shared" si="232"/>
        <v>2026</v>
      </c>
      <c r="C1868">
        <f t="shared" si="233"/>
        <v>5</v>
      </c>
      <c r="D1868" t="str">
        <f t="shared" si="234"/>
        <v>Mayo</v>
      </c>
      <c r="E1868" t="str">
        <f t="shared" si="235"/>
        <v>T2</v>
      </c>
      <c r="F1868" t="s">
        <v>1995</v>
      </c>
      <c r="G1868" t="s">
        <v>206</v>
      </c>
      <c r="H1868" t="s">
        <v>93</v>
      </c>
      <c r="I1868" t="s">
        <v>207</v>
      </c>
      <c r="J1868" t="s">
        <v>64</v>
      </c>
      <c r="K1868" t="s">
        <v>96</v>
      </c>
      <c r="L1868" t="s">
        <v>97</v>
      </c>
      <c r="M1868" s="24">
        <v>3</v>
      </c>
      <c r="N1868" s="25">
        <v>105993.11</v>
      </c>
      <c r="O1868" s="25">
        <f t="shared" si="236"/>
        <v>317979.33</v>
      </c>
      <c r="P1868" s="25">
        <v>64518.6</v>
      </c>
      <c r="Q1868" s="25">
        <f t="shared" si="237"/>
        <v>193555.8</v>
      </c>
      <c r="R1868" s="25">
        <f t="shared" si="238"/>
        <v>124423.53000000003</v>
      </c>
      <c r="S1868" s="26">
        <f t="shared" si="239"/>
        <v>0.39129439639991703</v>
      </c>
    </row>
    <row r="1869" spans="1:19" ht="15" x14ac:dyDescent="0.2">
      <c r="A1869" s="23">
        <v>46147</v>
      </c>
      <c r="B1869">
        <f t="shared" si="232"/>
        <v>2026</v>
      </c>
      <c r="C1869">
        <f t="shared" si="233"/>
        <v>5</v>
      </c>
      <c r="D1869" t="str">
        <f t="shared" si="234"/>
        <v>Mayo</v>
      </c>
      <c r="E1869" t="str">
        <f t="shared" si="235"/>
        <v>T2</v>
      </c>
      <c r="F1869" t="s">
        <v>1996</v>
      </c>
      <c r="G1869" t="s">
        <v>54</v>
      </c>
      <c r="H1869" t="s">
        <v>55</v>
      </c>
      <c r="I1869" t="s">
        <v>56</v>
      </c>
      <c r="J1869" t="s">
        <v>70</v>
      </c>
      <c r="K1869" t="s">
        <v>84</v>
      </c>
      <c r="L1869" t="s">
        <v>85</v>
      </c>
      <c r="M1869" s="24">
        <v>7</v>
      </c>
      <c r="N1869" s="25">
        <v>54179.76</v>
      </c>
      <c r="O1869" s="25">
        <f t="shared" si="236"/>
        <v>379258.32</v>
      </c>
      <c r="P1869" s="25">
        <v>44894.3</v>
      </c>
      <c r="Q1869" s="25">
        <f t="shared" si="237"/>
        <v>314260.10000000003</v>
      </c>
      <c r="R1869" s="25">
        <f t="shared" si="238"/>
        <v>64998.219999999972</v>
      </c>
      <c r="S1869" s="26">
        <f t="shared" si="239"/>
        <v>0.17138244982997333</v>
      </c>
    </row>
    <row r="1870" spans="1:19" ht="15" x14ac:dyDescent="0.2">
      <c r="A1870" s="23">
        <v>46147</v>
      </c>
      <c r="B1870">
        <f t="shared" si="232"/>
        <v>2026</v>
      </c>
      <c r="C1870">
        <f t="shared" si="233"/>
        <v>5</v>
      </c>
      <c r="D1870" t="str">
        <f t="shared" si="234"/>
        <v>Mayo</v>
      </c>
      <c r="E1870" t="str">
        <f t="shared" si="235"/>
        <v>T2</v>
      </c>
      <c r="F1870" t="s">
        <v>1997</v>
      </c>
      <c r="G1870" t="s">
        <v>110</v>
      </c>
      <c r="H1870" t="s">
        <v>62</v>
      </c>
      <c r="I1870" t="s">
        <v>69</v>
      </c>
      <c r="J1870" t="s">
        <v>70</v>
      </c>
      <c r="K1870" t="s">
        <v>84</v>
      </c>
      <c r="L1870" t="s">
        <v>85</v>
      </c>
      <c r="M1870" s="24">
        <v>70</v>
      </c>
      <c r="N1870" s="25">
        <v>6299.64</v>
      </c>
      <c r="O1870" s="25">
        <f t="shared" si="236"/>
        <v>440974.80000000005</v>
      </c>
      <c r="P1870" s="25">
        <v>5386.08</v>
      </c>
      <c r="Q1870" s="25">
        <f t="shared" si="237"/>
        <v>377025.6</v>
      </c>
      <c r="R1870" s="25">
        <f t="shared" si="238"/>
        <v>63949.20000000007</v>
      </c>
      <c r="S1870" s="26">
        <f t="shared" si="239"/>
        <v>0.14501781054155491</v>
      </c>
    </row>
    <row r="1871" spans="1:19" ht="15" x14ac:dyDescent="0.2">
      <c r="A1871" s="23">
        <v>46147</v>
      </c>
      <c r="B1871">
        <f t="shared" si="232"/>
        <v>2026</v>
      </c>
      <c r="C1871">
        <f t="shared" si="233"/>
        <v>5</v>
      </c>
      <c r="D1871" t="str">
        <f t="shared" si="234"/>
        <v>Mayo</v>
      </c>
      <c r="E1871" t="str">
        <f t="shared" si="235"/>
        <v>T2</v>
      </c>
      <c r="F1871" t="s">
        <v>1998</v>
      </c>
      <c r="G1871" t="s">
        <v>100</v>
      </c>
      <c r="H1871" t="s">
        <v>88</v>
      </c>
      <c r="I1871" t="s">
        <v>101</v>
      </c>
      <c r="J1871" t="s">
        <v>64</v>
      </c>
      <c r="K1871" t="s">
        <v>65</v>
      </c>
      <c r="L1871" t="s">
        <v>123</v>
      </c>
      <c r="M1871" s="24">
        <v>29</v>
      </c>
      <c r="N1871" s="25">
        <v>36826.42</v>
      </c>
      <c r="O1871" s="25">
        <f t="shared" si="236"/>
        <v>1067966.18</v>
      </c>
      <c r="P1871" s="25">
        <v>20902.57</v>
      </c>
      <c r="Q1871" s="25">
        <f t="shared" si="237"/>
        <v>606174.53</v>
      </c>
      <c r="R1871" s="25">
        <f t="shared" si="238"/>
        <v>461791.64999999991</v>
      </c>
      <c r="S1871" s="26">
        <f t="shared" si="239"/>
        <v>0.43240287815106648</v>
      </c>
    </row>
    <row r="1872" spans="1:19" ht="15" x14ac:dyDescent="0.2">
      <c r="A1872" s="23">
        <v>46147</v>
      </c>
      <c r="B1872">
        <f t="shared" si="232"/>
        <v>2026</v>
      </c>
      <c r="C1872">
        <f t="shared" si="233"/>
        <v>5</v>
      </c>
      <c r="D1872" t="str">
        <f t="shared" si="234"/>
        <v>Mayo</v>
      </c>
      <c r="E1872" t="str">
        <f t="shared" si="235"/>
        <v>T2</v>
      </c>
      <c r="F1872" t="s">
        <v>1999</v>
      </c>
      <c r="G1872" t="s">
        <v>144</v>
      </c>
      <c r="H1872" t="s">
        <v>88</v>
      </c>
      <c r="I1872" t="s">
        <v>145</v>
      </c>
      <c r="J1872" t="s">
        <v>57</v>
      </c>
      <c r="K1872" t="s">
        <v>81</v>
      </c>
      <c r="L1872" t="s">
        <v>82</v>
      </c>
      <c r="M1872" s="24">
        <v>1</v>
      </c>
      <c r="N1872" s="25">
        <v>15770.17</v>
      </c>
      <c r="O1872" s="25">
        <f t="shared" si="236"/>
        <v>15770.17</v>
      </c>
      <c r="P1872" s="25">
        <v>8826.0499999999993</v>
      </c>
      <c r="Q1872" s="25">
        <f t="shared" si="237"/>
        <v>8826.0499999999993</v>
      </c>
      <c r="R1872" s="25">
        <f t="shared" si="238"/>
        <v>6944.1200000000008</v>
      </c>
      <c r="S1872" s="26">
        <f t="shared" si="239"/>
        <v>0.44033260262888735</v>
      </c>
    </row>
    <row r="1873" spans="1:19" ht="15" x14ac:dyDescent="0.2">
      <c r="A1873" s="23">
        <v>46147</v>
      </c>
      <c r="B1873">
        <f t="shared" si="232"/>
        <v>2026</v>
      </c>
      <c r="C1873">
        <f t="shared" si="233"/>
        <v>5</v>
      </c>
      <c r="D1873" t="str">
        <f t="shared" si="234"/>
        <v>Mayo</v>
      </c>
      <c r="E1873" t="str">
        <f t="shared" si="235"/>
        <v>T2</v>
      </c>
      <c r="F1873" t="s">
        <v>2000</v>
      </c>
      <c r="G1873" t="s">
        <v>100</v>
      </c>
      <c r="H1873" t="s">
        <v>88</v>
      </c>
      <c r="I1873" t="s">
        <v>101</v>
      </c>
      <c r="J1873" t="s">
        <v>70</v>
      </c>
      <c r="K1873" t="s">
        <v>84</v>
      </c>
      <c r="L1873" t="s">
        <v>85</v>
      </c>
      <c r="M1873" s="24">
        <v>9</v>
      </c>
      <c r="N1873" s="25">
        <v>33858.47</v>
      </c>
      <c r="O1873" s="25">
        <f t="shared" si="236"/>
        <v>304726.23</v>
      </c>
      <c r="P1873" s="25">
        <v>19845.02</v>
      </c>
      <c r="Q1873" s="25">
        <f t="shared" si="237"/>
        <v>178605.18</v>
      </c>
      <c r="R1873" s="25">
        <f t="shared" si="238"/>
        <v>126121.04999999999</v>
      </c>
      <c r="S1873" s="26">
        <f t="shared" si="239"/>
        <v>0.41388314356791667</v>
      </c>
    </row>
    <row r="1874" spans="1:19" ht="15" x14ac:dyDescent="0.2">
      <c r="A1874" s="23">
        <v>46148</v>
      </c>
      <c r="B1874">
        <f t="shared" si="232"/>
        <v>2026</v>
      </c>
      <c r="C1874">
        <f t="shared" si="233"/>
        <v>5</v>
      </c>
      <c r="D1874" t="str">
        <f t="shared" si="234"/>
        <v>Mayo</v>
      </c>
      <c r="E1874" t="str">
        <f t="shared" si="235"/>
        <v>T2</v>
      </c>
      <c r="F1874" t="s">
        <v>2001</v>
      </c>
      <c r="G1874" t="s">
        <v>74</v>
      </c>
      <c r="H1874" t="s">
        <v>75</v>
      </c>
      <c r="I1874" t="s">
        <v>76</v>
      </c>
      <c r="J1874" t="s">
        <v>70</v>
      </c>
      <c r="K1874" t="s">
        <v>84</v>
      </c>
      <c r="L1874" t="s">
        <v>147</v>
      </c>
      <c r="M1874" s="24">
        <v>8</v>
      </c>
      <c r="N1874" s="25">
        <v>39818.29</v>
      </c>
      <c r="O1874" s="25">
        <f t="shared" si="236"/>
        <v>318546.32</v>
      </c>
      <c r="P1874" s="25">
        <v>28693.56</v>
      </c>
      <c r="Q1874" s="25">
        <f t="shared" si="237"/>
        <v>229548.48</v>
      </c>
      <c r="R1874" s="25">
        <f t="shared" si="238"/>
        <v>88997.84</v>
      </c>
      <c r="S1874" s="26">
        <f t="shared" si="239"/>
        <v>0.27938743728070692</v>
      </c>
    </row>
    <row r="1875" spans="1:19" ht="15" x14ac:dyDescent="0.2">
      <c r="A1875" s="23">
        <v>46148</v>
      </c>
      <c r="B1875">
        <f t="shared" si="232"/>
        <v>2026</v>
      </c>
      <c r="C1875">
        <f t="shared" si="233"/>
        <v>5</v>
      </c>
      <c r="D1875" t="str">
        <f t="shared" si="234"/>
        <v>Mayo</v>
      </c>
      <c r="E1875" t="str">
        <f t="shared" si="235"/>
        <v>T2</v>
      </c>
      <c r="F1875" t="s">
        <v>2002</v>
      </c>
      <c r="G1875" t="s">
        <v>144</v>
      </c>
      <c r="H1875" t="s">
        <v>88</v>
      </c>
      <c r="I1875" t="s">
        <v>145</v>
      </c>
      <c r="J1875" t="s">
        <v>125</v>
      </c>
      <c r="K1875" t="s">
        <v>138</v>
      </c>
      <c r="L1875" t="s">
        <v>142</v>
      </c>
      <c r="M1875" s="24">
        <v>2</v>
      </c>
      <c r="N1875" s="25">
        <v>13816.42</v>
      </c>
      <c r="O1875" s="25">
        <f t="shared" si="236"/>
        <v>27632.84</v>
      </c>
      <c r="P1875" s="25">
        <v>7538.56</v>
      </c>
      <c r="Q1875" s="25">
        <f t="shared" si="237"/>
        <v>15077.12</v>
      </c>
      <c r="R1875" s="25">
        <f t="shared" si="238"/>
        <v>12555.72</v>
      </c>
      <c r="S1875" s="26">
        <f t="shared" si="239"/>
        <v>0.45437674882494883</v>
      </c>
    </row>
    <row r="1876" spans="1:19" ht="15" x14ac:dyDescent="0.2">
      <c r="A1876" s="23">
        <v>46148</v>
      </c>
      <c r="B1876">
        <f t="shared" si="232"/>
        <v>2026</v>
      </c>
      <c r="C1876">
        <f t="shared" si="233"/>
        <v>5</v>
      </c>
      <c r="D1876" t="str">
        <f t="shared" si="234"/>
        <v>Mayo</v>
      </c>
      <c r="E1876" t="str">
        <f t="shared" si="235"/>
        <v>T2</v>
      </c>
      <c r="F1876" t="s">
        <v>2003</v>
      </c>
      <c r="G1876" t="s">
        <v>87</v>
      </c>
      <c r="H1876" t="s">
        <v>88</v>
      </c>
      <c r="I1876" t="s">
        <v>89</v>
      </c>
      <c r="J1876" t="s">
        <v>125</v>
      </c>
      <c r="K1876" t="s">
        <v>126</v>
      </c>
      <c r="L1876" t="s">
        <v>127</v>
      </c>
      <c r="M1876" s="24">
        <v>2</v>
      </c>
      <c r="N1876" s="25">
        <v>63117.2</v>
      </c>
      <c r="O1876" s="25">
        <f t="shared" si="236"/>
        <v>126234.4</v>
      </c>
      <c r="P1876" s="25">
        <v>35789.14</v>
      </c>
      <c r="Q1876" s="25">
        <f t="shared" si="237"/>
        <v>71578.28</v>
      </c>
      <c r="R1876" s="25">
        <f t="shared" si="238"/>
        <v>54656.119999999995</v>
      </c>
      <c r="S1876" s="26">
        <f t="shared" si="239"/>
        <v>0.43297326243876472</v>
      </c>
    </row>
    <row r="1877" spans="1:19" ht="15" x14ac:dyDescent="0.2">
      <c r="A1877" s="23">
        <v>46148</v>
      </c>
      <c r="B1877">
        <f t="shared" si="232"/>
        <v>2026</v>
      </c>
      <c r="C1877">
        <f t="shared" si="233"/>
        <v>5</v>
      </c>
      <c r="D1877" t="str">
        <f t="shared" si="234"/>
        <v>Mayo</v>
      </c>
      <c r="E1877" t="str">
        <f t="shared" si="235"/>
        <v>T2</v>
      </c>
      <c r="F1877" t="s">
        <v>2004</v>
      </c>
      <c r="G1877" t="s">
        <v>206</v>
      </c>
      <c r="H1877" t="s">
        <v>93</v>
      </c>
      <c r="I1877" t="s">
        <v>207</v>
      </c>
      <c r="J1877" t="s">
        <v>57</v>
      </c>
      <c r="K1877" t="s">
        <v>81</v>
      </c>
      <c r="L1877" t="s">
        <v>129</v>
      </c>
      <c r="M1877" s="24">
        <v>2</v>
      </c>
      <c r="N1877" s="25">
        <v>120734.93</v>
      </c>
      <c r="O1877" s="25">
        <f t="shared" si="236"/>
        <v>241469.86</v>
      </c>
      <c r="P1877" s="25">
        <v>68687.48</v>
      </c>
      <c r="Q1877" s="25">
        <f t="shared" si="237"/>
        <v>137374.96</v>
      </c>
      <c r="R1877" s="25">
        <f t="shared" si="238"/>
        <v>104094.9</v>
      </c>
      <c r="S1877" s="26">
        <f t="shared" si="239"/>
        <v>0.43108858389200211</v>
      </c>
    </row>
    <row r="1878" spans="1:19" ht="15" x14ac:dyDescent="0.2">
      <c r="A1878" s="23">
        <v>46148</v>
      </c>
      <c r="B1878">
        <f t="shared" si="232"/>
        <v>2026</v>
      </c>
      <c r="C1878">
        <f t="shared" si="233"/>
        <v>5</v>
      </c>
      <c r="D1878" t="str">
        <f t="shared" si="234"/>
        <v>Mayo</v>
      </c>
      <c r="E1878" t="str">
        <f t="shared" si="235"/>
        <v>T2</v>
      </c>
      <c r="F1878" t="s">
        <v>2005</v>
      </c>
      <c r="G1878" t="s">
        <v>149</v>
      </c>
      <c r="H1878" t="s">
        <v>93</v>
      </c>
      <c r="I1878" t="s">
        <v>150</v>
      </c>
      <c r="J1878" t="s">
        <v>125</v>
      </c>
      <c r="K1878" t="s">
        <v>138</v>
      </c>
      <c r="L1878" t="s">
        <v>139</v>
      </c>
      <c r="M1878" s="24">
        <v>4</v>
      </c>
      <c r="N1878" s="25">
        <v>39613.410000000003</v>
      </c>
      <c r="O1878" s="25">
        <f t="shared" si="236"/>
        <v>158453.64000000001</v>
      </c>
      <c r="P1878" s="25">
        <v>22757.93</v>
      </c>
      <c r="Q1878" s="25">
        <f t="shared" si="237"/>
        <v>91031.72</v>
      </c>
      <c r="R1878" s="25">
        <f t="shared" si="238"/>
        <v>67421.920000000013</v>
      </c>
      <c r="S1878" s="26">
        <f t="shared" si="239"/>
        <v>0.42549934479258417</v>
      </c>
    </row>
    <row r="1879" spans="1:19" ht="15" x14ac:dyDescent="0.2">
      <c r="A1879" s="23">
        <v>46149</v>
      </c>
      <c r="B1879">
        <f t="shared" si="232"/>
        <v>2026</v>
      </c>
      <c r="C1879">
        <f t="shared" si="233"/>
        <v>5</v>
      </c>
      <c r="D1879" t="str">
        <f t="shared" si="234"/>
        <v>Mayo</v>
      </c>
      <c r="E1879" t="str">
        <f t="shared" si="235"/>
        <v>T2</v>
      </c>
      <c r="F1879" t="s">
        <v>2006</v>
      </c>
      <c r="G1879" t="s">
        <v>1035</v>
      </c>
      <c r="H1879" t="s">
        <v>55</v>
      </c>
      <c r="I1879" t="s">
        <v>1036</v>
      </c>
      <c r="J1879" t="s">
        <v>64</v>
      </c>
      <c r="K1879" t="s">
        <v>65</v>
      </c>
      <c r="L1879" t="s">
        <v>66</v>
      </c>
      <c r="M1879" s="24">
        <v>2</v>
      </c>
      <c r="N1879" s="25">
        <v>939394.3</v>
      </c>
      <c r="O1879" s="25">
        <f t="shared" si="236"/>
        <v>1878788.6</v>
      </c>
      <c r="P1879" s="25">
        <v>755245.88</v>
      </c>
      <c r="Q1879" s="25">
        <f t="shared" si="237"/>
        <v>1510491.76</v>
      </c>
      <c r="R1879" s="25">
        <f t="shared" si="238"/>
        <v>368296.84000000008</v>
      </c>
      <c r="S1879" s="26">
        <f t="shared" si="239"/>
        <v>0.19602888797600757</v>
      </c>
    </row>
    <row r="1880" spans="1:19" ht="15" x14ac:dyDescent="0.2">
      <c r="A1880" s="23">
        <v>46149</v>
      </c>
      <c r="B1880">
        <f t="shared" si="232"/>
        <v>2026</v>
      </c>
      <c r="C1880">
        <f t="shared" si="233"/>
        <v>5</v>
      </c>
      <c r="D1880" t="str">
        <f t="shared" si="234"/>
        <v>Mayo</v>
      </c>
      <c r="E1880" t="str">
        <f t="shared" si="235"/>
        <v>T2</v>
      </c>
      <c r="F1880" t="s">
        <v>2007</v>
      </c>
      <c r="G1880" t="s">
        <v>282</v>
      </c>
      <c r="H1880" t="s">
        <v>55</v>
      </c>
      <c r="I1880" t="s">
        <v>56</v>
      </c>
      <c r="J1880" t="s">
        <v>77</v>
      </c>
      <c r="K1880" t="s">
        <v>107</v>
      </c>
      <c r="L1880" t="s">
        <v>112</v>
      </c>
      <c r="M1880" s="24">
        <v>3</v>
      </c>
      <c r="N1880" s="25">
        <v>461532.32</v>
      </c>
      <c r="O1880" s="25">
        <f t="shared" si="236"/>
        <v>1384596.96</v>
      </c>
      <c r="P1880" s="25">
        <v>352060.79</v>
      </c>
      <c r="Q1880" s="25">
        <f t="shared" si="237"/>
        <v>1056182.3699999999</v>
      </c>
      <c r="R1880" s="25">
        <f t="shared" si="238"/>
        <v>328414.59000000008</v>
      </c>
      <c r="S1880" s="26">
        <f t="shared" si="239"/>
        <v>0.23719147122784387</v>
      </c>
    </row>
    <row r="1881" spans="1:19" ht="15" x14ac:dyDescent="0.2">
      <c r="A1881" s="23">
        <v>46149</v>
      </c>
      <c r="B1881">
        <f t="shared" si="232"/>
        <v>2026</v>
      </c>
      <c r="C1881">
        <f t="shared" si="233"/>
        <v>5</v>
      </c>
      <c r="D1881" t="str">
        <f t="shared" si="234"/>
        <v>Mayo</v>
      </c>
      <c r="E1881" t="str">
        <f t="shared" si="235"/>
        <v>T2</v>
      </c>
      <c r="F1881" t="s">
        <v>2008</v>
      </c>
      <c r="G1881" t="s">
        <v>54</v>
      </c>
      <c r="H1881" t="s">
        <v>55</v>
      </c>
      <c r="I1881" t="s">
        <v>56</v>
      </c>
      <c r="J1881" t="s">
        <v>125</v>
      </c>
      <c r="K1881" t="s">
        <v>126</v>
      </c>
      <c r="L1881" t="s">
        <v>131</v>
      </c>
      <c r="M1881" s="24">
        <v>10</v>
      </c>
      <c r="N1881" s="25">
        <v>51108.28</v>
      </c>
      <c r="O1881" s="25">
        <f t="shared" si="236"/>
        <v>511082.8</v>
      </c>
      <c r="P1881" s="25">
        <v>40522.699999999997</v>
      </c>
      <c r="Q1881" s="25">
        <f t="shared" si="237"/>
        <v>405227</v>
      </c>
      <c r="R1881" s="25">
        <f t="shared" si="238"/>
        <v>105855.79999999999</v>
      </c>
      <c r="S1881" s="26">
        <f t="shared" si="239"/>
        <v>0.20712064659581578</v>
      </c>
    </row>
    <row r="1882" spans="1:19" ht="15" x14ac:dyDescent="0.2">
      <c r="A1882" s="23">
        <v>46149</v>
      </c>
      <c r="B1882">
        <f t="shared" si="232"/>
        <v>2026</v>
      </c>
      <c r="C1882">
        <f t="shared" si="233"/>
        <v>5</v>
      </c>
      <c r="D1882" t="str">
        <f t="shared" si="234"/>
        <v>Mayo</v>
      </c>
      <c r="E1882" t="str">
        <f t="shared" si="235"/>
        <v>T2</v>
      </c>
      <c r="F1882" t="s">
        <v>2009</v>
      </c>
      <c r="G1882" t="s">
        <v>110</v>
      </c>
      <c r="H1882" t="s">
        <v>62</v>
      </c>
      <c r="I1882" t="s">
        <v>69</v>
      </c>
      <c r="J1882" t="s">
        <v>77</v>
      </c>
      <c r="K1882" t="s">
        <v>78</v>
      </c>
      <c r="L1882" t="s">
        <v>117</v>
      </c>
      <c r="M1882" s="24">
        <v>74</v>
      </c>
      <c r="N1882" s="25">
        <v>6739.96</v>
      </c>
      <c r="O1882" s="25">
        <f t="shared" si="236"/>
        <v>498757.04</v>
      </c>
      <c r="P1882" s="25">
        <v>5420.3</v>
      </c>
      <c r="Q1882" s="25">
        <f t="shared" si="237"/>
        <v>401102.2</v>
      </c>
      <c r="R1882" s="25">
        <f t="shared" si="238"/>
        <v>97654.839999999967</v>
      </c>
      <c r="S1882" s="26">
        <f t="shared" si="239"/>
        <v>0.1957964142220428</v>
      </c>
    </row>
    <row r="1883" spans="1:19" ht="15" x14ac:dyDescent="0.2">
      <c r="A1883" s="23">
        <v>46149</v>
      </c>
      <c r="B1883">
        <f t="shared" si="232"/>
        <v>2026</v>
      </c>
      <c r="C1883">
        <f t="shared" si="233"/>
        <v>5</v>
      </c>
      <c r="D1883" t="str">
        <f t="shared" si="234"/>
        <v>Mayo</v>
      </c>
      <c r="E1883" t="str">
        <f t="shared" si="235"/>
        <v>T2</v>
      </c>
      <c r="F1883" t="s">
        <v>2010</v>
      </c>
      <c r="G1883" t="s">
        <v>105</v>
      </c>
      <c r="H1883" t="s">
        <v>62</v>
      </c>
      <c r="I1883" t="s">
        <v>106</v>
      </c>
      <c r="J1883" t="s">
        <v>125</v>
      </c>
      <c r="K1883" t="s">
        <v>126</v>
      </c>
      <c r="L1883" t="s">
        <v>127</v>
      </c>
      <c r="M1883" s="24">
        <v>190</v>
      </c>
      <c r="N1883" s="25">
        <v>1850.09</v>
      </c>
      <c r="O1883" s="25">
        <f t="shared" si="236"/>
        <v>351517.1</v>
      </c>
      <c r="P1883" s="25">
        <v>1499.38</v>
      </c>
      <c r="Q1883" s="25">
        <f t="shared" si="237"/>
        <v>284882.2</v>
      </c>
      <c r="R1883" s="25">
        <f t="shared" si="238"/>
        <v>66634.899999999965</v>
      </c>
      <c r="S1883" s="26">
        <f t="shared" si="239"/>
        <v>0.18956375095265626</v>
      </c>
    </row>
    <row r="1884" spans="1:19" ht="15" x14ac:dyDescent="0.2">
      <c r="A1884" s="23">
        <v>46149</v>
      </c>
      <c r="B1884">
        <f t="shared" si="232"/>
        <v>2026</v>
      </c>
      <c r="C1884">
        <f t="shared" si="233"/>
        <v>5</v>
      </c>
      <c r="D1884" t="str">
        <f t="shared" si="234"/>
        <v>Mayo</v>
      </c>
      <c r="E1884" t="str">
        <f t="shared" si="235"/>
        <v>T2</v>
      </c>
      <c r="F1884" t="s">
        <v>2011</v>
      </c>
      <c r="G1884" t="s">
        <v>74</v>
      </c>
      <c r="H1884" t="s">
        <v>75</v>
      </c>
      <c r="I1884" t="s">
        <v>76</v>
      </c>
      <c r="J1884" t="s">
        <v>77</v>
      </c>
      <c r="K1884" t="s">
        <v>107</v>
      </c>
      <c r="L1884" t="s">
        <v>108</v>
      </c>
      <c r="M1884" s="24">
        <v>14</v>
      </c>
      <c r="N1884" s="25">
        <v>41995.74</v>
      </c>
      <c r="O1884" s="25">
        <f t="shared" si="236"/>
        <v>587940.36</v>
      </c>
      <c r="P1884" s="25">
        <v>27310.83</v>
      </c>
      <c r="Q1884" s="25">
        <f t="shared" si="237"/>
        <v>382351.62</v>
      </c>
      <c r="R1884" s="25">
        <f t="shared" si="238"/>
        <v>205588.74</v>
      </c>
      <c r="S1884" s="26">
        <f t="shared" si="239"/>
        <v>0.34967618144126045</v>
      </c>
    </row>
    <row r="1885" spans="1:19" ht="15" x14ac:dyDescent="0.2">
      <c r="A1885" s="23">
        <v>46149</v>
      </c>
      <c r="B1885">
        <f t="shared" si="232"/>
        <v>2026</v>
      </c>
      <c r="C1885">
        <f t="shared" si="233"/>
        <v>5</v>
      </c>
      <c r="D1885" t="str">
        <f t="shared" si="234"/>
        <v>Mayo</v>
      </c>
      <c r="E1885" t="str">
        <f t="shared" si="235"/>
        <v>T2</v>
      </c>
      <c r="F1885" t="s">
        <v>2012</v>
      </c>
      <c r="G1885" t="s">
        <v>114</v>
      </c>
      <c r="H1885" t="s">
        <v>75</v>
      </c>
      <c r="I1885" t="s">
        <v>115</v>
      </c>
      <c r="J1885" t="s">
        <v>70</v>
      </c>
      <c r="K1885" t="s">
        <v>84</v>
      </c>
      <c r="L1885" t="s">
        <v>147</v>
      </c>
      <c r="M1885" s="24">
        <v>3</v>
      </c>
      <c r="N1885" s="25">
        <v>80617.81</v>
      </c>
      <c r="O1885" s="25">
        <f t="shared" si="236"/>
        <v>241853.43</v>
      </c>
      <c r="P1885" s="25">
        <v>58644.22</v>
      </c>
      <c r="Q1885" s="25">
        <f t="shared" si="237"/>
        <v>175932.66</v>
      </c>
      <c r="R1885" s="25">
        <f t="shared" si="238"/>
        <v>65920.76999999999</v>
      </c>
      <c r="S1885" s="26">
        <f t="shared" si="239"/>
        <v>0.2725649580409093</v>
      </c>
    </row>
    <row r="1886" spans="1:19" ht="15" x14ac:dyDescent="0.2">
      <c r="A1886" s="23">
        <v>46149</v>
      </c>
      <c r="B1886">
        <f t="shared" si="232"/>
        <v>2026</v>
      </c>
      <c r="C1886">
        <f t="shared" si="233"/>
        <v>5</v>
      </c>
      <c r="D1886" t="str">
        <f t="shared" si="234"/>
        <v>Mayo</v>
      </c>
      <c r="E1886" t="str">
        <f t="shared" si="235"/>
        <v>T2</v>
      </c>
      <c r="F1886" t="s">
        <v>2013</v>
      </c>
      <c r="G1886" t="s">
        <v>92</v>
      </c>
      <c r="H1886" t="s">
        <v>93</v>
      </c>
      <c r="I1886" t="s">
        <v>94</v>
      </c>
      <c r="J1886" t="s">
        <v>70</v>
      </c>
      <c r="K1886" t="s">
        <v>84</v>
      </c>
      <c r="L1886" t="s">
        <v>147</v>
      </c>
      <c r="M1886" s="24">
        <v>4</v>
      </c>
      <c r="N1886" s="25">
        <v>21035.31</v>
      </c>
      <c r="O1886" s="25">
        <f t="shared" si="236"/>
        <v>84141.24</v>
      </c>
      <c r="P1886" s="25">
        <v>13037.41</v>
      </c>
      <c r="Q1886" s="25">
        <f t="shared" si="237"/>
        <v>52149.64</v>
      </c>
      <c r="R1886" s="25">
        <f t="shared" si="238"/>
        <v>31991.600000000006</v>
      </c>
      <c r="S1886" s="26">
        <f t="shared" si="239"/>
        <v>0.38021307981674629</v>
      </c>
    </row>
    <row r="1887" spans="1:19" ht="15" x14ac:dyDescent="0.2">
      <c r="A1887" s="23">
        <v>46150</v>
      </c>
      <c r="B1887">
        <f t="shared" si="232"/>
        <v>2026</v>
      </c>
      <c r="C1887">
        <f t="shared" si="233"/>
        <v>5</v>
      </c>
      <c r="D1887" t="str">
        <f t="shared" si="234"/>
        <v>Mayo</v>
      </c>
      <c r="E1887" t="str">
        <f t="shared" si="235"/>
        <v>T2</v>
      </c>
      <c r="F1887" t="s">
        <v>2014</v>
      </c>
      <c r="G1887" t="s">
        <v>54</v>
      </c>
      <c r="H1887" t="s">
        <v>55</v>
      </c>
      <c r="I1887" t="s">
        <v>56</v>
      </c>
      <c r="J1887" t="s">
        <v>64</v>
      </c>
      <c r="K1887" t="s">
        <v>96</v>
      </c>
      <c r="L1887" t="s">
        <v>103</v>
      </c>
      <c r="M1887" s="24">
        <v>43</v>
      </c>
      <c r="N1887" s="25">
        <v>51961.64</v>
      </c>
      <c r="O1887" s="25">
        <f t="shared" si="236"/>
        <v>2234350.52</v>
      </c>
      <c r="P1887" s="25">
        <v>42402.98</v>
      </c>
      <c r="Q1887" s="25">
        <f t="shared" si="237"/>
        <v>1823328.1400000001</v>
      </c>
      <c r="R1887" s="25">
        <f t="shared" si="238"/>
        <v>411022.37999999989</v>
      </c>
      <c r="S1887" s="26">
        <f t="shared" si="239"/>
        <v>0.1839560876061648</v>
      </c>
    </row>
    <row r="1888" spans="1:19" ht="15" x14ac:dyDescent="0.2">
      <c r="A1888" s="23">
        <v>46150</v>
      </c>
      <c r="B1888">
        <f t="shared" si="232"/>
        <v>2026</v>
      </c>
      <c r="C1888">
        <f t="shared" si="233"/>
        <v>5</v>
      </c>
      <c r="D1888" t="str">
        <f t="shared" si="234"/>
        <v>Mayo</v>
      </c>
      <c r="E1888" t="str">
        <f t="shared" si="235"/>
        <v>T2</v>
      </c>
      <c r="F1888" t="s">
        <v>2015</v>
      </c>
      <c r="G1888" t="s">
        <v>68</v>
      </c>
      <c r="H1888" t="s">
        <v>62</v>
      </c>
      <c r="I1888" t="s">
        <v>69</v>
      </c>
      <c r="J1888" t="s">
        <v>57</v>
      </c>
      <c r="K1888" t="s">
        <v>81</v>
      </c>
      <c r="L1888" t="s">
        <v>82</v>
      </c>
      <c r="M1888" s="24">
        <v>196</v>
      </c>
      <c r="N1888" s="25">
        <v>3202.54</v>
      </c>
      <c r="O1888" s="25">
        <f t="shared" si="236"/>
        <v>627697.84</v>
      </c>
      <c r="P1888" s="25">
        <v>2597.85</v>
      </c>
      <c r="Q1888" s="25">
        <f t="shared" si="237"/>
        <v>509178.6</v>
      </c>
      <c r="R1888" s="25">
        <f t="shared" si="238"/>
        <v>118519.23999999999</v>
      </c>
      <c r="S1888" s="26">
        <f t="shared" si="239"/>
        <v>0.18881575249645594</v>
      </c>
    </row>
    <row r="1889" spans="1:19" ht="15" x14ac:dyDescent="0.2">
      <c r="A1889" s="23">
        <v>46150</v>
      </c>
      <c r="B1889">
        <f t="shared" si="232"/>
        <v>2026</v>
      </c>
      <c r="C1889">
        <f t="shared" si="233"/>
        <v>5</v>
      </c>
      <c r="D1889" t="str">
        <f t="shared" si="234"/>
        <v>Mayo</v>
      </c>
      <c r="E1889" t="str">
        <f t="shared" si="235"/>
        <v>T2</v>
      </c>
      <c r="F1889" t="s">
        <v>2016</v>
      </c>
      <c r="G1889" t="s">
        <v>105</v>
      </c>
      <c r="H1889" t="s">
        <v>62</v>
      </c>
      <c r="I1889" t="s">
        <v>106</v>
      </c>
      <c r="J1889" t="s">
        <v>57</v>
      </c>
      <c r="K1889" t="s">
        <v>58</v>
      </c>
      <c r="L1889" t="s">
        <v>162</v>
      </c>
      <c r="M1889" s="24">
        <v>62</v>
      </c>
      <c r="N1889" s="25">
        <v>1829.04</v>
      </c>
      <c r="O1889" s="25">
        <f t="shared" si="236"/>
        <v>113400.48</v>
      </c>
      <c r="P1889" s="25">
        <v>1494.81</v>
      </c>
      <c r="Q1889" s="25">
        <f t="shared" si="237"/>
        <v>92678.22</v>
      </c>
      <c r="R1889" s="25">
        <f t="shared" si="238"/>
        <v>20722.259999999995</v>
      </c>
      <c r="S1889" s="26">
        <f t="shared" si="239"/>
        <v>0.18273520535362808</v>
      </c>
    </row>
    <row r="1890" spans="1:19" ht="15" x14ac:dyDescent="0.2">
      <c r="A1890" s="23">
        <v>46150</v>
      </c>
      <c r="B1890">
        <f t="shared" si="232"/>
        <v>2026</v>
      </c>
      <c r="C1890">
        <f t="shared" si="233"/>
        <v>5</v>
      </c>
      <c r="D1890" t="str">
        <f t="shared" si="234"/>
        <v>Mayo</v>
      </c>
      <c r="E1890" t="str">
        <f t="shared" si="235"/>
        <v>T2</v>
      </c>
      <c r="F1890" t="s">
        <v>2017</v>
      </c>
      <c r="G1890" t="s">
        <v>61</v>
      </c>
      <c r="H1890" t="s">
        <v>62</v>
      </c>
      <c r="I1890" t="s">
        <v>63</v>
      </c>
      <c r="J1890" t="s">
        <v>125</v>
      </c>
      <c r="K1890" t="s">
        <v>138</v>
      </c>
      <c r="L1890" t="s">
        <v>142</v>
      </c>
      <c r="M1890" s="24">
        <v>109</v>
      </c>
      <c r="N1890" s="25">
        <v>5984.6</v>
      </c>
      <c r="O1890" s="25">
        <f t="shared" si="236"/>
        <v>652321.4</v>
      </c>
      <c r="P1890" s="25">
        <v>4791.13</v>
      </c>
      <c r="Q1890" s="25">
        <f t="shared" si="237"/>
        <v>522233.17</v>
      </c>
      <c r="R1890" s="25">
        <f t="shared" si="238"/>
        <v>130088.23000000004</v>
      </c>
      <c r="S1890" s="26">
        <f t="shared" si="239"/>
        <v>0.199423520368947</v>
      </c>
    </row>
    <row r="1891" spans="1:19" ht="15" x14ac:dyDescent="0.2">
      <c r="A1891" s="23">
        <v>46150</v>
      </c>
      <c r="B1891">
        <f t="shared" si="232"/>
        <v>2026</v>
      </c>
      <c r="C1891">
        <f t="shared" si="233"/>
        <v>5</v>
      </c>
      <c r="D1891" t="str">
        <f t="shared" si="234"/>
        <v>Mayo</v>
      </c>
      <c r="E1891" t="str">
        <f t="shared" si="235"/>
        <v>T2</v>
      </c>
      <c r="F1891" t="s">
        <v>2018</v>
      </c>
      <c r="G1891" t="s">
        <v>144</v>
      </c>
      <c r="H1891" t="s">
        <v>88</v>
      </c>
      <c r="I1891" t="s">
        <v>145</v>
      </c>
      <c r="J1891" t="s">
        <v>64</v>
      </c>
      <c r="K1891" t="s">
        <v>65</v>
      </c>
      <c r="L1891" t="s">
        <v>66</v>
      </c>
      <c r="M1891" s="24">
        <v>74</v>
      </c>
      <c r="N1891" s="25">
        <v>12654.93</v>
      </c>
      <c r="O1891" s="25">
        <f t="shared" si="236"/>
        <v>936464.82000000007</v>
      </c>
      <c r="P1891" s="25">
        <v>6996.22</v>
      </c>
      <c r="Q1891" s="25">
        <f t="shared" si="237"/>
        <v>517720.28</v>
      </c>
      <c r="R1891" s="25">
        <f t="shared" si="238"/>
        <v>418744.54000000004</v>
      </c>
      <c r="S1891" s="26">
        <f t="shared" si="239"/>
        <v>0.44715458718459922</v>
      </c>
    </row>
    <row r="1892" spans="1:19" ht="15" x14ac:dyDescent="0.2">
      <c r="A1892" s="23">
        <v>46151</v>
      </c>
      <c r="B1892">
        <f t="shared" si="232"/>
        <v>2026</v>
      </c>
      <c r="C1892">
        <f t="shared" si="233"/>
        <v>5</v>
      </c>
      <c r="D1892" t="str">
        <f t="shared" si="234"/>
        <v>Mayo</v>
      </c>
      <c r="E1892" t="str">
        <f t="shared" si="235"/>
        <v>T2</v>
      </c>
      <c r="F1892" t="s">
        <v>2019</v>
      </c>
      <c r="G1892" t="s">
        <v>110</v>
      </c>
      <c r="H1892" t="s">
        <v>62</v>
      </c>
      <c r="I1892" t="s">
        <v>69</v>
      </c>
      <c r="J1892" t="s">
        <v>125</v>
      </c>
      <c r="K1892" t="s">
        <v>138</v>
      </c>
      <c r="L1892" t="s">
        <v>142</v>
      </c>
      <c r="M1892" s="24">
        <v>72</v>
      </c>
      <c r="N1892" s="25">
        <v>6727.05</v>
      </c>
      <c r="O1892" s="25">
        <f t="shared" si="236"/>
        <v>484347.60000000003</v>
      </c>
      <c r="P1892" s="25">
        <v>5415.78</v>
      </c>
      <c r="Q1892" s="25">
        <f t="shared" si="237"/>
        <v>389936.16</v>
      </c>
      <c r="R1892" s="25">
        <f t="shared" si="238"/>
        <v>94411.440000000061</v>
      </c>
      <c r="S1892" s="26">
        <f t="shared" si="239"/>
        <v>0.1949249671103977</v>
      </c>
    </row>
    <row r="1893" spans="1:19" ht="15" x14ac:dyDescent="0.2">
      <c r="A1893" s="23">
        <v>46151</v>
      </c>
      <c r="B1893">
        <f t="shared" si="232"/>
        <v>2026</v>
      </c>
      <c r="C1893">
        <f t="shared" si="233"/>
        <v>5</v>
      </c>
      <c r="D1893" t="str">
        <f t="shared" si="234"/>
        <v>Mayo</v>
      </c>
      <c r="E1893" t="str">
        <f t="shared" si="235"/>
        <v>T2</v>
      </c>
      <c r="F1893" t="s">
        <v>2020</v>
      </c>
      <c r="G1893" t="s">
        <v>74</v>
      </c>
      <c r="H1893" t="s">
        <v>75</v>
      </c>
      <c r="I1893" t="s">
        <v>76</v>
      </c>
      <c r="J1893" t="s">
        <v>125</v>
      </c>
      <c r="K1893" t="s">
        <v>138</v>
      </c>
      <c r="L1893" t="s">
        <v>139</v>
      </c>
      <c r="M1893" s="24">
        <v>7</v>
      </c>
      <c r="N1893" s="25">
        <v>40793.06</v>
      </c>
      <c r="O1893" s="25">
        <f t="shared" si="236"/>
        <v>285551.42</v>
      </c>
      <c r="P1893" s="25">
        <v>27252.33</v>
      </c>
      <c r="Q1893" s="25">
        <f t="shared" si="237"/>
        <v>190766.31</v>
      </c>
      <c r="R1893" s="25">
        <f t="shared" si="238"/>
        <v>94785.109999999986</v>
      </c>
      <c r="S1893" s="26">
        <f t="shared" si="239"/>
        <v>0.33193709910460256</v>
      </c>
    </row>
    <row r="1894" spans="1:19" ht="15" x14ac:dyDescent="0.2">
      <c r="A1894" s="23">
        <v>46151</v>
      </c>
      <c r="B1894">
        <f t="shared" si="232"/>
        <v>2026</v>
      </c>
      <c r="C1894">
        <f t="shared" si="233"/>
        <v>5</v>
      </c>
      <c r="D1894" t="str">
        <f t="shared" si="234"/>
        <v>Mayo</v>
      </c>
      <c r="E1894" t="str">
        <f t="shared" si="235"/>
        <v>T2</v>
      </c>
      <c r="F1894" t="s">
        <v>2021</v>
      </c>
      <c r="G1894" t="s">
        <v>74</v>
      </c>
      <c r="H1894" t="s">
        <v>75</v>
      </c>
      <c r="I1894" t="s">
        <v>76</v>
      </c>
      <c r="J1894" t="s">
        <v>125</v>
      </c>
      <c r="K1894" t="s">
        <v>138</v>
      </c>
      <c r="L1894" t="s">
        <v>139</v>
      </c>
      <c r="M1894" s="24">
        <v>13</v>
      </c>
      <c r="N1894" s="25">
        <v>41496.36</v>
      </c>
      <c r="O1894" s="25">
        <f t="shared" si="236"/>
        <v>539452.68000000005</v>
      </c>
      <c r="P1894" s="25">
        <v>27465.18</v>
      </c>
      <c r="Q1894" s="25">
        <f t="shared" si="237"/>
        <v>357047.34</v>
      </c>
      <c r="R1894" s="25">
        <f t="shared" si="238"/>
        <v>182405.34000000003</v>
      </c>
      <c r="S1894" s="26">
        <f t="shared" si="239"/>
        <v>0.33813038059241823</v>
      </c>
    </row>
    <row r="1895" spans="1:19" ht="15" x14ac:dyDescent="0.2">
      <c r="A1895" s="23">
        <v>46151</v>
      </c>
      <c r="B1895">
        <f t="shared" si="232"/>
        <v>2026</v>
      </c>
      <c r="C1895">
        <f t="shared" si="233"/>
        <v>5</v>
      </c>
      <c r="D1895" t="str">
        <f t="shared" si="234"/>
        <v>Mayo</v>
      </c>
      <c r="E1895" t="str">
        <f t="shared" si="235"/>
        <v>T2</v>
      </c>
      <c r="F1895" t="s">
        <v>2022</v>
      </c>
      <c r="G1895" t="s">
        <v>144</v>
      </c>
      <c r="H1895" t="s">
        <v>88</v>
      </c>
      <c r="I1895" t="s">
        <v>145</v>
      </c>
      <c r="J1895" t="s">
        <v>70</v>
      </c>
      <c r="K1895" t="s">
        <v>84</v>
      </c>
      <c r="L1895" t="s">
        <v>147</v>
      </c>
      <c r="M1895" s="24">
        <v>2</v>
      </c>
      <c r="N1895" s="25">
        <v>10909.9</v>
      </c>
      <c r="O1895" s="25">
        <f t="shared" si="236"/>
        <v>21819.8</v>
      </c>
      <c r="P1895" s="25">
        <v>6287.02</v>
      </c>
      <c r="Q1895" s="25">
        <f t="shared" si="237"/>
        <v>12574.04</v>
      </c>
      <c r="R1895" s="25">
        <f t="shared" si="238"/>
        <v>9245.7599999999984</v>
      </c>
      <c r="S1895" s="26">
        <f t="shared" si="239"/>
        <v>0.42373257316749002</v>
      </c>
    </row>
    <row r="1896" spans="1:19" ht="15" x14ac:dyDescent="0.2">
      <c r="A1896" s="23">
        <v>46151</v>
      </c>
      <c r="B1896">
        <f t="shared" si="232"/>
        <v>2026</v>
      </c>
      <c r="C1896">
        <f t="shared" si="233"/>
        <v>5</v>
      </c>
      <c r="D1896" t="str">
        <f t="shared" si="234"/>
        <v>Mayo</v>
      </c>
      <c r="E1896" t="str">
        <f t="shared" si="235"/>
        <v>T2</v>
      </c>
      <c r="F1896" t="s">
        <v>2023</v>
      </c>
      <c r="G1896" t="s">
        <v>206</v>
      </c>
      <c r="H1896" t="s">
        <v>93</v>
      </c>
      <c r="I1896" t="s">
        <v>207</v>
      </c>
      <c r="J1896" t="s">
        <v>64</v>
      </c>
      <c r="K1896" t="s">
        <v>65</v>
      </c>
      <c r="L1896" t="s">
        <v>123</v>
      </c>
      <c r="M1896" s="24">
        <v>4</v>
      </c>
      <c r="N1896" s="25">
        <v>129311.02</v>
      </c>
      <c r="O1896" s="25">
        <f t="shared" si="236"/>
        <v>517244.08</v>
      </c>
      <c r="P1896" s="25">
        <v>76131.59</v>
      </c>
      <c r="Q1896" s="25">
        <f t="shared" si="237"/>
        <v>304526.36</v>
      </c>
      <c r="R1896" s="25">
        <f t="shared" si="238"/>
        <v>212717.72000000003</v>
      </c>
      <c r="S1896" s="26">
        <f t="shared" si="239"/>
        <v>0.41125211138230916</v>
      </c>
    </row>
    <row r="1897" spans="1:19" ht="15" x14ac:dyDescent="0.2">
      <c r="A1897" s="23">
        <v>46152</v>
      </c>
      <c r="B1897">
        <f t="shared" si="232"/>
        <v>2026</v>
      </c>
      <c r="C1897">
        <f t="shared" si="233"/>
        <v>5</v>
      </c>
      <c r="D1897" t="str">
        <f t="shared" si="234"/>
        <v>Mayo</v>
      </c>
      <c r="E1897" t="str">
        <f t="shared" si="235"/>
        <v>T2</v>
      </c>
      <c r="F1897" t="s">
        <v>2024</v>
      </c>
      <c r="G1897" t="s">
        <v>74</v>
      </c>
      <c r="H1897" t="s">
        <v>75</v>
      </c>
      <c r="I1897" t="s">
        <v>76</v>
      </c>
      <c r="J1897" t="s">
        <v>125</v>
      </c>
      <c r="K1897" t="s">
        <v>126</v>
      </c>
      <c r="L1897" t="s">
        <v>131</v>
      </c>
      <c r="M1897" s="24">
        <v>5</v>
      </c>
      <c r="N1897" s="25">
        <v>38001.67</v>
      </c>
      <c r="O1897" s="25">
        <f t="shared" si="236"/>
        <v>190008.34999999998</v>
      </c>
      <c r="P1897" s="25">
        <v>25502.41</v>
      </c>
      <c r="Q1897" s="25">
        <f t="shared" si="237"/>
        <v>127512.05</v>
      </c>
      <c r="R1897" s="25">
        <f t="shared" si="238"/>
        <v>62496.299999999974</v>
      </c>
      <c r="S1897" s="26">
        <f t="shared" si="239"/>
        <v>0.328913439856722</v>
      </c>
    </row>
    <row r="1898" spans="1:19" ht="15" x14ac:dyDescent="0.2">
      <c r="A1898" s="23">
        <v>46152</v>
      </c>
      <c r="B1898">
        <f t="shared" si="232"/>
        <v>2026</v>
      </c>
      <c r="C1898">
        <f t="shared" si="233"/>
        <v>5</v>
      </c>
      <c r="D1898" t="str">
        <f t="shared" si="234"/>
        <v>Mayo</v>
      </c>
      <c r="E1898" t="str">
        <f t="shared" si="235"/>
        <v>T2</v>
      </c>
      <c r="F1898" t="s">
        <v>2025</v>
      </c>
      <c r="G1898" t="s">
        <v>87</v>
      </c>
      <c r="H1898" t="s">
        <v>88</v>
      </c>
      <c r="I1898" t="s">
        <v>89</v>
      </c>
      <c r="J1898" t="s">
        <v>125</v>
      </c>
      <c r="K1898" t="s">
        <v>138</v>
      </c>
      <c r="L1898" t="s">
        <v>142</v>
      </c>
      <c r="M1898" s="24">
        <v>5</v>
      </c>
      <c r="N1898" s="25">
        <v>66823.27</v>
      </c>
      <c r="O1898" s="25">
        <f t="shared" si="236"/>
        <v>334116.35000000003</v>
      </c>
      <c r="P1898" s="25">
        <v>36054.71</v>
      </c>
      <c r="Q1898" s="25">
        <f t="shared" si="237"/>
        <v>180273.55</v>
      </c>
      <c r="R1898" s="25">
        <f t="shared" si="238"/>
        <v>153842.80000000005</v>
      </c>
      <c r="S1898" s="26">
        <f t="shared" si="239"/>
        <v>0.46044678747388457</v>
      </c>
    </row>
    <row r="1899" spans="1:19" ht="15" x14ac:dyDescent="0.2">
      <c r="A1899" s="23">
        <v>46152</v>
      </c>
      <c r="B1899">
        <f t="shared" si="232"/>
        <v>2026</v>
      </c>
      <c r="C1899">
        <f t="shared" si="233"/>
        <v>5</v>
      </c>
      <c r="D1899" t="str">
        <f t="shared" si="234"/>
        <v>Mayo</v>
      </c>
      <c r="E1899" t="str">
        <f t="shared" si="235"/>
        <v>T2</v>
      </c>
      <c r="F1899" t="s">
        <v>2026</v>
      </c>
      <c r="G1899" t="s">
        <v>144</v>
      </c>
      <c r="H1899" t="s">
        <v>88</v>
      </c>
      <c r="I1899" t="s">
        <v>145</v>
      </c>
      <c r="J1899" t="s">
        <v>125</v>
      </c>
      <c r="K1899" t="s">
        <v>138</v>
      </c>
      <c r="L1899" t="s">
        <v>139</v>
      </c>
      <c r="M1899" s="24">
        <v>42</v>
      </c>
      <c r="N1899" s="25">
        <v>12534.88</v>
      </c>
      <c r="O1899" s="25">
        <f t="shared" si="236"/>
        <v>526464.96</v>
      </c>
      <c r="P1899" s="25">
        <v>6961.53</v>
      </c>
      <c r="Q1899" s="25">
        <f t="shared" si="237"/>
        <v>292384.26</v>
      </c>
      <c r="R1899" s="25">
        <f t="shared" si="238"/>
        <v>234080.69999999995</v>
      </c>
      <c r="S1899" s="26">
        <f t="shared" si="239"/>
        <v>0.44462731194873817</v>
      </c>
    </row>
    <row r="1900" spans="1:19" ht="15" x14ac:dyDescent="0.2">
      <c r="A1900" s="23">
        <v>46153</v>
      </c>
      <c r="B1900">
        <f t="shared" si="232"/>
        <v>2026</v>
      </c>
      <c r="C1900">
        <f t="shared" si="233"/>
        <v>5</v>
      </c>
      <c r="D1900" t="str">
        <f t="shared" si="234"/>
        <v>Mayo</v>
      </c>
      <c r="E1900" t="str">
        <f t="shared" si="235"/>
        <v>T2</v>
      </c>
      <c r="F1900" t="s">
        <v>2027</v>
      </c>
      <c r="G1900" t="s">
        <v>114</v>
      </c>
      <c r="H1900" t="s">
        <v>75</v>
      </c>
      <c r="I1900" t="s">
        <v>115</v>
      </c>
      <c r="J1900" t="s">
        <v>64</v>
      </c>
      <c r="K1900" t="s">
        <v>96</v>
      </c>
      <c r="L1900" t="s">
        <v>103</v>
      </c>
      <c r="M1900" s="24">
        <v>11</v>
      </c>
      <c r="N1900" s="25">
        <v>88365.1</v>
      </c>
      <c r="O1900" s="25">
        <f t="shared" si="236"/>
        <v>972016.10000000009</v>
      </c>
      <c r="P1900" s="25">
        <v>63056.87</v>
      </c>
      <c r="Q1900" s="25">
        <f t="shared" si="237"/>
        <v>693625.57000000007</v>
      </c>
      <c r="R1900" s="25">
        <f t="shared" si="238"/>
        <v>278390.53000000003</v>
      </c>
      <c r="S1900" s="26">
        <f t="shared" si="239"/>
        <v>0.28640526633252267</v>
      </c>
    </row>
    <row r="1901" spans="1:19" ht="15" x14ac:dyDescent="0.2">
      <c r="A1901" s="23">
        <v>46153</v>
      </c>
      <c r="B1901">
        <f t="shared" si="232"/>
        <v>2026</v>
      </c>
      <c r="C1901">
        <f t="shared" si="233"/>
        <v>5</v>
      </c>
      <c r="D1901" t="str">
        <f t="shared" si="234"/>
        <v>Mayo</v>
      </c>
      <c r="E1901" t="str">
        <f t="shared" si="235"/>
        <v>T2</v>
      </c>
      <c r="F1901" t="s">
        <v>2028</v>
      </c>
      <c r="G1901" t="s">
        <v>144</v>
      </c>
      <c r="H1901" t="s">
        <v>88</v>
      </c>
      <c r="I1901" t="s">
        <v>145</v>
      </c>
      <c r="J1901" t="s">
        <v>57</v>
      </c>
      <c r="K1901" t="s">
        <v>81</v>
      </c>
      <c r="L1901" t="s">
        <v>82</v>
      </c>
      <c r="M1901" s="24">
        <v>56</v>
      </c>
      <c r="N1901" s="25">
        <v>13012.41</v>
      </c>
      <c r="O1901" s="25">
        <f t="shared" si="236"/>
        <v>728694.96</v>
      </c>
      <c r="P1901" s="25">
        <v>6959.39</v>
      </c>
      <c r="Q1901" s="25">
        <f t="shared" si="237"/>
        <v>389725.84</v>
      </c>
      <c r="R1901" s="25">
        <f t="shared" si="238"/>
        <v>338969.11999999994</v>
      </c>
      <c r="S1901" s="26">
        <f t="shared" si="239"/>
        <v>0.46517286190644158</v>
      </c>
    </row>
    <row r="1902" spans="1:19" ht="15" x14ac:dyDescent="0.2">
      <c r="A1902" s="23">
        <v>46153</v>
      </c>
      <c r="B1902">
        <f t="shared" si="232"/>
        <v>2026</v>
      </c>
      <c r="C1902">
        <f t="shared" si="233"/>
        <v>5</v>
      </c>
      <c r="D1902" t="str">
        <f t="shared" si="234"/>
        <v>Mayo</v>
      </c>
      <c r="E1902" t="str">
        <f t="shared" si="235"/>
        <v>T2</v>
      </c>
      <c r="F1902" t="s">
        <v>2029</v>
      </c>
      <c r="G1902" t="s">
        <v>144</v>
      </c>
      <c r="H1902" t="s">
        <v>88</v>
      </c>
      <c r="I1902" t="s">
        <v>145</v>
      </c>
      <c r="J1902" t="s">
        <v>125</v>
      </c>
      <c r="K1902" t="s">
        <v>126</v>
      </c>
      <c r="L1902" t="s">
        <v>131</v>
      </c>
      <c r="M1902" s="24">
        <v>14</v>
      </c>
      <c r="N1902" s="25">
        <v>12880.53</v>
      </c>
      <c r="O1902" s="25">
        <f t="shared" si="236"/>
        <v>180327.42</v>
      </c>
      <c r="P1902" s="25">
        <v>7128.88</v>
      </c>
      <c r="Q1902" s="25">
        <f t="shared" si="237"/>
        <v>99804.32</v>
      </c>
      <c r="R1902" s="25">
        <f t="shared" si="238"/>
        <v>80523.100000000006</v>
      </c>
      <c r="S1902" s="26">
        <f t="shared" si="239"/>
        <v>0.44653830238351994</v>
      </c>
    </row>
    <row r="1903" spans="1:19" ht="15" x14ac:dyDescent="0.2">
      <c r="A1903" s="23">
        <v>46154</v>
      </c>
      <c r="B1903">
        <f t="shared" si="232"/>
        <v>2026</v>
      </c>
      <c r="C1903">
        <f t="shared" si="233"/>
        <v>5</v>
      </c>
      <c r="D1903" t="str">
        <f t="shared" si="234"/>
        <v>Mayo</v>
      </c>
      <c r="E1903" t="str">
        <f t="shared" si="235"/>
        <v>T2</v>
      </c>
      <c r="F1903" t="s">
        <v>2030</v>
      </c>
      <c r="G1903" t="s">
        <v>54</v>
      </c>
      <c r="H1903" t="s">
        <v>55</v>
      </c>
      <c r="I1903" t="s">
        <v>56</v>
      </c>
      <c r="J1903" t="s">
        <v>64</v>
      </c>
      <c r="K1903" t="s">
        <v>96</v>
      </c>
      <c r="L1903" t="s">
        <v>103</v>
      </c>
      <c r="M1903" s="24">
        <v>2</v>
      </c>
      <c r="N1903" s="25">
        <v>50374.35</v>
      </c>
      <c r="O1903" s="25">
        <f t="shared" si="236"/>
        <v>100748.7</v>
      </c>
      <c r="P1903" s="25">
        <v>40766.379999999997</v>
      </c>
      <c r="Q1903" s="25">
        <f t="shared" si="237"/>
        <v>81532.759999999995</v>
      </c>
      <c r="R1903" s="25">
        <f t="shared" si="238"/>
        <v>19215.940000000002</v>
      </c>
      <c r="S1903" s="26">
        <f t="shared" si="239"/>
        <v>0.19073139405272727</v>
      </c>
    </row>
    <row r="1904" spans="1:19" ht="15" x14ac:dyDescent="0.2">
      <c r="A1904" s="23">
        <v>46154</v>
      </c>
      <c r="B1904">
        <f t="shared" si="232"/>
        <v>2026</v>
      </c>
      <c r="C1904">
        <f t="shared" si="233"/>
        <v>5</v>
      </c>
      <c r="D1904" t="str">
        <f t="shared" si="234"/>
        <v>Mayo</v>
      </c>
      <c r="E1904" t="str">
        <f t="shared" si="235"/>
        <v>T2</v>
      </c>
      <c r="F1904" t="s">
        <v>2031</v>
      </c>
      <c r="G1904" t="s">
        <v>54</v>
      </c>
      <c r="H1904" t="s">
        <v>55</v>
      </c>
      <c r="I1904" t="s">
        <v>56</v>
      </c>
      <c r="J1904" t="s">
        <v>70</v>
      </c>
      <c r="K1904" t="s">
        <v>84</v>
      </c>
      <c r="L1904" t="s">
        <v>85</v>
      </c>
      <c r="M1904" s="24">
        <v>3</v>
      </c>
      <c r="N1904" s="25">
        <v>45589.53</v>
      </c>
      <c r="O1904" s="25">
        <f t="shared" si="236"/>
        <v>136768.59</v>
      </c>
      <c r="P1904" s="25">
        <v>37373.79</v>
      </c>
      <c r="Q1904" s="25">
        <f t="shared" si="237"/>
        <v>112121.37</v>
      </c>
      <c r="R1904" s="25">
        <f t="shared" si="238"/>
        <v>24647.22</v>
      </c>
      <c r="S1904" s="26">
        <f t="shared" si="239"/>
        <v>0.18021111426241948</v>
      </c>
    </row>
    <row r="1905" spans="1:19" ht="15" x14ac:dyDescent="0.2">
      <c r="A1905" s="23">
        <v>46154</v>
      </c>
      <c r="B1905">
        <f t="shared" si="232"/>
        <v>2026</v>
      </c>
      <c r="C1905">
        <f t="shared" si="233"/>
        <v>5</v>
      </c>
      <c r="D1905" t="str">
        <f t="shared" si="234"/>
        <v>Mayo</v>
      </c>
      <c r="E1905" t="str">
        <f t="shared" si="235"/>
        <v>T2</v>
      </c>
      <c r="F1905" t="s">
        <v>2032</v>
      </c>
      <c r="G1905" t="s">
        <v>54</v>
      </c>
      <c r="H1905" t="s">
        <v>55</v>
      </c>
      <c r="I1905" t="s">
        <v>56</v>
      </c>
      <c r="J1905" t="s">
        <v>70</v>
      </c>
      <c r="K1905" t="s">
        <v>71</v>
      </c>
      <c r="L1905" t="s">
        <v>90</v>
      </c>
      <c r="M1905" s="24">
        <v>8</v>
      </c>
      <c r="N1905" s="25">
        <v>47372.5</v>
      </c>
      <c r="O1905" s="25">
        <f t="shared" si="236"/>
        <v>378980</v>
      </c>
      <c r="P1905" s="25">
        <v>39628.699999999997</v>
      </c>
      <c r="Q1905" s="25">
        <f t="shared" si="237"/>
        <v>317029.59999999998</v>
      </c>
      <c r="R1905" s="25">
        <f t="shared" si="238"/>
        <v>61950.400000000023</v>
      </c>
      <c r="S1905" s="26">
        <f t="shared" si="239"/>
        <v>0.1634661459707637</v>
      </c>
    </row>
    <row r="1906" spans="1:19" ht="15" x14ac:dyDescent="0.2">
      <c r="A1906" s="23">
        <v>46155</v>
      </c>
      <c r="B1906">
        <f t="shared" si="232"/>
        <v>2026</v>
      </c>
      <c r="C1906">
        <f t="shared" si="233"/>
        <v>5</v>
      </c>
      <c r="D1906" t="str">
        <f t="shared" si="234"/>
        <v>Mayo</v>
      </c>
      <c r="E1906" t="str">
        <f t="shared" si="235"/>
        <v>T2</v>
      </c>
      <c r="F1906" t="s">
        <v>2033</v>
      </c>
      <c r="G1906" t="s">
        <v>54</v>
      </c>
      <c r="H1906" t="s">
        <v>55</v>
      </c>
      <c r="I1906" t="s">
        <v>56</v>
      </c>
      <c r="J1906" t="s">
        <v>57</v>
      </c>
      <c r="K1906" t="s">
        <v>58</v>
      </c>
      <c r="L1906" t="s">
        <v>162</v>
      </c>
      <c r="M1906" s="24">
        <v>9</v>
      </c>
      <c r="N1906" s="25">
        <v>55284.28</v>
      </c>
      <c r="O1906" s="25">
        <f t="shared" si="236"/>
        <v>497558.52</v>
      </c>
      <c r="P1906" s="25">
        <v>43964.47</v>
      </c>
      <c r="Q1906" s="25">
        <f t="shared" si="237"/>
        <v>395680.23</v>
      </c>
      <c r="R1906" s="25">
        <f t="shared" si="238"/>
        <v>101878.29000000004</v>
      </c>
      <c r="S1906" s="26">
        <f t="shared" si="239"/>
        <v>0.20475639729774908</v>
      </c>
    </row>
    <row r="1907" spans="1:19" ht="15" x14ac:dyDescent="0.2">
      <c r="A1907" s="23">
        <v>46155</v>
      </c>
      <c r="B1907">
        <f t="shared" si="232"/>
        <v>2026</v>
      </c>
      <c r="C1907">
        <f t="shared" si="233"/>
        <v>5</v>
      </c>
      <c r="D1907" t="str">
        <f t="shared" si="234"/>
        <v>Mayo</v>
      </c>
      <c r="E1907" t="str">
        <f t="shared" si="235"/>
        <v>T2</v>
      </c>
      <c r="F1907" t="s">
        <v>2034</v>
      </c>
      <c r="G1907" t="s">
        <v>105</v>
      </c>
      <c r="H1907" t="s">
        <v>62</v>
      </c>
      <c r="I1907" t="s">
        <v>106</v>
      </c>
      <c r="J1907" t="s">
        <v>77</v>
      </c>
      <c r="K1907" t="s">
        <v>107</v>
      </c>
      <c r="L1907" t="s">
        <v>108</v>
      </c>
      <c r="M1907" s="24">
        <v>341</v>
      </c>
      <c r="N1907" s="25">
        <v>1926.7</v>
      </c>
      <c r="O1907" s="25">
        <f t="shared" si="236"/>
        <v>657004.70000000007</v>
      </c>
      <c r="P1907" s="25">
        <v>1500.84</v>
      </c>
      <c r="Q1907" s="25">
        <f t="shared" si="237"/>
        <v>511786.43999999994</v>
      </c>
      <c r="R1907" s="25">
        <f t="shared" si="238"/>
        <v>145218.26000000013</v>
      </c>
      <c r="S1907" s="26">
        <f t="shared" si="239"/>
        <v>0.22103077801422139</v>
      </c>
    </row>
    <row r="1908" spans="1:19" ht="15" x14ac:dyDescent="0.2">
      <c r="A1908" s="23">
        <v>46156</v>
      </c>
      <c r="B1908">
        <f t="shared" si="232"/>
        <v>2026</v>
      </c>
      <c r="C1908">
        <f t="shared" si="233"/>
        <v>5</v>
      </c>
      <c r="D1908" t="str">
        <f t="shared" si="234"/>
        <v>Mayo</v>
      </c>
      <c r="E1908" t="str">
        <f t="shared" si="235"/>
        <v>T2</v>
      </c>
      <c r="F1908" t="s">
        <v>2035</v>
      </c>
      <c r="G1908" t="s">
        <v>149</v>
      </c>
      <c r="H1908" t="s">
        <v>93</v>
      </c>
      <c r="I1908" t="s">
        <v>150</v>
      </c>
      <c r="J1908" t="s">
        <v>125</v>
      </c>
      <c r="K1908" t="s">
        <v>138</v>
      </c>
      <c r="L1908" t="s">
        <v>142</v>
      </c>
      <c r="M1908" s="24">
        <v>6</v>
      </c>
      <c r="N1908" s="25">
        <v>45822.080000000002</v>
      </c>
      <c r="O1908" s="25">
        <f t="shared" si="236"/>
        <v>274932.47999999998</v>
      </c>
      <c r="P1908" s="25">
        <v>25494.97</v>
      </c>
      <c r="Q1908" s="25">
        <f t="shared" si="237"/>
        <v>152969.82</v>
      </c>
      <c r="R1908" s="25">
        <f t="shared" si="238"/>
        <v>121962.65999999997</v>
      </c>
      <c r="S1908" s="26">
        <f t="shared" si="239"/>
        <v>0.44360950004888466</v>
      </c>
    </row>
    <row r="1909" spans="1:19" ht="15" x14ac:dyDescent="0.2">
      <c r="A1909" s="23">
        <v>46157</v>
      </c>
      <c r="B1909">
        <f t="shared" si="232"/>
        <v>2026</v>
      </c>
      <c r="C1909">
        <f t="shared" si="233"/>
        <v>5</v>
      </c>
      <c r="D1909" t="str">
        <f t="shared" si="234"/>
        <v>Mayo</v>
      </c>
      <c r="E1909" t="str">
        <f t="shared" si="235"/>
        <v>T2</v>
      </c>
      <c r="F1909" t="s">
        <v>2036</v>
      </c>
      <c r="G1909" t="s">
        <v>68</v>
      </c>
      <c r="H1909" t="s">
        <v>62</v>
      </c>
      <c r="I1909" t="s">
        <v>69</v>
      </c>
      <c r="J1909" t="s">
        <v>77</v>
      </c>
      <c r="K1909" t="s">
        <v>78</v>
      </c>
      <c r="L1909" t="s">
        <v>117</v>
      </c>
      <c r="M1909" s="24">
        <v>157</v>
      </c>
      <c r="N1909" s="25">
        <v>3233.6</v>
      </c>
      <c r="O1909" s="25">
        <f t="shared" si="236"/>
        <v>507675.2</v>
      </c>
      <c r="P1909" s="25">
        <v>2596.4299999999998</v>
      </c>
      <c r="Q1909" s="25">
        <f t="shared" si="237"/>
        <v>407639.50999999995</v>
      </c>
      <c r="R1909" s="25">
        <f t="shared" si="238"/>
        <v>100035.69000000006</v>
      </c>
      <c r="S1909" s="26">
        <f t="shared" si="239"/>
        <v>0.19704663532904515</v>
      </c>
    </row>
    <row r="1910" spans="1:19" ht="15" x14ac:dyDescent="0.2">
      <c r="A1910" s="23">
        <v>46157</v>
      </c>
      <c r="B1910">
        <f t="shared" si="232"/>
        <v>2026</v>
      </c>
      <c r="C1910">
        <f t="shared" si="233"/>
        <v>5</v>
      </c>
      <c r="D1910" t="str">
        <f t="shared" si="234"/>
        <v>Mayo</v>
      </c>
      <c r="E1910" t="str">
        <f t="shared" si="235"/>
        <v>T2</v>
      </c>
      <c r="F1910" t="s">
        <v>2037</v>
      </c>
      <c r="G1910" t="s">
        <v>74</v>
      </c>
      <c r="H1910" t="s">
        <v>75</v>
      </c>
      <c r="I1910" t="s">
        <v>76</v>
      </c>
      <c r="J1910" t="s">
        <v>70</v>
      </c>
      <c r="K1910" t="s">
        <v>71</v>
      </c>
      <c r="L1910" t="s">
        <v>72</v>
      </c>
      <c r="M1910" s="24">
        <v>8</v>
      </c>
      <c r="N1910" s="25">
        <v>36695.5</v>
      </c>
      <c r="O1910" s="25">
        <f t="shared" si="236"/>
        <v>293564</v>
      </c>
      <c r="P1910" s="25">
        <v>26788.37</v>
      </c>
      <c r="Q1910" s="25">
        <f t="shared" si="237"/>
        <v>214306.96</v>
      </c>
      <c r="R1910" s="25">
        <f t="shared" si="238"/>
        <v>79257.040000000008</v>
      </c>
      <c r="S1910" s="26">
        <f t="shared" si="239"/>
        <v>0.2699821503999128</v>
      </c>
    </row>
    <row r="1911" spans="1:19" ht="15" x14ac:dyDescent="0.2">
      <c r="A1911" s="23">
        <v>46157</v>
      </c>
      <c r="B1911">
        <f t="shared" si="232"/>
        <v>2026</v>
      </c>
      <c r="C1911">
        <f t="shared" si="233"/>
        <v>5</v>
      </c>
      <c r="D1911" t="str">
        <f t="shared" si="234"/>
        <v>Mayo</v>
      </c>
      <c r="E1911" t="str">
        <f t="shared" si="235"/>
        <v>T2</v>
      </c>
      <c r="F1911" t="s">
        <v>2038</v>
      </c>
      <c r="G1911" t="s">
        <v>92</v>
      </c>
      <c r="H1911" t="s">
        <v>93</v>
      </c>
      <c r="I1911" t="s">
        <v>94</v>
      </c>
      <c r="J1911" t="s">
        <v>70</v>
      </c>
      <c r="K1911" t="s">
        <v>71</v>
      </c>
      <c r="L1911" t="s">
        <v>72</v>
      </c>
      <c r="M1911" s="24">
        <v>7</v>
      </c>
      <c r="N1911" s="25">
        <v>19602.36</v>
      </c>
      <c r="O1911" s="25">
        <f t="shared" si="236"/>
        <v>137216.52000000002</v>
      </c>
      <c r="P1911" s="25">
        <v>12248.22</v>
      </c>
      <c r="Q1911" s="25">
        <f t="shared" si="237"/>
        <v>85737.54</v>
      </c>
      <c r="R1911" s="25">
        <f t="shared" si="238"/>
        <v>51478.980000000025</v>
      </c>
      <c r="S1911" s="26">
        <f t="shared" si="239"/>
        <v>0.37516605143462328</v>
      </c>
    </row>
    <row r="1912" spans="1:19" ht="15" x14ac:dyDescent="0.2">
      <c r="A1912" s="23">
        <v>46158</v>
      </c>
      <c r="B1912">
        <f t="shared" si="232"/>
        <v>2026</v>
      </c>
      <c r="C1912">
        <f t="shared" si="233"/>
        <v>5</v>
      </c>
      <c r="D1912" t="str">
        <f t="shared" si="234"/>
        <v>Mayo</v>
      </c>
      <c r="E1912" t="str">
        <f t="shared" si="235"/>
        <v>T2</v>
      </c>
      <c r="F1912" t="s">
        <v>2039</v>
      </c>
      <c r="G1912" t="s">
        <v>54</v>
      </c>
      <c r="H1912" t="s">
        <v>55</v>
      </c>
      <c r="I1912" t="s">
        <v>56</v>
      </c>
      <c r="J1912" t="s">
        <v>77</v>
      </c>
      <c r="K1912" t="s">
        <v>78</v>
      </c>
      <c r="L1912" t="s">
        <v>117</v>
      </c>
      <c r="M1912" s="24">
        <v>12</v>
      </c>
      <c r="N1912" s="25">
        <v>53466.16</v>
      </c>
      <c r="O1912" s="25">
        <f t="shared" si="236"/>
        <v>641593.92000000004</v>
      </c>
      <c r="P1912" s="25">
        <v>41556.18</v>
      </c>
      <c r="Q1912" s="25">
        <f t="shared" si="237"/>
        <v>498674.16000000003</v>
      </c>
      <c r="R1912" s="25">
        <f t="shared" si="238"/>
        <v>142919.76</v>
      </c>
      <c r="S1912" s="26">
        <f t="shared" si="239"/>
        <v>0.22275734782524123</v>
      </c>
    </row>
    <row r="1913" spans="1:19" ht="15" x14ac:dyDescent="0.2">
      <c r="A1913" s="23">
        <v>46158</v>
      </c>
      <c r="B1913">
        <f t="shared" si="232"/>
        <v>2026</v>
      </c>
      <c r="C1913">
        <f t="shared" si="233"/>
        <v>5</v>
      </c>
      <c r="D1913" t="str">
        <f t="shared" si="234"/>
        <v>Mayo</v>
      </c>
      <c r="E1913" t="str">
        <f t="shared" si="235"/>
        <v>T2</v>
      </c>
      <c r="F1913" t="s">
        <v>2040</v>
      </c>
      <c r="G1913" t="s">
        <v>54</v>
      </c>
      <c r="H1913" t="s">
        <v>55</v>
      </c>
      <c r="I1913" t="s">
        <v>56</v>
      </c>
      <c r="J1913" t="s">
        <v>125</v>
      </c>
      <c r="K1913" t="s">
        <v>138</v>
      </c>
      <c r="L1913" t="s">
        <v>139</v>
      </c>
      <c r="M1913" s="24">
        <v>16</v>
      </c>
      <c r="N1913" s="25">
        <v>51561.03</v>
      </c>
      <c r="O1913" s="25">
        <f t="shared" si="236"/>
        <v>824976.48</v>
      </c>
      <c r="P1913" s="25">
        <v>40747.769999999997</v>
      </c>
      <c r="Q1913" s="25">
        <f t="shared" si="237"/>
        <v>651964.31999999995</v>
      </c>
      <c r="R1913" s="25">
        <f t="shared" si="238"/>
        <v>173012.16000000003</v>
      </c>
      <c r="S1913" s="26">
        <f t="shared" si="239"/>
        <v>0.20971768795154019</v>
      </c>
    </row>
    <row r="1914" spans="1:19" ht="15" x14ac:dyDescent="0.2">
      <c r="A1914" s="23">
        <v>46158</v>
      </c>
      <c r="B1914">
        <f t="shared" si="232"/>
        <v>2026</v>
      </c>
      <c r="C1914">
        <f t="shared" si="233"/>
        <v>5</v>
      </c>
      <c r="D1914" t="str">
        <f t="shared" si="234"/>
        <v>Mayo</v>
      </c>
      <c r="E1914" t="str">
        <f t="shared" si="235"/>
        <v>T2</v>
      </c>
      <c r="F1914" t="s">
        <v>2041</v>
      </c>
      <c r="G1914" t="s">
        <v>61</v>
      </c>
      <c r="H1914" t="s">
        <v>62</v>
      </c>
      <c r="I1914" t="s">
        <v>63</v>
      </c>
      <c r="J1914" t="s">
        <v>64</v>
      </c>
      <c r="K1914" t="s">
        <v>96</v>
      </c>
      <c r="L1914" t="s">
        <v>97</v>
      </c>
      <c r="M1914" s="24">
        <v>189</v>
      </c>
      <c r="N1914" s="25">
        <v>5754.22</v>
      </c>
      <c r="O1914" s="25">
        <f t="shared" si="236"/>
        <v>1087547.58</v>
      </c>
      <c r="P1914" s="25">
        <v>4792.57</v>
      </c>
      <c r="Q1914" s="25">
        <f t="shared" si="237"/>
        <v>905795.73</v>
      </c>
      <c r="R1914" s="25">
        <f t="shared" si="238"/>
        <v>181751.85000000009</v>
      </c>
      <c r="S1914" s="26">
        <f t="shared" si="239"/>
        <v>0.16712082610675302</v>
      </c>
    </row>
    <row r="1915" spans="1:19" ht="15" x14ac:dyDescent="0.2">
      <c r="A1915" s="23">
        <v>46158</v>
      </c>
      <c r="B1915">
        <f t="shared" si="232"/>
        <v>2026</v>
      </c>
      <c r="C1915">
        <f t="shared" si="233"/>
        <v>5</v>
      </c>
      <c r="D1915" t="str">
        <f t="shared" si="234"/>
        <v>Mayo</v>
      </c>
      <c r="E1915" t="str">
        <f t="shared" si="235"/>
        <v>T2</v>
      </c>
      <c r="F1915" t="s">
        <v>2042</v>
      </c>
      <c r="G1915" t="s">
        <v>114</v>
      </c>
      <c r="H1915" t="s">
        <v>75</v>
      </c>
      <c r="I1915" t="s">
        <v>115</v>
      </c>
      <c r="J1915" t="s">
        <v>57</v>
      </c>
      <c r="K1915" t="s">
        <v>81</v>
      </c>
      <c r="L1915" t="s">
        <v>129</v>
      </c>
      <c r="M1915" s="24">
        <v>3</v>
      </c>
      <c r="N1915" s="25">
        <v>101073.96</v>
      </c>
      <c r="O1915" s="25">
        <f t="shared" si="236"/>
        <v>303221.88</v>
      </c>
      <c r="P1915" s="25">
        <v>69750.33</v>
      </c>
      <c r="Q1915" s="25">
        <f t="shared" si="237"/>
        <v>209250.99</v>
      </c>
      <c r="R1915" s="25">
        <f t="shared" si="238"/>
        <v>93970.890000000014</v>
      </c>
      <c r="S1915" s="26">
        <f t="shared" si="239"/>
        <v>0.3099080119152352</v>
      </c>
    </row>
    <row r="1916" spans="1:19" ht="15" x14ac:dyDescent="0.2">
      <c r="A1916" s="23">
        <v>46158</v>
      </c>
      <c r="B1916">
        <f t="shared" si="232"/>
        <v>2026</v>
      </c>
      <c r="C1916">
        <f t="shared" si="233"/>
        <v>5</v>
      </c>
      <c r="D1916" t="str">
        <f t="shared" si="234"/>
        <v>Mayo</v>
      </c>
      <c r="E1916" t="str">
        <f t="shared" si="235"/>
        <v>T2</v>
      </c>
      <c r="F1916" t="s">
        <v>2043</v>
      </c>
      <c r="G1916" t="s">
        <v>74</v>
      </c>
      <c r="H1916" t="s">
        <v>75</v>
      </c>
      <c r="I1916" t="s">
        <v>76</v>
      </c>
      <c r="J1916" t="s">
        <v>70</v>
      </c>
      <c r="K1916" t="s">
        <v>71</v>
      </c>
      <c r="L1916" t="s">
        <v>72</v>
      </c>
      <c r="M1916" s="24">
        <v>3</v>
      </c>
      <c r="N1916" s="25">
        <v>45249.31</v>
      </c>
      <c r="O1916" s="25">
        <f t="shared" si="236"/>
        <v>135747.93</v>
      </c>
      <c r="P1916" s="25">
        <v>32493.439999999999</v>
      </c>
      <c r="Q1916" s="25">
        <f t="shared" si="237"/>
        <v>97480.319999999992</v>
      </c>
      <c r="R1916" s="25">
        <f t="shared" si="238"/>
        <v>38267.61</v>
      </c>
      <c r="S1916" s="26">
        <f t="shared" si="239"/>
        <v>0.28190197817381085</v>
      </c>
    </row>
    <row r="1917" spans="1:19" ht="15" x14ac:dyDescent="0.2">
      <c r="A1917" s="23">
        <v>46158</v>
      </c>
      <c r="B1917">
        <f t="shared" si="232"/>
        <v>2026</v>
      </c>
      <c r="C1917">
        <f t="shared" si="233"/>
        <v>5</v>
      </c>
      <c r="D1917" t="str">
        <f t="shared" si="234"/>
        <v>Mayo</v>
      </c>
      <c r="E1917" t="str">
        <f t="shared" si="235"/>
        <v>T2</v>
      </c>
      <c r="F1917" t="s">
        <v>2044</v>
      </c>
      <c r="G1917" t="s">
        <v>87</v>
      </c>
      <c r="H1917" t="s">
        <v>88</v>
      </c>
      <c r="I1917" t="s">
        <v>89</v>
      </c>
      <c r="J1917" t="s">
        <v>64</v>
      </c>
      <c r="K1917" t="s">
        <v>96</v>
      </c>
      <c r="L1917" t="s">
        <v>97</v>
      </c>
      <c r="M1917" s="24">
        <v>12</v>
      </c>
      <c r="N1917" s="25">
        <v>58273.77</v>
      </c>
      <c r="O1917" s="25">
        <f t="shared" si="236"/>
        <v>699285.24</v>
      </c>
      <c r="P1917" s="25">
        <v>33908</v>
      </c>
      <c r="Q1917" s="25">
        <f t="shared" si="237"/>
        <v>406896</v>
      </c>
      <c r="R1917" s="25">
        <f t="shared" si="238"/>
        <v>292389.24</v>
      </c>
      <c r="S1917" s="26">
        <f t="shared" si="239"/>
        <v>0.41812585662468721</v>
      </c>
    </row>
    <row r="1918" spans="1:19" ht="15" x14ac:dyDescent="0.2">
      <c r="A1918" s="23">
        <v>46158</v>
      </c>
      <c r="B1918">
        <f t="shared" si="232"/>
        <v>2026</v>
      </c>
      <c r="C1918">
        <f t="shared" si="233"/>
        <v>5</v>
      </c>
      <c r="D1918" t="str">
        <f t="shared" si="234"/>
        <v>Mayo</v>
      </c>
      <c r="E1918" t="str">
        <f t="shared" si="235"/>
        <v>T2</v>
      </c>
      <c r="F1918" t="s">
        <v>2045</v>
      </c>
      <c r="G1918" t="s">
        <v>188</v>
      </c>
      <c r="H1918" t="s">
        <v>88</v>
      </c>
      <c r="I1918" t="s">
        <v>189</v>
      </c>
      <c r="J1918" t="s">
        <v>57</v>
      </c>
      <c r="K1918" t="s">
        <v>81</v>
      </c>
      <c r="L1918" t="s">
        <v>82</v>
      </c>
      <c r="M1918" s="24">
        <v>5</v>
      </c>
      <c r="N1918" s="25">
        <v>79236.58</v>
      </c>
      <c r="O1918" s="25">
        <f t="shared" si="236"/>
        <v>396182.9</v>
      </c>
      <c r="P1918" s="25">
        <v>43380.46</v>
      </c>
      <c r="Q1918" s="25">
        <f t="shared" si="237"/>
        <v>216902.3</v>
      </c>
      <c r="R1918" s="25">
        <f t="shared" si="238"/>
        <v>179280.60000000003</v>
      </c>
      <c r="S1918" s="26">
        <f t="shared" si="239"/>
        <v>0.45251978316075736</v>
      </c>
    </row>
    <row r="1919" spans="1:19" ht="15" x14ac:dyDescent="0.2">
      <c r="A1919" s="23">
        <v>46158</v>
      </c>
      <c r="B1919">
        <f t="shared" si="232"/>
        <v>2026</v>
      </c>
      <c r="C1919">
        <f t="shared" si="233"/>
        <v>5</v>
      </c>
      <c r="D1919" t="str">
        <f t="shared" si="234"/>
        <v>Mayo</v>
      </c>
      <c r="E1919" t="str">
        <f t="shared" si="235"/>
        <v>T2</v>
      </c>
      <c r="F1919" t="s">
        <v>2046</v>
      </c>
      <c r="G1919" t="s">
        <v>149</v>
      </c>
      <c r="H1919" t="s">
        <v>93</v>
      </c>
      <c r="I1919" t="s">
        <v>150</v>
      </c>
      <c r="J1919" t="s">
        <v>77</v>
      </c>
      <c r="K1919" t="s">
        <v>78</v>
      </c>
      <c r="L1919" t="s">
        <v>117</v>
      </c>
      <c r="M1919" s="24">
        <v>3</v>
      </c>
      <c r="N1919" s="25">
        <v>38323.339999999997</v>
      </c>
      <c r="O1919" s="25">
        <f t="shared" si="236"/>
        <v>114970.01999999999</v>
      </c>
      <c r="P1919" s="25">
        <v>21708.36</v>
      </c>
      <c r="Q1919" s="25">
        <f t="shared" si="237"/>
        <v>65125.08</v>
      </c>
      <c r="R1919" s="25">
        <f t="shared" si="238"/>
        <v>49844.939999999988</v>
      </c>
      <c r="S1919" s="26">
        <f t="shared" si="239"/>
        <v>0.43354728476171434</v>
      </c>
    </row>
    <row r="1920" spans="1:19" ht="15" x14ac:dyDescent="0.2">
      <c r="A1920" s="23">
        <v>46159</v>
      </c>
      <c r="B1920">
        <f t="shared" si="232"/>
        <v>2026</v>
      </c>
      <c r="C1920">
        <f t="shared" si="233"/>
        <v>5</v>
      </c>
      <c r="D1920" t="str">
        <f t="shared" si="234"/>
        <v>Mayo</v>
      </c>
      <c r="E1920" t="str">
        <f t="shared" si="235"/>
        <v>T2</v>
      </c>
      <c r="F1920" t="s">
        <v>2047</v>
      </c>
      <c r="G1920" t="s">
        <v>121</v>
      </c>
      <c r="H1920" t="s">
        <v>75</v>
      </c>
      <c r="I1920" t="s">
        <v>122</v>
      </c>
      <c r="J1920" t="s">
        <v>64</v>
      </c>
      <c r="K1920" t="s">
        <v>65</v>
      </c>
      <c r="L1920" t="s">
        <v>66</v>
      </c>
      <c r="M1920" s="24">
        <v>2</v>
      </c>
      <c r="N1920" s="25">
        <v>530505.88</v>
      </c>
      <c r="O1920" s="25">
        <f t="shared" si="236"/>
        <v>1061011.76</v>
      </c>
      <c r="P1920" s="25">
        <v>364857.86</v>
      </c>
      <c r="Q1920" s="25">
        <f t="shared" si="237"/>
        <v>729715.72</v>
      </c>
      <c r="R1920" s="25">
        <f t="shared" si="238"/>
        <v>331296.04000000004</v>
      </c>
      <c r="S1920" s="26">
        <f t="shared" si="239"/>
        <v>0.31224539867494028</v>
      </c>
    </row>
    <row r="1921" spans="1:19" ht="15" x14ac:dyDescent="0.2">
      <c r="A1921" s="23">
        <v>46159</v>
      </c>
      <c r="B1921">
        <f t="shared" si="232"/>
        <v>2026</v>
      </c>
      <c r="C1921">
        <f t="shared" si="233"/>
        <v>5</v>
      </c>
      <c r="D1921" t="str">
        <f t="shared" si="234"/>
        <v>Mayo</v>
      </c>
      <c r="E1921" t="str">
        <f t="shared" si="235"/>
        <v>T2</v>
      </c>
      <c r="F1921" t="s">
        <v>2048</v>
      </c>
      <c r="G1921" t="s">
        <v>114</v>
      </c>
      <c r="H1921" t="s">
        <v>75</v>
      </c>
      <c r="I1921" t="s">
        <v>115</v>
      </c>
      <c r="J1921" t="s">
        <v>77</v>
      </c>
      <c r="K1921" t="s">
        <v>107</v>
      </c>
      <c r="L1921" t="s">
        <v>108</v>
      </c>
      <c r="M1921" s="24">
        <v>4</v>
      </c>
      <c r="N1921" s="25">
        <v>93520.07</v>
      </c>
      <c r="O1921" s="25">
        <f t="shared" si="236"/>
        <v>374080.28</v>
      </c>
      <c r="P1921" s="25">
        <v>59801.27</v>
      </c>
      <c r="Q1921" s="25">
        <f t="shared" si="237"/>
        <v>239205.08</v>
      </c>
      <c r="R1921" s="25">
        <f t="shared" si="238"/>
        <v>134875.20000000004</v>
      </c>
      <c r="S1921" s="26">
        <f t="shared" si="239"/>
        <v>0.36055148376172097</v>
      </c>
    </row>
    <row r="1922" spans="1:19" ht="15" x14ac:dyDescent="0.2">
      <c r="A1922" s="23">
        <v>46159</v>
      </c>
      <c r="B1922">
        <f t="shared" ref="B1922:B1985" si="240">YEAR($A1922)</f>
        <v>2026</v>
      </c>
      <c r="C1922">
        <f t="shared" ref="C1922:C1985" si="241">MONTH($A1922)</f>
        <v>5</v>
      </c>
      <c r="D1922" t="str">
        <f t="shared" ref="D1922:D1985" si="242">INDEX(lst_Meses,MONTH($A1922))</f>
        <v>Mayo</v>
      </c>
      <c r="E1922" t="str">
        <f t="shared" ref="E1922:E1985" si="243">"T"&amp;ROUNDUP(MONTH($A1922)/3,0)</f>
        <v>T2</v>
      </c>
      <c r="F1922" t="s">
        <v>2049</v>
      </c>
      <c r="G1922" t="s">
        <v>100</v>
      </c>
      <c r="H1922" t="s">
        <v>88</v>
      </c>
      <c r="I1922" t="s">
        <v>101</v>
      </c>
      <c r="J1922" t="s">
        <v>70</v>
      </c>
      <c r="K1922" t="s">
        <v>71</v>
      </c>
      <c r="L1922" t="s">
        <v>72</v>
      </c>
      <c r="M1922" s="24">
        <v>2</v>
      </c>
      <c r="N1922" s="25">
        <v>36334.959999999999</v>
      </c>
      <c r="O1922" s="25">
        <f t="shared" ref="O1922:O1985" si="244">$M1922*$N1922</f>
        <v>72669.919999999998</v>
      </c>
      <c r="P1922" s="25">
        <v>22080.3</v>
      </c>
      <c r="Q1922" s="25">
        <f t="shared" ref="Q1922:Q1985" si="245">$M1922*$P1922</f>
        <v>44160.6</v>
      </c>
      <c r="R1922" s="25">
        <f t="shared" ref="R1922:R1985" si="246">$O1922-$Q1922</f>
        <v>28509.32</v>
      </c>
      <c r="S1922" s="26">
        <f t="shared" ref="S1922:S1985" si="247">IFERROR($R1922/$O1922,0)</f>
        <v>0.39231252765931213</v>
      </c>
    </row>
    <row r="1923" spans="1:19" ht="15" x14ac:dyDescent="0.2">
      <c r="A1923" s="23">
        <v>46159</v>
      </c>
      <c r="B1923">
        <f t="shared" si="240"/>
        <v>2026</v>
      </c>
      <c r="C1923">
        <f t="shared" si="241"/>
        <v>5</v>
      </c>
      <c r="D1923" t="str">
        <f t="shared" si="242"/>
        <v>Mayo</v>
      </c>
      <c r="E1923" t="str">
        <f t="shared" si="243"/>
        <v>T2</v>
      </c>
      <c r="F1923" t="s">
        <v>2050</v>
      </c>
      <c r="G1923" t="s">
        <v>92</v>
      </c>
      <c r="H1923" t="s">
        <v>93</v>
      </c>
      <c r="I1923" t="s">
        <v>94</v>
      </c>
      <c r="J1923" t="s">
        <v>70</v>
      </c>
      <c r="K1923" t="s">
        <v>84</v>
      </c>
      <c r="L1923" t="s">
        <v>85</v>
      </c>
      <c r="M1923" s="24">
        <v>11</v>
      </c>
      <c r="N1923" s="25">
        <v>18969.3</v>
      </c>
      <c r="O1923" s="25">
        <f t="shared" si="244"/>
        <v>208662.3</v>
      </c>
      <c r="P1923" s="25">
        <v>11854.95</v>
      </c>
      <c r="Q1923" s="25">
        <f t="shared" si="245"/>
        <v>130404.45000000001</v>
      </c>
      <c r="R1923" s="25">
        <f t="shared" si="246"/>
        <v>78257.849999999977</v>
      </c>
      <c r="S1923" s="26">
        <f t="shared" si="247"/>
        <v>0.37504546820388723</v>
      </c>
    </row>
    <row r="1924" spans="1:19" ht="15" x14ac:dyDescent="0.2">
      <c r="A1924" s="23">
        <v>46160</v>
      </c>
      <c r="B1924">
        <f t="shared" si="240"/>
        <v>2026</v>
      </c>
      <c r="C1924">
        <f t="shared" si="241"/>
        <v>5</v>
      </c>
      <c r="D1924" t="str">
        <f t="shared" si="242"/>
        <v>Mayo</v>
      </c>
      <c r="E1924" t="str">
        <f t="shared" si="243"/>
        <v>T2</v>
      </c>
      <c r="F1924" t="s">
        <v>2051</v>
      </c>
      <c r="G1924" t="s">
        <v>54</v>
      </c>
      <c r="H1924" t="s">
        <v>55</v>
      </c>
      <c r="I1924" t="s">
        <v>56</v>
      </c>
      <c r="J1924" t="s">
        <v>57</v>
      </c>
      <c r="K1924" t="s">
        <v>81</v>
      </c>
      <c r="L1924" t="s">
        <v>129</v>
      </c>
      <c r="M1924" s="24">
        <v>13</v>
      </c>
      <c r="N1924" s="25">
        <v>52302.65</v>
      </c>
      <c r="O1924" s="25">
        <f t="shared" si="244"/>
        <v>679934.45000000007</v>
      </c>
      <c r="P1924" s="25">
        <v>41482.129999999997</v>
      </c>
      <c r="Q1924" s="25">
        <f t="shared" si="245"/>
        <v>539267.68999999994</v>
      </c>
      <c r="R1924" s="25">
        <f t="shared" si="246"/>
        <v>140666.76000000013</v>
      </c>
      <c r="S1924" s="26">
        <f t="shared" si="247"/>
        <v>0.20688282524881643</v>
      </c>
    </row>
    <row r="1925" spans="1:19" ht="15" x14ac:dyDescent="0.2">
      <c r="A1925" s="23">
        <v>46160</v>
      </c>
      <c r="B1925">
        <f t="shared" si="240"/>
        <v>2026</v>
      </c>
      <c r="C1925">
        <f t="shared" si="241"/>
        <v>5</v>
      </c>
      <c r="D1925" t="str">
        <f t="shared" si="242"/>
        <v>Mayo</v>
      </c>
      <c r="E1925" t="str">
        <f t="shared" si="243"/>
        <v>T2</v>
      </c>
      <c r="F1925" t="s">
        <v>2052</v>
      </c>
      <c r="G1925" t="s">
        <v>74</v>
      </c>
      <c r="H1925" t="s">
        <v>75</v>
      </c>
      <c r="I1925" t="s">
        <v>76</v>
      </c>
      <c r="J1925" t="s">
        <v>57</v>
      </c>
      <c r="K1925" t="s">
        <v>58</v>
      </c>
      <c r="L1925" t="s">
        <v>59</v>
      </c>
      <c r="M1925" s="24">
        <v>10</v>
      </c>
      <c r="N1925" s="25">
        <v>40988.239999999998</v>
      </c>
      <c r="O1925" s="25">
        <f t="shared" si="244"/>
        <v>409882.39999999997</v>
      </c>
      <c r="P1925" s="25">
        <v>28649.79</v>
      </c>
      <c r="Q1925" s="25">
        <f t="shared" si="245"/>
        <v>286497.90000000002</v>
      </c>
      <c r="R1925" s="25">
        <f t="shared" si="246"/>
        <v>123384.49999999994</v>
      </c>
      <c r="S1925" s="26">
        <f t="shared" si="247"/>
        <v>0.30102414741398986</v>
      </c>
    </row>
    <row r="1926" spans="1:19" ht="15" x14ac:dyDescent="0.2">
      <c r="A1926" s="23">
        <v>46160</v>
      </c>
      <c r="B1926">
        <f t="shared" si="240"/>
        <v>2026</v>
      </c>
      <c r="C1926">
        <f t="shared" si="241"/>
        <v>5</v>
      </c>
      <c r="D1926" t="str">
        <f t="shared" si="242"/>
        <v>Mayo</v>
      </c>
      <c r="E1926" t="str">
        <f t="shared" si="243"/>
        <v>T2</v>
      </c>
      <c r="F1926" t="s">
        <v>2053</v>
      </c>
      <c r="G1926" t="s">
        <v>87</v>
      </c>
      <c r="H1926" t="s">
        <v>88</v>
      </c>
      <c r="I1926" t="s">
        <v>89</v>
      </c>
      <c r="J1926" t="s">
        <v>57</v>
      </c>
      <c r="K1926" t="s">
        <v>58</v>
      </c>
      <c r="L1926" t="s">
        <v>162</v>
      </c>
      <c r="M1926" s="24">
        <v>3</v>
      </c>
      <c r="N1926" s="25">
        <v>57683.98</v>
      </c>
      <c r="O1926" s="25">
        <f t="shared" si="244"/>
        <v>173051.94</v>
      </c>
      <c r="P1926" s="25">
        <v>32970.589999999997</v>
      </c>
      <c r="Q1926" s="25">
        <f t="shared" si="245"/>
        <v>98911.76999999999</v>
      </c>
      <c r="R1926" s="25">
        <f t="shared" si="246"/>
        <v>74140.170000000013</v>
      </c>
      <c r="S1926" s="26">
        <f t="shared" si="247"/>
        <v>0.42842726871481485</v>
      </c>
    </row>
    <row r="1927" spans="1:19" ht="15" x14ac:dyDescent="0.2">
      <c r="A1927" s="23">
        <v>46160</v>
      </c>
      <c r="B1927">
        <f t="shared" si="240"/>
        <v>2026</v>
      </c>
      <c r="C1927">
        <f t="shared" si="241"/>
        <v>5</v>
      </c>
      <c r="D1927" t="str">
        <f t="shared" si="242"/>
        <v>Mayo</v>
      </c>
      <c r="E1927" t="str">
        <f t="shared" si="243"/>
        <v>T2</v>
      </c>
      <c r="F1927" t="s">
        <v>2054</v>
      </c>
      <c r="G1927" t="s">
        <v>149</v>
      </c>
      <c r="H1927" t="s">
        <v>93</v>
      </c>
      <c r="I1927" t="s">
        <v>150</v>
      </c>
      <c r="J1927" t="s">
        <v>125</v>
      </c>
      <c r="K1927" t="s">
        <v>126</v>
      </c>
      <c r="L1927" t="s">
        <v>127</v>
      </c>
      <c r="M1927" s="24">
        <v>3</v>
      </c>
      <c r="N1927" s="25">
        <v>39597.54</v>
      </c>
      <c r="O1927" s="25">
        <f t="shared" si="244"/>
        <v>118792.62</v>
      </c>
      <c r="P1927" s="25">
        <v>22703.78</v>
      </c>
      <c r="Q1927" s="25">
        <f t="shared" si="245"/>
        <v>68111.34</v>
      </c>
      <c r="R1927" s="25">
        <f t="shared" si="246"/>
        <v>50681.279999999999</v>
      </c>
      <c r="S1927" s="26">
        <f t="shared" si="247"/>
        <v>0.42663660419308874</v>
      </c>
    </row>
    <row r="1928" spans="1:19" ht="15" x14ac:dyDescent="0.2">
      <c r="A1928" s="23">
        <v>46160</v>
      </c>
      <c r="B1928">
        <f t="shared" si="240"/>
        <v>2026</v>
      </c>
      <c r="C1928">
        <f t="shared" si="241"/>
        <v>5</v>
      </c>
      <c r="D1928" t="str">
        <f t="shared" si="242"/>
        <v>Mayo</v>
      </c>
      <c r="E1928" t="str">
        <f t="shared" si="243"/>
        <v>T2</v>
      </c>
      <c r="F1928" t="s">
        <v>2055</v>
      </c>
      <c r="G1928" t="s">
        <v>92</v>
      </c>
      <c r="H1928" t="s">
        <v>93</v>
      </c>
      <c r="I1928" t="s">
        <v>94</v>
      </c>
      <c r="J1928" t="s">
        <v>70</v>
      </c>
      <c r="K1928" t="s">
        <v>71</v>
      </c>
      <c r="L1928" t="s">
        <v>90</v>
      </c>
      <c r="M1928" s="24">
        <v>3</v>
      </c>
      <c r="N1928" s="25">
        <v>20853.48</v>
      </c>
      <c r="O1928" s="25">
        <f t="shared" si="244"/>
        <v>62560.44</v>
      </c>
      <c r="P1928" s="25">
        <v>12993.04</v>
      </c>
      <c r="Q1928" s="25">
        <f t="shared" si="245"/>
        <v>38979.120000000003</v>
      </c>
      <c r="R1928" s="25">
        <f t="shared" si="246"/>
        <v>23581.32</v>
      </c>
      <c r="S1928" s="26">
        <f t="shared" si="247"/>
        <v>0.37693660722335071</v>
      </c>
    </row>
    <row r="1929" spans="1:19" ht="15" x14ac:dyDescent="0.2">
      <c r="A1929" s="23">
        <v>46161</v>
      </c>
      <c r="B1929">
        <f t="shared" si="240"/>
        <v>2026</v>
      </c>
      <c r="C1929">
        <f t="shared" si="241"/>
        <v>5</v>
      </c>
      <c r="D1929" t="str">
        <f t="shared" si="242"/>
        <v>Mayo</v>
      </c>
      <c r="E1929" t="str">
        <f t="shared" si="243"/>
        <v>T2</v>
      </c>
      <c r="F1929" t="s">
        <v>2056</v>
      </c>
      <c r="G1929" t="s">
        <v>54</v>
      </c>
      <c r="H1929" t="s">
        <v>55</v>
      </c>
      <c r="I1929" t="s">
        <v>56</v>
      </c>
      <c r="J1929" t="s">
        <v>70</v>
      </c>
      <c r="K1929" t="s">
        <v>71</v>
      </c>
      <c r="L1929" t="s">
        <v>90</v>
      </c>
      <c r="M1929" s="24">
        <v>8</v>
      </c>
      <c r="N1929" s="25">
        <v>47619.07</v>
      </c>
      <c r="O1929" s="25">
        <f t="shared" si="244"/>
        <v>380952.56</v>
      </c>
      <c r="P1929" s="25">
        <v>39772.31</v>
      </c>
      <c r="Q1929" s="25">
        <f t="shared" si="245"/>
        <v>318178.48</v>
      </c>
      <c r="R1929" s="25">
        <f t="shared" si="246"/>
        <v>62774.080000000016</v>
      </c>
      <c r="S1929" s="26">
        <f t="shared" si="247"/>
        <v>0.16478188255251525</v>
      </c>
    </row>
    <row r="1930" spans="1:19" ht="15" x14ac:dyDescent="0.2">
      <c r="A1930" s="23">
        <v>46161</v>
      </c>
      <c r="B1930">
        <f t="shared" si="240"/>
        <v>2026</v>
      </c>
      <c r="C1930">
        <f t="shared" si="241"/>
        <v>5</v>
      </c>
      <c r="D1930" t="str">
        <f t="shared" si="242"/>
        <v>Mayo</v>
      </c>
      <c r="E1930" t="str">
        <f t="shared" si="243"/>
        <v>T2</v>
      </c>
      <c r="F1930" t="s">
        <v>2057</v>
      </c>
      <c r="G1930" t="s">
        <v>149</v>
      </c>
      <c r="H1930" t="s">
        <v>93</v>
      </c>
      <c r="I1930" t="s">
        <v>150</v>
      </c>
      <c r="J1930" t="s">
        <v>57</v>
      </c>
      <c r="K1930" t="s">
        <v>58</v>
      </c>
      <c r="L1930" t="s">
        <v>59</v>
      </c>
      <c r="M1930" s="24">
        <v>3</v>
      </c>
      <c r="N1930" s="25">
        <v>49509.37</v>
      </c>
      <c r="O1930" s="25">
        <f t="shared" si="244"/>
        <v>148528.11000000002</v>
      </c>
      <c r="P1930" s="25">
        <v>28384.11</v>
      </c>
      <c r="Q1930" s="25">
        <f t="shared" si="245"/>
        <v>85152.33</v>
      </c>
      <c r="R1930" s="25">
        <f t="shared" si="246"/>
        <v>63375.780000000013</v>
      </c>
      <c r="S1930" s="26">
        <f t="shared" si="247"/>
        <v>0.42669215948415423</v>
      </c>
    </row>
    <row r="1931" spans="1:19" ht="15" x14ac:dyDescent="0.2">
      <c r="A1931" s="23">
        <v>46162</v>
      </c>
      <c r="B1931">
        <f t="shared" si="240"/>
        <v>2026</v>
      </c>
      <c r="C1931">
        <f t="shared" si="241"/>
        <v>5</v>
      </c>
      <c r="D1931" t="str">
        <f t="shared" si="242"/>
        <v>Mayo</v>
      </c>
      <c r="E1931" t="str">
        <f t="shared" si="243"/>
        <v>T2</v>
      </c>
      <c r="F1931" t="s">
        <v>2058</v>
      </c>
      <c r="G1931" t="s">
        <v>183</v>
      </c>
      <c r="H1931" t="s">
        <v>55</v>
      </c>
      <c r="I1931" t="s">
        <v>184</v>
      </c>
      <c r="J1931" t="s">
        <v>77</v>
      </c>
      <c r="K1931" t="s">
        <v>107</v>
      </c>
      <c r="L1931" t="s">
        <v>112</v>
      </c>
      <c r="M1931" s="24">
        <v>4</v>
      </c>
      <c r="N1931" s="25">
        <v>416596.15</v>
      </c>
      <c r="O1931" s="25">
        <f t="shared" si="244"/>
        <v>1666384.6</v>
      </c>
      <c r="P1931" s="25">
        <v>312307.52</v>
      </c>
      <c r="Q1931" s="25">
        <f t="shared" si="245"/>
        <v>1249230.08</v>
      </c>
      <c r="R1931" s="25">
        <f t="shared" si="246"/>
        <v>417154.52</v>
      </c>
      <c r="S1931" s="26">
        <f t="shared" si="247"/>
        <v>0.25033507870872068</v>
      </c>
    </row>
    <row r="1932" spans="1:19" ht="15" x14ac:dyDescent="0.2">
      <c r="A1932" s="23">
        <v>46162</v>
      </c>
      <c r="B1932">
        <f t="shared" si="240"/>
        <v>2026</v>
      </c>
      <c r="C1932">
        <f t="shared" si="241"/>
        <v>5</v>
      </c>
      <c r="D1932" t="str">
        <f t="shared" si="242"/>
        <v>Mayo</v>
      </c>
      <c r="E1932" t="str">
        <f t="shared" si="243"/>
        <v>T2</v>
      </c>
      <c r="F1932" t="s">
        <v>2059</v>
      </c>
      <c r="G1932" t="s">
        <v>183</v>
      </c>
      <c r="H1932" t="s">
        <v>55</v>
      </c>
      <c r="I1932" t="s">
        <v>184</v>
      </c>
      <c r="J1932" t="s">
        <v>77</v>
      </c>
      <c r="K1932" t="s">
        <v>78</v>
      </c>
      <c r="L1932" t="s">
        <v>79</v>
      </c>
      <c r="M1932" s="24">
        <v>2</v>
      </c>
      <c r="N1932" s="25">
        <v>378101.07</v>
      </c>
      <c r="O1932" s="25">
        <f t="shared" si="244"/>
        <v>756202.14</v>
      </c>
      <c r="P1932" s="25">
        <v>290766.55</v>
      </c>
      <c r="Q1932" s="25">
        <f t="shared" si="245"/>
        <v>581533.1</v>
      </c>
      <c r="R1932" s="25">
        <f t="shared" si="246"/>
        <v>174669.04000000004</v>
      </c>
      <c r="S1932" s="26">
        <f t="shared" si="247"/>
        <v>0.23098194353165946</v>
      </c>
    </row>
    <row r="1933" spans="1:19" ht="15" x14ac:dyDescent="0.2">
      <c r="A1933" s="23">
        <v>46162</v>
      </c>
      <c r="B1933">
        <f t="shared" si="240"/>
        <v>2026</v>
      </c>
      <c r="C1933">
        <f t="shared" si="241"/>
        <v>5</v>
      </c>
      <c r="D1933" t="str">
        <f t="shared" si="242"/>
        <v>Mayo</v>
      </c>
      <c r="E1933" t="str">
        <f t="shared" si="243"/>
        <v>T2</v>
      </c>
      <c r="F1933" t="s">
        <v>2060</v>
      </c>
      <c r="G1933" t="s">
        <v>54</v>
      </c>
      <c r="H1933" t="s">
        <v>55</v>
      </c>
      <c r="I1933" t="s">
        <v>56</v>
      </c>
      <c r="J1933" t="s">
        <v>57</v>
      </c>
      <c r="K1933" t="s">
        <v>81</v>
      </c>
      <c r="L1933" t="s">
        <v>129</v>
      </c>
      <c r="M1933" s="24">
        <v>26</v>
      </c>
      <c r="N1933" s="25">
        <v>53010.64</v>
      </c>
      <c r="O1933" s="25">
        <f t="shared" si="244"/>
        <v>1378276.64</v>
      </c>
      <c r="P1933" s="25">
        <v>41895.03</v>
      </c>
      <c r="Q1933" s="25">
        <f t="shared" si="245"/>
        <v>1089270.78</v>
      </c>
      <c r="R1933" s="25">
        <f t="shared" si="246"/>
        <v>289005.85999999987</v>
      </c>
      <c r="S1933" s="26">
        <f t="shared" si="247"/>
        <v>0.20968639503314798</v>
      </c>
    </row>
    <row r="1934" spans="1:19" ht="15" x14ac:dyDescent="0.2">
      <c r="A1934" s="23">
        <v>46162</v>
      </c>
      <c r="B1934">
        <f t="shared" si="240"/>
        <v>2026</v>
      </c>
      <c r="C1934">
        <f t="shared" si="241"/>
        <v>5</v>
      </c>
      <c r="D1934" t="str">
        <f t="shared" si="242"/>
        <v>Mayo</v>
      </c>
      <c r="E1934" t="str">
        <f t="shared" si="243"/>
        <v>T2</v>
      </c>
      <c r="F1934" t="s">
        <v>2061</v>
      </c>
      <c r="G1934" t="s">
        <v>110</v>
      </c>
      <c r="H1934" t="s">
        <v>62</v>
      </c>
      <c r="I1934" t="s">
        <v>69</v>
      </c>
      <c r="J1934" t="s">
        <v>64</v>
      </c>
      <c r="K1934" t="s">
        <v>65</v>
      </c>
      <c r="L1934" t="s">
        <v>123</v>
      </c>
      <c r="M1934" s="24">
        <v>55</v>
      </c>
      <c r="N1934" s="25">
        <v>6463.96</v>
      </c>
      <c r="O1934" s="25">
        <f t="shared" si="244"/>
        <v>355517.8</v>
      </c>
      <c r="P1934" s="25">
        <v>5362.2</v>
      </c>
      <c r="Q1934" s="25">
        <f t="shared" si="245"/>
        <v>294921</v>
      </c>
      <c r="R1934" s="25">
        <f t="shared" si="246"/>
        <v>60596.799999999988</v>
      </c>
      <c r="S1934" s="26">
        <f t="shared" si="247"/>
        <v>0.17044659929826295</v>
      </c>
    </row>
    <row r="1935" spans="1:19" ht="15" x14ac:dyDescent="0.2">
      <c r="A1935" s="23">
        <v>46162</v>
      </c>
      <c r="B1935">
        <f t="shared" si="240"/>
        <v>2026</v>
      </c>
      <c r="C1935">
        <f t="shared" si="241"/>
        <v>5</v>
      </c>
      <c r="D1935" t="str">
        <f t="shared" si="242"/>
        <v>Mayo</v>
      </c>
      <c r="E1935" t="str">
        <f t="shared" si="243"/>
        <v>T2</v>
      </c>
      <c r="F1935" t="s">
        <v>2062</v>
      </c>
      <c r="G1935" t="s">
        <v>61</v>
      </c>
      <c r="H1935" t="s">
        <v>62</v>
      </c>
      <c r="I1935" t="s">
        <v>63</v>
      </c>
      <c r="J1935" t="s">
        <v>64</v>
      </c>
      <c r="K1935" t="s">
        <v>65</v>
      </c>
      <c r="L1935" t="s">
        <v>123</v>
      </c>
      <c r="M1935" s="24">
        <v>143</v>
      </c>
      <c r="N1935" s="25">
        <v>5798.82</v>
      </c>
      <c r="O1935" s="25">
        <f t="shared" si="244"/>
        <v>829231.26</v>
      </c>
      <c r="P1935" s="25">
        <v>4806.25</v>
      </c>
      <c r="Q1935" s="25">
        <f t="shared" si="245"/>
        <v>687293.75</v>
      </c>
      <c r="R1935" s="25">
        <f t="shared" si="246"/>
        <v>141937.51</v>
      </c>
      <c r="S1935" s="26">
        <f t="shared" si="247"/>
        <v>0.17116758237020635</v>
      </c>
    </row>
    <row r="1936" spans="1:19" ht="15" x14ac:dyDescent="0.2">
      <c r="A1936" s="23">
        <v>46162</v>
      </c>
      <c r="B1936">
        <f t="shared" si="240"/>
        <v>2026</v>
      </c>
      <c r="C1936">
        <f t="shared" si="241"/>
        <v>5</v>
      </c>
      <c r="D1936" t="str">
        <f t="shared" si="242"/>
        <v>Mayo</v>
      </c>
      <c r="E1936" t="str">
        <f t="shared" si="243"/>
        <v>T2</v>
      </c>
      <c r="F1936" t="s">
        <v>2063</v>
      </c>
      <c r="G1936" t="s">
        <v>68</v>
      </c>
      <c r="H1936" t="s">
        <v>62</v>
      </c>
      <c r="I1936" t="s">
        <v>69</v>
      </c>
      <c r="J1936" t="s">
        <v>125</v>
      </c>
      <c r="K1936" t="s">
        <v>126</v>
      </c>
      <c r="L1936" t="s">
        <v>127</v>
      </c>
      <c r="M1936" s="24">
        <v>78</v>
      </c>
      <c r="N1936" s="25">
        <v>3160.84</v>
      </c>
      <c r="O1936" s="25">
        <f t="shared" si="244"/>
        <v>246545.52000000002</v>
      </c>
      <c r="P1936" s="25">
        <v>2592.89</v>
      </c>
      <c r="Q1936" s="25">
        <f t="shared" si="245"/>
        <v>202245.41999999998</v>
      </c>
      <c r="R1936" s="25">
        <f t="shared" si="246"/>
        <v>44300.100000000035</v>
      </c>
      <c r="S1936" s="26">
        <f t="shared" si="247"/>
        <v>0.17968324875665975</v>
      </c>
    </row>
    <row r="1937" spans="1:19" ht="15" x14ac:dyDescent="0.2">
      <c r="A1937" s="23">
        <v>46162</v>
      </c>
      <c r="B1937">
        <f t="shared" si="240"/>
        <v>2026</v>
      </c>
      <c r="C1937">
        <f t="shared" si="241"/>
        <v>5</v>
      </c>
      <c r="D1937" t="str">
        <f t="shared" si="242"/>
        <v>Mayo</v>
      </c>
      <c r="E1937" t="str">
        <f t="shared" si="243"/>
        <v>T2</v>
      </c>
      <c r="F1937" t="s">
        <v>2064</v>
      </c>
      <c r="G1937" t="s">
        <v>144</v>
      </c>
      <c r="H1937" t="s">
        <v>88</v>
      </c>
      <c r="I1937" t="s">
        <v>145</v>
      </c>
      <c r="J1937" t="s">
        <v>70</v>
      </c>
      <c r="K1937" t="s">
        <v>71</v>
      </c>
      <c r="L1937" t="s">
        <v>72</v>
      </c>
      <c r="M1937" s="24">
        <v>9</v>
      </c>
      <c r="N1937" s="25">
        <v>11965.57</v>
      </c>
      <c r="O1937" s="25">
        <f t="shared" si="244"/>
        <v>107690.13</v>
      </c>
      <c r="P1937" s="25">
        <v>7175.99</v>
      </c>
      <c r="Q1937" s="25">
        <f t="shared" si="245"/>
        <v>64583.909999999996</v>
      </c>
      <c r="R1937" s="25">
        <f t="shared" si="246"/>
        <v>43106.220000000008</v>
      </c>
      <c r="S1937" s="26">
        <f t="shared" si="247"/>
        <v>0.4002801370933437</v>
      </c>
    </row>
    <row r="1938" spans="1:19" ht="15" x14ac:dyDescent="0.2">
      <c r="A1938" s="23">
        <v>46162</v>
      </c>
      <c r="B1938">
        <f t="shared" si="240"/>
        <v>2026</v>
      </c>
      <c r="C1938">
        <f t="shared" si="241"/>
        <v>5</v>
      </c>
      <c r="D1938" t="str">
        <f t="shared" si="242"/>
        <v>Mayo</v>
      </c>
      <c r="E1938" t="str">
        <f t="shared" si="243"/>
        <v>T2</v>
      </c>
      <c r="F1938" t="s">
        <v>2065</v>
      </c>
      <c r="G1938" t="s">
        <v>149</v>
      </c>
      <c r="H1938" t="s">
        <v>93</v>
      </c>
      <c r="I1938" t="s">
        <v>150</v>
      </c>
      <c r="J1938" t="s">
        <v>77</v>
      </c>
      <c r="K1938" t="s">
        <v>78</v>
      </c>
      <c r="L1938" t="s">
        <v>117</v>
      </c>
      <c r="M1938" s="24">
        <v>5</v>
      </c>
      <c r="N1938" s="25">
        <v>44964.18</v>
      </c>
      <c r="O1938" s="25">
        <f t="shared" si="244"/>
        <v>224820.9</v>
      </c>
      <c r="P1938" s="25">
        <v>24827.75</v>
      </c>
      <c r="Q1938" s="25">
        <f t="shared" si="245"/>
        <v>124138.75</v>
      </c>
      <c r="R1938" s="25">
        <f t="shared" si="246"/>
        <v>100682.15</v>
      </c>
      <c r="S1938" s="26">
        <f t="shared" si="247"/>
        <v>0.44783269704907325</v>
      </c>
    </row>
    <row r="1939" spans="1:19" ht="15" x14ac:dyDescent="0.2">
      <c r="A1939" s="23">
        <v>46163</v>
      </c>
      <c r="B1939">
        <f t="shared" si="240"/>
        <v>2026</v>
      </c>
      <c r="C1939">
        <f t="shared" si="241"/>
        <v>5</v>
      </c>
      <c r="D1939" t="str">
        <f t="shared" si="242"/>
        <v>Mayo</v>
      </c>
      <c r="E1939" t="str">
        <f t="shared" si="243"/>
        <v>T2</v>
      </c>
      <c r="F1939" t="s">
        <v>2066</v>
      </c>
      <c r="G1939" t="s">
        <v>68</v>
      </c>
      <c r="H1939" t="s">
        <v>62</v>
      </c>
      <c r="I1939" t="s">
        <v>69</v>
      </c>
      <c r="J1939" t="s">
        <v>77</v>
      </c>
      <c r="K1939" t="s">
        <v>107</v>
      </c>
      <c r="L1939" t="s">
        <v>108</v>
      </c>
      <c r="M1939" s="24">
        <v>132</v>
      </c>
      <c r="N1939" s="25">
        <v>3327.17</v>
      </c>
      <c r="O1939" s="25">
        <f t="shared" si="244"/>
        <v>439186.44</v>
      </c>
      <c r="P1939" s="25">
        <v>2594.69</v>
      </c>
      <c r="Q1939" s="25">
        <f t="shared" si="245"/>
        <v>342499.08</v>
      </c>
      <c r="R1939" s="25">
        <f t="shared" si="246"/>
        <v>96687.359999999986</v>
      </c>
      <c r="S1939" s="26">
        <f t="shared" si="247"/>
        <v>0.22015105930866169</v>
      </c>
    </row>
    <row r="1940" spans="1:19" ht="15" x14ac:dyDescent="0.2">
      <c r="A1940" s="23">
        <v>46163</v>
      </c>
      <c r="B1940">
        <f t="shared" si="240"/>
        <v>2026</v>
      </c>
      <c r="C1940">
        <f t="shared" si="241"/>
        <v>5</v>
      </c>
      <c r="D1940" t="str">
        <f t="shared" si="242"/>
        <v>Mayo</v>
      </c>
      <c r="E1940" t="str">
        <f t="shared" si="243"/>
        <v>T2</v>
      </c>
      <c r="F1940" t="s">
        <v>2067</v>
      </c>
      <c r="G1940" t="s">
        <v>114</v>
      </c>
      <c r="H1940" t="s">
        <v>75</v>
      </c>
      <c r="I1940" t="s">
        <v>115</v>
      </c>
      <c r="J1940" t="s">
        <v>64</v>
      </c>
      <c r="K1940" t="s">
        <v>96</v>
      </c>
      <c r="L1940" t="s">
        <v>97</v>
      </c>
      <c r="M1940" s="24">
        <v>5</v>
      </c>
      <c r="N1940" s="25">
        <v>88695.05</v>
      </c>
      <c r="O1940" s="25">
        <f t="shared" si="244"/>
        <v>443475.25</v>
      </c>
      <c r="P1940" s="25">
        <v>61994.47</v>
      </c>
      <c r="Q1940" s="25">
        <f t="shared" si="245"/>
        <v>309972.34999999998</v>
      </c>
      <c r="R1940" s="25">
        <f t="shared" si="246"/>
        <v>133502.90000000002</v>
      </c>
      <c r="S1940" s="26">
        <f t="shared" si="247"/>
        <v>0.30103799479226862</v>
      </c>
    </row>
    <row r="1941" spans="1:19" ht="15" x14ac:dyDescent="0.2">
      <c r="A1941" s="23">
        <v>46163</v>
      </c>
      <c r="B1941">
        <f t="shared" si="240"/>
        <v>2026</v>
      </c>
      <c r="C1941">
        <f t="shared" si="241"/>
        <v>5</v>
      </c>
      <c r="D1941" t="str">
        <f t="shared" si="242"/>
        <v>Mayo</v>
      </c>
      <c r="E1941" t="str">
        <f t="shared" si="243"/>
        <v>T2</v>
      </c>
      <c r="F1941" t="s">
        <v>2068</v>
      </c>
      <c r="G1941" t="s">
        <v>74</v>
      </c>
      <c r="H1941" t="s">
        <v>75</v>
      </c>
      <c r="I1941" t="s">
        <v>76</v>
      </c>
      <c r="J1941" t="s">
        <v>77</v>
      </c>
      <c r="K1941" t="s">
        <v>78</v>
      </c>
      <c r="L1941" t="s">
        <v>117</v>
      </c>
      <c r="M1941" s="24">
        <v>10</v>
      </c>
      <c r="N1941" s="25">
        <v>44264.32</v>
      </c>
      <c r="O1941" s="25">
        <f t="shared" si="244"/>
        <v>442643.20000000001</v>
      </c>
      <c r="P1941" s="25">
        <v>29340.2</v>
      </c>
      <c r="Q1941" s="25">
        <f t="shared" si="245"/>
        <v>293402</v>
      </c>
      <c r="R1941" s="25">
        <f t="shared" si="246"/>
        <v>149241.20000000001</v>
      </c>
      <c r="S1941" s="26">
        <f t="shared" si="247"/>
        <v>0.33715913855674279</v>
      </c>
    </row>
    <row r="1942" spans="1:19" ht="15" x14ac:dyDescent="0.2">
      <c r="A1942" s="23">
        <v>46164</v>
      </c>
      <c r="B1942">
        <f t="shared" si="240"/>
        <v>2026</v>
      </c>
      <c r="C1942">
        <f t="shared" si="241"/>
        <v>5</v>
      </c>
      <c r="D1942" t="str">
        <f t="shared" si="242"/>
        <v>Mayo</v>
      </c>
      <c r="E1942" t="str">
        <f t="shared" si="243"/>
        <v>T2</v>
      </c>
      <c r="F1942" t="s">
        <v>2069</v>
      </c>
      <c r="G1942" t="s">
        <v>68</v>
      </c>
      <c r="H1942" t="s">
        <v>62</v>
      </c>
      <c r="I1942" t="s">
        <v>69</v>
      </c>
      <c r="J1942" t="s">
        <v>64</v>
      </c>
      <c r="K1942" t="s">
        <v>65</v>
      </c>
      <c r="L1942" t="s">
        <v>123</v>
      </c>
      <c r="M1942" s="24">
        <v>425</v>
      </c>
      <c r="N1942" s="25">
        <v>3123.71</v>
      </c>
      <c r="O1942" s="25">
        <f t="shared" si="244"/>
        <v>1327576.75</v>
      </c>
      <c r="P1942" s="25">
        <v>2599.4</v>
      </c>
      <c r="Q1942" s="25">
        <f t="shared" si="245"/>
        <v>1104745</v>
      </c>
      <c r="R1942" s="25">
        <f t="shared" si="246"/>
        <v>222831.75</v>
      </c>
      <c r="S1942" s="26">
        <f t="shared" si="247"/>
        <v>0.16784848785578688</v>
      </c>
    </row>
    <row r="1943" spans="1:19" ht="15" x14ac:dyDescent="0.2">
      <c r="A1943" s="23">
        <v>46164</v>
      </c>
      <c r="B1943">
        <f t="shared" si="240"/>
        <v>2026</v>
      </c>
      <c r="C1943">
        <f t="shared" si="241"/>
        <v>5</v>
      </c>
      <c r="D1943" t="str">
        <f t="shared" si="242"/>
        <v>Mayo</v>
      </c>
      <c r="E1943" t="str">
        <f t="shared" si="243"/>
        <v>T2</v>
      </c>
      <c r="F1943" t="s">
        <v>2070</v>
      </c>
      <c r="G1943" t="s">
        <v>68</v>
      </c>
      <c r="H1943" t="s">
        <v>62</v>
      </c>
      <c r="I1943" t="s">
        <v>69</v>
      </c>
      <c r="J1943" t="s">
        <v>70</v>
      </c>
      <c r="K1943" t="s">
        <v>71</v>
      </c>
      <c r="L1943" t="s">
        <v>90</v>
      </c>
      <c r="M1943" s="24">
        <v>74</v>
      </c>
      <c r="N1943" s="25">
        <v>3016.99</v>
      </c>
      <c r="O1943" s="25">
        <f t="shared" si="244"/>
        <v>223257.25999999998</v>
      </c>
      <c r="P1943" s="25">
        <v>2587.14</v>
      </c>
      <c r="Q1943" s="25">
        <f t="shared" si="245"/>
        <v>191448.36</v>
      </c>
      <c r="R1943" s="25">
        <f t="shared" si="246"/>
        <v>31808.899999999994</v>
      </c>
      <c r="S1943" s="26">
        <f t="shared" si="247"/>
        <v>0.14247644175154706</v>
      </c>
    </row>
    <row r="1944" spans="1:19" ht="15" x14ac:dyDescent="0.2">
      <c r="A1944" s="23">
        <v>46164</v>
      </c>
      <c r="B1944">
        <f t="shared" si="240"/>
        <v>2026</v>
      </c>
      <c r="C1944">
        <f t="shared" si="241"/>
        <v>5</v>
      </c>
      <c r="D1944" t="str">
        <f t="shared" si="242"/>
        <v>Mayo</v>
      </c>
      <c r="E1944" t="str">
        <f t="shared" si="243"/>
        <v>T2</v>
      </c>
      <c r="F1944" t="s">
        <v>2071</v>
      </c>
      <c r="G1944" t="s">
        <v>74</v>
      </c>
      <c r="H1944" t="s">
        <v>75</v>
      </c>
      <c r="I1944" t="s">
        <v>76</v>
      </c>
      <c r="J1944" t="s">
        <v>64</v>
      </c>
      <c r="K1944" t="s">
        <v>65</v>
      </c>
      <c r="L1944" t="s">
        <v>123</v>
      </c>
      <c r="M1944" s="24">
        <v>1</v>
      </c>
      <c r="N1944" s="25">
        <v>20113.349999999999</v>
      </c>
      <c r="O1944" s="25">
        <f t="shared" si="244"/>
        <v>20113.349999999999</v>
      </c>
      <c r="P1944" s="25">
        <v>13939.81</v>
      </c>
      <c r="Q1944" s="25">
        <f t="shared" si="245"/>
        <v>13939.81</v>
      </c>
      <c r="R1944" s="25">
        <f t="shared" si="246"/>
        <v>6173.5399999999991</v>
      </c>
      <c r="S1944" s="26">
        <f t="shared" si="247"/>
        <v>0.30693743210355307</v>
      </c>
    </row>
    <row r="1945" spans="1:19" ht="15" x14ac:dyDescent="0.2">
      <c r="A1945" s="23">
        <v>46164</v>
      </c>
      <c r="B1945">
        <f t="shared" si="240"/>
        <v>2026</v>
      </c>
      <c r="C1945">
        <f t="shared" si="241"/>
        <v>5</v>
      </c>
      <c r="D1945" t="str">
        <f t="shared" si="242"/>
        <v>Mayo</v>
      </c>
      <c r="E1945" t="str">
        <f t="shared" si="243"/>
        <v>T2</v>
      </c>
      <c r="F1945" t="s">
        <v>2072</v>
      </c>
      <c r="G1945" t="s">
        <v>74</v>
      </c>
      <c r="H1945" t="s">
        <v>75</v>
      </c>
      <c r="I1945" t="s">
        <v>76</v>
      </c>
      <c r="J1945" t="s">
        <v>77</v>
      </c>
      <c r="K1945" t="s">
        <v>107</v>
      </c>
      <c r="L1945" t="s">
        <v>108</v>
      </c>
      <c r="M1945" s="24">
        <v>8</v>
      </c>
      <c r="N1945" s="25">
        <v>42909.07</v>
      </c>
      <c r="O1945" s="25">
        <f t="shared" si="244"/>
        <v>343272.56</v>
      </c>
      <c r="P1945" s="25">
        <v>27451.360000000001</v>
      </c>
      <c r="Q1945" s="25">
        <f t="shared" si="245"/>
        <v>219610.88</v>
      </c>
      <c r="R1945" s="25">
        <f t="shared" si="246"/>
        <v>123661.68</v>
      </c>
      <c r="S1945" s="26">
        <f t="shared" si="247"/>
        <v>0.36024341706776675</v>
      </c>
    </row>
    <row r="1946" spans="1:19" ht="15" x14ac:dyDescent="0.2">
      <c r="A1946" s="23">
        <v>46164</v>
      </c>
      <c r="B1946">
        <f t="shared" si="240"/>
        <v>2026</v>
      </c>
      <c r="C1946">
        <f t="shared" si="241"/>
        <v>5</v>
      </c>
      <c r="D1946" t="str">
        <f t="shared" si="242"/>
        <v>Mayo</v>
      </c>
      <c r="E1946" t="str">
        <f t="shared" si="243"/>
        <v>T2</v>
      </c>
      <c r="F1946" t="s">
        <v>2073</v>
      </c>
      <c r="G1946" t="s">
        <v>100</v>
      </c>
      <c r="H1946" t="s">
        <v>88</v>
      </c>
      <c r="I1946" t="s">
        <v>101</v>
      </c>
      <c r="J1946" t="s">
        <v>125</v>
      </c>
      <c r="K1946" t="s">
        <v>126</v>
      </c>
      <c r="L1946" t="s">
        <v>131</v>
      </c>
      <c r="M1946" s="24">
        <v>4</v>
      </c>
      <c r="N1946" s="25">
        <v>39389.040000000001</v>
      </c>
      <c r="O1946" s="25">
        <f t="shared" si="244"/>
        <v>157556.16</v>
      </c>
      <c r="P1946" s="25">
        <v>22276.51</v>
      </c>
      <c r="Q1946" s="25">
        <f t="shared" si="245"/>
        <v>89106.04</v>
      </c>
      <c r="R1946" s="25">
        <f t="shared" si="246"/>
        <v>68450.12000000001</v>
      </c>
      <c r="S1946" s="26">
        <f t="shared" si="247"/>
        <v>0.43444902439866528</v>
      </c>
    </row>
    <row r="1947" spans="1:19" ht="15" x14ac:dyDescent="0.2">
      <c r="A1947" s="23">
        <v>46165</v>
      </c>
      <c r="B1947">
        <f t="shared" si="240"/>
        <v>2026</v>
      </c>
      <c r="C1947">
        <f t="shared" si="241"/>
        <v>5</v>
      </c>
      <c r="D1947" t="str">
        <f t="shared" si="242"/>
        <v>Mayo</v>
      </c>
      <c r="E1947" t="str">
        <f t="shared" si="243"/>
        <v>T2</v>
      </c>
      <c r="F1947" t="s">
        <v>2074</v>
      </c>
      <c r="G1947" t="s">
        <v>54</v>
      </c>
      <c r="H1947" t="s">
        <v>55</v>
      </c>
      <c r="I1947" t="s">
        <v>56</v>
      </c>
      <c r="J1947" t="s">
        <v>125</v>
      </c>
      <c r="K1947" t="s">
        <v>138</v>
      </c>
      <c r="L1947" t="s">
        <v>139</v>
      </c>
      <c r="M1947" s="24">
        <v>14</v>
      </c>
      <c r="N1947" s="25">
        <v>52593.86</v>
      </c>
      <c r="O1947" s="25">
        <f t="shared" si="244"/>
        <v>736314.04</v>
      </c>
      <c r="P1947" s="25">
        <v>40885.24</v>
      </c>
      <c r="Q1947" s="25">
        <f t="shared" si="245"/>
        <v>572393.36</v>
      </c>
      <c r="R1947" s="25">
        <f t="shared" si="246"/>
        <v>163920.68000000005</v>
      </c>
      <c r="S1947" s="26">
        <f t="shared" si="247"/>
        <v>0.222623325232261</v>
      </c>
    </row>
    <row r="1948" spans="1:19" ht="15" x14ac:dyDescent="0.2">
      <c r="A1948" s="23">
        <v>46165</v>
      </c>
      <c r="B1948">
        <f t="shared" si="240"/>
        <v>2026</v>
      </c>
      <c r="C1948">
        <f t="shared" si="241"/>
        <v>5</v>
      </c>
      <c r="D1948" t="str">
        <f t="shared" si="242"/>
        <v>Mayo</v>
      </c>
      <c r="E1948" t="str">
        <f t="shared" si="243"/>
        <v>T2</v>
      </c>
      <c r="F1948" t="s">
        <v>2075</v>
      </c>
      <c r="G1948" t="s">
        <v>68</v>
      </c>
      <c r="H1948" t="s">
        <v>62</v>
      </c>
      <c r="I1948" t="s">
        <v>69</v>
      </c>
      <c r="J1948" t="s">
        <v>57</v>
      </c>
      <c r="K1948" t="s">
        <v>58</v>
      </c>
      <c r="L1948" t="s">
        <v>59</v>
      </c>
      <c r="M1948" s="24">
        <v>100</v>
      </c>
      <c r="N1948" s="25">
        <v>3141.37</v>
      </c>
      <c r="O1948" s="25">
        <f t="shared" si="244"/>
        <v>314137</v>
      </c>
      <c r="P1948" s="25">
        <v>2595.5</v>
      </c>
      <c r="Q1948" s="25">
        <f t="shared" si="245"/>
        <v>259550</v>
      </c>
      <c r="R1948" s="25">
        <f t="shared" si="246"/>
        <v>54587</v>
      </c>
      <c r="S1948" s="26">
        <f t="shared" si="247"/>
        <v>0.17376813301202979</v>
      </c>
    </row>
    <row r="1949" spans="1:19" ht="15" x14ac:dyDescent="0.2">
      <c r="A1949" s="23">
        <v>46165</v>
      </c>
      <c r="B1949">
        <f t="shared" si="240"/>
        <v>2026</v>
      </c>
      <c r="C1949">
        <f t="shared" si="241"/>
        <v>5</v>
      </c>
      <c r="D1949" t="str">
        <f t="shared" si="242"/>
        <v>Mayo</v>
      </c>
      <c r="E1949" t="str">
        <f t="shared" si="243"/>
        <v>T2</v>
      </c>
      <c r="F1949" t="s">
        <v>2076</v>
      </c>
      <c r="G1949" t="s">
        <v>188</v>
      </c>
      <c r="H1949" t="s">
        <v>88</v>
      </c>
      <c r="I1949" t="s">
        <v>189</v>
      </c>
      <c r="J1949" t="s">
        <v>77</v>
      </c>
      <c r="K1949" t="s">
        <v>107</v>
      </c>
      <c r="L1949" t="s">
        <v>112</v>
      </c>
      <c r="M1949" s="24">
        <v>12</v>
      </c>
      <c r="N1949" s="25">
        <v>83517.960000000006</v>
      </c>
      <c r="O1949" s="25">
        <f t="shared" si="244"/>
        <v>1002215.52</v>
      </c>
      <c r="P1949" s="25">
        <v>41271.199999999997</v>
      </c>
      <c r="Q1949" s="25">
        <f t="shared" si="245"/>
        <v>495254.39999999997</v>
      </c>
      <c r="R1949" s="25">
        <f t="shared" si="246"/>
        <v>506961.12000000005</v>
      </c>
      <c r="S1949" s="26">
        <f t="shared" si="247"/>
        <v>0.50584042043172517</v>
      </c>
    </row>
    <row r="1950" spans="1:19" ht="15" x14ac:dyDescent="0.2">
      <c r="A1950" s="23">
        <v>46165</v>
      </c>
      <c r="B1950">
        <f t="shared" si="240"/>
        <v>2026</v>
      </c>
      <c r="C1950">
        <f t="shared" si="241"/>
        <v>5</v>
      </c>
      <c r="D1950" t="str">
        <f t="shared" si="242"/>
        <v>Mayo</v>
      </c>
      <c r="E1950" t="str">
        <f t="shared" si="243"/>
        <v>T2</v>
      </c>
      <c r="F1950" t="s">
        <v>2077</v>
      </c>
      <c r="G1950" t="s">
        <v>188</v>
      </c>
      <c r="H1950" t="s">
        <v>88</v>
      </c>
      <c r="I1950" t="s">
        <v>189</v>
      </c>
      <c r="J1950" t="s">
        <v>77</v>
      </c>
      <c r="K1950" t="s">
        <v>78</v>
      </c>
      <c r="L1950" t="s">
        <v>117</v>
      </c>
      <c r="M1950" s="24">
        <v>7</v>
      </c>
      <c r="N1950" s="25">
        <v>77651.7</v>
      </c>
      <c r="O1950" s="25">
        <f t="shared" si="244"/>
        <v>543561.9</v>
      </c>
      <c r="P1950" s="25">
        <v>41630.550000000003</v>
      </c>
      <c r="Q1950" s="25">
        <f t="shared" si="245"/>
        <v>291413.85000000003</v>
      </c>
      <c r="R1950" s="25">
        <f t="shared" si="246"/>
        <v>252148.05</v>
      </c>
      <c r="S1950" s="26">
        <f t="shared" si="247"/>
        <v>0.4638810225661511</v>
      </c>
    </row>
    <row r="1951" spans="1:19" ht="15" x14ac:dyDescent="0.2">
      <c r="A1951" s="23">
        <v>46165</v>
      </c>
      <c r="B1951">
        <f t="shared" si="240"/>
        <v>2026</v>
      </c>
      <c r="C1951">
        <f t="shared" si="241"/>
        <v>5</v>
      </c>
      <c r="D1951" t="str">
        <f t="shared" si="242"/>
        <v>Mayo</v>
      </c>
      <c r="E1951" t="str">
        <f t="shared" si="243"/>
        <v>T2</v>
      </c>
      <c r="F1951" t="s">
        <v>2078</v>
      </c>
      <c r="G1951" t="s">
        <v>188</v>
      </c>
      <c r="H1951" t="s">
        <v>88</v>
      </c>
      <c r="I1951" t="s">
        <v>189</v>
      </c>
      <c r="J1951" t="s">
        <v>70</v>
      </c>
      <c r="K1951" t="s">
        <v>71</v>
      </c>
      <c r="L1951" t="s">
        <v>72</v>
      </c>
      <c r="M1951" s="24">
        <v>3</v>
      </c>
      <c r="N1951" s="25">
        <v>59083.23</v>
      </c>
      <c r="O1951" s="25">
        <f t="shared" si="244"/>
        <v>177249.69</v>
      </c>
      <c r="P1951" s="25">
        <v>35927.22</v>
      </c>
      <c r="Q1951" s="25">
        <f t="shared" si="245"/>
        <v>107781.66</v>
      </c>
      <c r="R1951" s="25">
        <f t="shared" si="246"/>
        <v>69468.03</v>
      </c>
      <c r="S1951" s="26">
        <f t="shared" si="247"/>
        <v>0.39192187021596481</v>
      </c>
    </row>
    <row r="1952" spans="1:19" ht="15" x14ac:dyDescent="0.2">
      <c r="A1952" s="23">
        <v>46165</v>
      </c>
      <c r="B1952">
        <f t="shared" si="240"/>
        <v>2026</v>
      </c>
      <c r="C1952">
        <f t="shared" si="241"/>
        <v>5</v>
      </c>
      <c r="D1952" t="str">
        <f t="shared" si="242"/>
        <v>Mayo</v>
      </c>
      <c r="E1952" t="str">
        <f t="shared" si="243"/>
        <v>T2</v>
      </c>
      <c r="F1952" t="s">
        <v>2079</v>
      </c>
      <c r="G1952" t="s">
        <v>149</v>
      </c>
      <c r="H1952" t="s">
        <v>93</v>
      </c>
      <c r="I1952" t="s">
        <v>150</v>
      </c>
      <c r="J1952" t="s">
        <v>57</v>
      </c>
      <c r="K1952" t="s">
        <v>81</v>
      </c>
      <c r="L1952" t="s">
        <v>82</v>
      </c>
      <c r="M1952" s="24">
        <v>9</v>
      </c>
      <c r="N1952" s="25">
        <v>44114.06</v>
      </c>
      <c r="O1952" s="25">
        <f t="shared" si="244"/>
        <v>397026.54</v>
      </c>
      <c r="P1952" s="25">
        <v>24698.93</v>
      </c>
      <c r="Q1952" s="25">
        <f t="shared" si="245"/>
        <v>222290.37</v>
      </c>
      <c r="R1952" s="25">
        <f t="shared" si="246"/>
        <v>174736.16999999998</v>
      </c>
      <c r="S1952" s="26">
        <f t="shared" si="247"/>
        <v>0.44011206404488729</v>
      </c>
    </row>
    <row r="1953" spans="1:19" ht="15" x14ac:dyDescent="0.2">
      <c r="A1953" s="23">
        <v>46166</v>
      </c>
      <c r="B1953">
        <f t="shared" si="240"/>
        <v>2026</v>
      </c>
      <c r="C1953">
        <f t="shared" si="241"/>
        <v>5</v>
      </c>
      <c r="D1953" t="str">
        <f t="shared" si="242"/>
        <v>Mayo</v>
      </c>
      <c r="E1953" t="str">
        <f t="shared" si="243"/>
        <v>T2</v>
      </c>
      <c r="F1953" t="s">
        <v>2080</v>
      </c>
      <c r="G1953" t="s">
        <v>74</v>
      </c>
      <c r="H1953" t="s">
        <v>75</v>
      </c>
      <c r="I1953" t="s">
        <v>76</v>
      </c>
      <c r="J1953" t="s">
        <v>57</v>
      </c>
      <c r="K1953" t="s">
        <v>81</v>
      </c>
      <c r="L1953" t="s">
        <v>82</v>
      </c>
      <c r="M1953" s="24">
        <v>9</v>
      </c>
      <c r="N1953" s="25">
        <v>42172.91</v>
      </c>
      <c r="O1953" s="25">
        <f t="shared" si="244"/>
        <v>379556.19000000006</v>
      </c>
      <c r="P1953" s="25">
        <v>29193.27</v>
      </c>
      <c r="Q1953" s="25">
        <f t="shared" si="245"/>
        <v>262739.43</v>
      </c>
      <c r="R1953" s="25">
        <f t="shared" si="246"/>
        <v>116816.76000000007</v>
      </c>
      <c r="S1953" s="26">
        <f t="shared" si="247"/>
        <v>0.30777197969027997</v>
      </c>
    </row>
    <row r="1954" spans="1:19" ht="15" x14ac:dyDescent="0.2">
      <c r="A1954" s="23">
        <v>46166</v>
      </c>
      <c r="B1954">
        <f t="shared" si="240"/>
        <v>2026</v>
      </c>
      <c r="C1954">
        <f t="shared" si="241"/>
        <v>5</v>
      </c>
      <c r="D1954" t="str">
        <f t="shared" si="242"/>
        <v>Mayo</v>
      </c>
      <c r="E1954" t="str">
        <f t="shared" si="243"/>
        <v>T2</v>
      </c>
      <c r="F1954" t="s">
        <v>2081</v>
      </c>
      <c r="G1954" t="s">
        <v>87</v>
      </c>
      <c r="H1954" t="s">
        <v>88</v>
      </c>
      <c r="I1954" t="s">
        <v>89</v>
      </c>
      <c r="J1954" t="s">
        <v>77</v>
      </c>
      <c r="K1954" t="s">
        <v>78</v>
      </c>
      <c r="L1954" t="s">
        <v>79</v>
      </c>
      <c r="M1954" s="24">
        <v>5</v>
      </c>
      <c r="N1954" s="25">
        <v>59062.68</v>
      </c>
      <c r="O1954" s="25">
        <f t="shared" si="244"/>
        <v>295313.40000000002</v>
      </c>
      <c r="P1954" s="25">
        <v>31935.47</v>
      </c>
      <c r="Q1954" s="25">
        <f t="shared" si="245"/>
        <v>159677.35</v>
      </c>
      <c r="R1954" s="25">
        <f t="shared" si="246"/>
        <v>135636.05000000002</v>
      </c>
      <c r="S1954" s="26">
        <f t="shared" si="247"/>
        <v>0.45929527749164112</v>
      </c>
    </row>
    <row r="1955" spans="1:19" ht="15" x14ac:dyDescent="0.2">
      <c r="A1955" s="23">
        <v>46166</v>
      </c>
      <c r="B1955">
        <f t="shared" si="240"/>
        <v>2026</v>
      </c>
      <c r="C1955">
        <f t="shared" si="241"/>
        <v>5</v>
      </c>
      <c r="D1955" t="str">
        <f t="shared" si="242"/>
        <v>Mayo</v>
      </c>
      <c r="E1955" t="str">
        <f t="shared" si="243"/>
        <v>T2</v>
      </c>
      <c r="F1955" t="s">
        <v>2082</v>
      </c>
      <c r="G1955" t="s">
        <v>87</v>
      </c>
      <c r="H1955" t="s">
        <v>88</v>
      </c>
      <c r="I1955" t="s">
        <v>89</v>
      </c>
      <c r="J1955" t="s">
        <v>70</v>
      </c>
      <c r="K1955" t="s">
        <v>84</v>
      </c>
      <c r="L1955" t="s">
        <v>147</v>
      </c>
      <c r="M1955" s="24">
        <v>3</v>
      </c>
      <c r="N1955" s="25">
        <v>63433.07</v>
      </c>
      <c r="O1955" s="25">
        <f t="shared" si="244"/>
        <v>190299.21</v>
      </c>
      <c r="P1955" s="25">
        <v>37935.72</v>
      </c>
      <c r="Q1955" s="25">
        <f t="shared" si="245"/>
        <v>113807.16</v>
      </c>
      <c r="R1955" s="25">
        <f t="shared" si="246"/>
        <v>76492.049999999988</v>
      </c>
      <c r="S1955" s="26">
        <f t="shared" si="247"/>
        <v>0.40195673959970718</v>
      </c>
    </row>
    <row r="1956" spans="1:19" ht="15" x14ac:dyDescent="0.2">
      <c r="A1956" s="23">
        <v>46167</v>
      </c>
      <c r="B1956">
        <f t="shared" si="240"/>
        <v>2026</v>
      </c>
      <c r="C1956">
        <f t="shared" si="241"/>
        <v>5</v>
      </c>
      <c r="D1956" t="str">
        <f t="shared" si="242"/>
        <v>Mayo</v>
      </c>
      <c r="E1956" t="str">
        <f t="shared" si="243"/>
        <v>T2</v>
      </c>
      <c r="F1956" t="s">
        <v>2083</v>
      </c>
      <c r="G1956" t="s">
        <v>54</v>
      </c>
      <c r="H1956" t="s">
        <v>55</v>
      </c>
      <c r="I1956" t="s">
        <v>56</v>
      </c>
      <c r="J1956" t="s">
        <v>57</v>
      </c>
      <c r="K1956" t="s">
        <v>58</v>
      </c>
      <c r="L1956" t="s">
        <v>162</v>
      </c>
      <c r="M1956" s="24">
        <v>16</v>
      </c>
      <c r="N1956" s="25">
        <v>52445.27</v>
      </c>
      <c r="O1956" s="25">
        <f t="shared" si="244"/>
        <v>839124.32</v>
      </c>
      <c r="P1956" s="25">
        <v>42141.57</v>
      </c>
      <c r="Q1956" s="25">
        <f t="shared" si="245"/>
        <v>674265.12</v>
      </c>
      <c r="R1956" s="25">
        <f t="shared" si="246"/>
        <v>164859.19999999995</v>
      </c>
      <c r="S1956" s="26">
        <f t="shared" si="247"/>
        <v>0.19646576326139609</v>
      </c>
    </row>
    <row r="1957" spans="1:19" ht="15" x14ac:dyDescent="0.2">
      <c r="A1957" s="23">
        <v>46167</v>
      </c>
      <c r="B1957">
        <f t="shared" si="240"/>
        <v>2026</v>
      </c>
      <c r="C1957">
        <f t="shared" si="241"/>
        <v>5</v>
      </c>
      <c r="D1957" t="str">
        <f t="shared" si="242"/>
        <v>Mayo</v>
      </c>
      <c r="E1957" t="str">
        <f t="shared" si="243"/>
        <v>T2</v>
      </c>
      <c r="F1957" t="s">
        <v>2084</v>
      </c>
      <c r="G1957" t="s">
        <v>105</v>
      </c>
      <c r="H1957" t="s">
        <v>62</v>
      </c>
      <c r="I1957" t="s">
        <v>106</v>
      </c>
      <c r="J1957" t="s">
        <v>57</v>
      </c>
      <c r="K1957" t="s">
        <v>58</v>
      </c>
      <c r="L1957" t="s">
        <v>59</v>
      </c>
      <c r="M1957" s="24">
        <v>243</v>
      </c>
      <c r="N1957" s="25">
        <v>1808.32</v>
      </c>
      <c r="O1957" s="25">
        <f t="shared" si="244"/>
        <v>439421.76</v>
      </c>
      <c r="P1957" s="25">
        <v>1499.27</v>
      </c>
      <c r="Q1957" s="25">
        <f t="shared" si="245"/>
        <v>364322.61</v>
      </c>
      <c r="R1957" s="25">
        <f t="shared" si="246"/>
        <v>75099.150000000023</v>
      </c>
      <c r="S1957" s="26">
        <f t="shared" si="247"/>
        <v>0.17090448593169355</v>
      </c>
    </row>
    <row r="1958" spans="1:19" ht="15" x14ac:dyDescent="0.2">
      <c r="A1958" s="23">
        <v>46167</v>
      </c>
      <c r="B1958">
        <f t="shared" si="240"/>
        <v>2026</v>
      </c>
      <c r="C1958">
        <f t="shared" si="241"/>
        <v>5</v>
      </c>
      <c r="D1958" t="str">
        <f t="shared" si="242"/>
        <v>Mayo</v>
      </c>
      <c r="E1958" t="str">
        <f t="shared" si="243"/>
        <v>T2</v>
      </c>
      <c r="F1958" t="s">
        <v>2085</v>
      </c>
      <c r="G1958" t="s">
        <v>149</v>
      </c>
      <c r="H1958" t="s">
        <v>93</v>
      </c>
      <c r="I1958" t="s">
        <v>150</v>
      </c>
      <c r="J1958" t="s">
        <v>77</v>
      </c>
      <c r="K1958" t="s">
        <v>107</v>
      </c>
      <c r="L1958" t="s">
        <v>108</v>
      </c>
      <c r="M1958" s="24">
        <v>4</v>
      </c>
      <c r="N1958" s="25">
        <v>52433.99</v>
      </c>
      <c r="O1958" s="25">
        <f t="shared" si="244"/>
        <v>209735.96</v>
      </c>
      <c r="P1958" s="25">
        <v>28300.51</v>
      </c>
      <c r="Q1958" s="25">
        <f t="shared" si="245"/>
        <v>113202.04</v>
      </c>
      <c r="R1958" s="25">
        <f t="shared" si="246"/>
        <v>96533.92</v>
      </c>
      <c r="S1958" s="26">
        <f t="shared" si="247"/>
        <v>0.4602640386512642</v>
      </c>
    </row>
    <row r="1959" spans="1:19" ht="15" x14ac:dyDescent="0.2">
      <c r="A1959" s="23">
        <v>46168</v>
      </c>
      <c r="B1959">
        <f t="shared" si="240"/>
        <v>2026</v>
      </c>
      <c r="C1959">
        <f t="shared" si="241"/>
        <v>5</v>
      </c>
      <c r="D1959" t="str">
        <f t="shared" si="242"/>
        <v>Mayo</v>
      </c>
      <c r="E1959" t="str">
        <f t="shared" si="243"/>
        <v>T2</v>
      </c>
      <c r="F1959" t="s">
        <v>2086</v>
      </c>
      <c r="G1959" t="s">
        <v>74</v>
      </c>
      <c r="H1959" t="s">
        <v>75</v>
      </c>
      <c r="I1959" t="s">
        <v>76</v>
      </c>
      <c r="J1959" t="s">
        <v>125</v>
      </c>
      <c r="K1959" t="s">
        <v>126</v>
      </c>
      <c r="L1959" t="s">
        <v>127</v>
      </c>
      <c r="M1959" s="24">
        <v>6</v>
      </c>
      <c r="N1959" s="25">
        <v>40908.300000000003</v>
      </c>
      <c r="O1959" s="25">
        <f t="shared" si="244"/>
        <v>245449.80000000002</v>
      </c>
      <c r="P1959" s="25">
        <v>28240.31</v>
      </c>
      <c r="Q1959" s="25">
        <f t="shared" si="245"/>
        <v>169441.86000000002</v>
      </c>
      <c r="R1959" s="25">
        <f t="shared" si="246"/>
        <v>76007.94</v>
      </c>
      <c r="S1959" s="26">
        <f t="shared" si="247"/>
        <v>0.30966796469176183</v>
      </c>
    </row>
    <row r="1960" spans="1:19" ht="15" x14ac:dyDescent="0.2">
      <c r="A1960" s="23">
        <v>46168</v>
      </c>
      <c r="B1960">
        <f t="shared" si="240"/>
        <v>2026</v>
      </c>
      <c r="C1960">
        <f t="shared" si="241"/>
        <v>5</v>
      </c>
      <c r="D1960" t="str">
        <f t="shared" si="242"/>
        <v>Mayo</v>
      </c>
      <c r="E1960" t="str">
        <f t="shared" si="243"/>
        <v>T2</v>
      </c>
      <c r="F1960" t="s">
        <v>2087</v>
      </c>
      <c r="G1960" t="s">
        <v>100</v>
      </c>
      <c r="H1960" t="s">
        <v>88</v>
      </c>
      <c r="I1960" t="s">
        <v>101</v>
      </c>
      <c r="J1960" t="s">
        <v>57</v>
      </c>
      <c r="K1960" t="s">
        <v>58</v>
      </c>
      <c r="L1960" t="s">
        <v>59</v>
      </c>
      <c r="M1960" s="24">
        <v>6</v>
      </c>
      <c r="N1960" s="25">
        <v>36781.64</v>
      </c>
      <c r="O1960" s="25">
        <f t="shared" si="244"/>
        <v>220689.84</v>
      </c>
      <c r="P1960" s="25">
        <v>20524.419999999998</v>
      </c>
      <c r="Q1960" s="25">
        <f t="shared" si="245"/>
        <v>123146.51999999999</v>
      </c>
      <c r="R1960" s="25">
        <f t="shared" si="246"/>
        <v>97543.32</v>
      </c>
      <c r="S1960" s="26">
        <f t="shared" si="247"/>
        <v>0.44199279858103124</v>
      </c>
    </row>
    <row r="1961" spans="1:19" ht="15" x14ac:dyDescent="0.2">
      <c r="A1961" s="23">
        <v>46168</v>
      </c>
      <c r="B1961">
        <f t="shared" si="240"/>
        <v>2026</v>
      </c>
      <c r="C1961">
        <f t="shared" si="241"/>
        <v>5</v>
      </c>
      <c r="D1961" t="str">
        <f t="shared" si="242"/>
        <v>Mayo</v>
      </c>
      <c r="E1961" t="str">
        <f t="shared" si="243"/>
        <v>T2</v>
      </c>
      <c r="F1961" t="s">
        <v>2088</v>
      </c>
      <c r="G1961" t="s">
        <v>92</v>
      </c>
      <c r="H1961" t="s">
        <v>93</v>
      </c>
      <c r="I1961" t="s">
        <v>94</v>
      </c>
      <c r="J1961" t="s">
        <v>77</v>
      </c>
      <c r="K1961" t="s">
        <v>78</v>
      </c>
      <c r="L1961" t="s">
        <v>79</v>
      </c>
      <c r="M1961" s="24">
        <v>5</v>
      </c>
      <c r="N1961" s="25">
        <v>23557.15</v>
      </c>
      <c r="O1961" s="25">
        <f t="shared" si="244"/>
        <v>117785.75</v>
      </c>
      <c r="P1961" s="25">
        <v>13104.77</v>
      </c>
      <c r="Q1961" s="25">
        <f t="shared" si="245"/>
        <v>65523.850000000006</v>
      </c>
      <c r="R1961" s="25">
        <f t="shared" si="246"/>
        <v>52261.899999999994</v>
      </c>
      <c r="S1961" s="26">
        <f t="shared" si="247"/>
        <v>0.44370307953211652</v>
      </c>
    </row>
    <row r="1962" spans="1:19" ht="15" x14ac:dyDescent="0.2">
      <c r="A1962" s="23">
        <v>46168</v>
      </c>
      <c r="B1962">
        <f t="shared" si="240"/>
        <v>2026</v>
      </c>
      <c r="C1962">
        <f t="shared" si="241"/>
        <v>5</v>
      </c>
      <c r="D1962" t="str">
        <f t="shared" si="242"/>
        <v>Mayo</v>
      </c>
      <c r="E1962" t="str">
        <f t="shared" si="243"/>
        <v>T2</v>
      </c>
      <c r="F1962" t="s">
        <v>2089</v>
      </c>
      <c r="G1962" t="s">
        <v>149</v>
      </c>
      <c r="H1962" t="s">
        <v>93</v>
      </c>
      <c r="I1962" t="s">
        <v>150</v>
      </c>
      <c r="J1962" t="s">
        <v>125</v>
      </c>
      <c r="K1962" t="s">
        <v>126</v>
      </c>
      <c r="L1962" t="s">
        <v>131</v>
      </c>
      <c r="M1962" s="24">
        <v>2</v>
      </c>
      <c r="N1962" s="25">
        <v>52036.76</v>
      </c>
      <c r="O1962" s="25">
        <f t="shared" si="244"/>
        <v>104073.52</v>
      </c>
      <c r="P1962" s="25">
        <v>30319.83</v>
      </c>
      <c r="Q1962" s="25">
        <f t="shared" si="245"/>
        <v>60639.66</v>
      </c>
      <c r="R1962" s="25">
        <f t="shared" si="246"/>
        <v>43433.86</v>
      </c>
      <c r="S1962" s="26">
        <f t="shared" si="247"/>
        <v>0.41733824319577162</v>
      </c>
    </row>
    <row r="1963" spans="1:19" ht="15" x14ac:dyDescent="0.2">
      <c r="A1963" s="23">
        <v>46169</v>
      </c>
      <c r="B1963">
        <f t="shared" si="240"/>
        <v>2026</v>
      </c>
      <c r="C1963">
        <f t="shared" si="241"/>
        <v>5</v>
      </c>
      <c r="D1963" t="str">
        <f t="shared" si="242"/>
        <v>Mayo</v>
      </c>
      <c r="E1963" t="str">
        <f t="shared" si="243"/>
        <v>T2</v>
      </c>
      <c r="F1963" t="s">
        <v>2090</v>
      </c>
      <c r="G1963" t="s">
        <v>110</v>
      </c>
      <c r="H1963" t="s">
        <v>62</v>
      </c>
      <c r="I1963" t="s">
        <v>69</v>
      </c>
      <c r="J1963" t="s">
        <v>64</v>
      </c>
      <c r="K1963" t="s">
        <v>96</v>
      </c>
      <c r="L1963" t="s">
        <v>103</v>
      </c>
      <c r="M1963" s="24">
        <v>57</v>
      </c>
      <c r="N1963" s="25">
        <v>6401.36</v>
      </c>
      <c r="O1963" s="25">
        <f t="shared" si="244"/>
        <v>364877.51999999996</v>
      </c>
      <c r="P1963" s="25">
        <v>5367.39</v>
      </c>
      <c r="Q1963" s="25">
        <f t="shared" si="245"/>
        <v>305941.23000000004</v>
      </c>
      <c r="R1963" s="25">
        <f t="shared" si="246"/>
        <v>58936.289999999921</v>
      </c>
      <c r="S1963" s="26">
        <f t="shared" si="247"/>
        <v>0.16152348875863859</v>
      </c>
    </row>
    <row r="1964" spans="1:19" ht="15" x14ac:dyDescent="0.2">
      <c r="A1964" s="23">
        <v>46169</v>
      </c>
      <c r="B1964">
        <f t="shared" si="240"/>
        <v>2026</v>
      </c>
      <c r="C1964">
        <f t="shared" si="241"/>
        <v>5</v>
      </c>
      <c r="D1964" t="str">
        <f t="shared" si="242"/>
        <v>Mayo</v>
      </c>
      <c r="E1964" t="str">
        <f t="shared" si="243"/>
        <v>T2</v>
      </c>
      <c r="F1964" t="s">
        <v>2091</v>
      </c>
      <c r="G1964" t="s">
        <v>105</v>
      </c>
      <c r="H1964" t="s">
        <v>62</v>
      </c>
      <c r="I1964" t="s">
        <v>106</v>
      </c>
      <c r="J1964" t="s">
        <v>77</v>
      </c>
      <c r="K1964" t="s">
        <v>107</v>
      </c>
      <c r="L1964" t="s">
        <v>108</v>
      </c>
      <c r="M1964" s="24">
        <v>232</v>
      </c>
      <c r="N1964" s="25">
        <v>1921.06</v>
      </c>
      <c r="O1964" s="25">
        <f t="shared" si="244"/>
        <v>445685.92</v>
      </c>
      <c r="P1964" s="25">
        <v>1500.32</v>
      </c>
      <c r="Q1964" s="25">
        <f t="shared" si="245"/>
        <v>348074.23999999999</v>
      </c>
      <c r="R1964" s="25">
        <f t="shared" si="246"/>
        <v>97611.68</v>
      </c>
      <c r="S1964" s="26">
        <f t="shared" si="247"/>
        <v>0.21901450241012774</v>
      </c>
    </row>
    <row r="1965" spans="1:19" ht="15" x14ac:dyDescent="0.2">
      <c r="A1965" s="23">
        <v>46169</v>
      </c>
      <c r="B1965">
        <f t="shared" si="240"/>
        <v>2026</v>
      </c>
      <c r="C1965">
        <f t="shared" si="241"/>
        <v>5</v>
      </c>
      <c r="D1965" t="str">
        <f t="shared" si="242"/>
        <v>Mayo</v>
      </c>
      <c r="E1965" t="str">
        <f t="shared" si="243"/>
        <v>T2</v>
      </c>
      <c r="F1965" t="s">
        <v>2092</v>
      </c>
      <c r="G1965" t="s">
        <v>74</v>
      </c>
      <c r="H1965" t="s">
        <v>75</v>
      </c>
      <c r="I1965" t="s">
        <v>76</v>
      </c>
      <c r="J1965" t="s">
        <v>77</v>
      </c>
      <c r="K1965" t="s">
        <v>78</v>
      </c>
      <c r="L1965" t="s">
        <v>117</v>
      </c>
      <c r="M1965" s="24">
        <v>1</v>
      </c>
      <c r="N1965" s="25">
        <v>12933.41</v>
      </c>
      <c r="O1965" s="25">
        <f t="shared" si="244"/>
        <v>12933.41</v>
      </c>
      <c r="P1965" s="25">
        <v>8693.15</v>
      </c>
      <c r="Q1965" s="25">
        <f t="shared" si="245"/>
        <v>8693.15</v>
      </c>
      <c r="R1965" s="25">
        <f t="shared" si="246"/>
        <v>4240.26</v>
      </c>
      <c r="S1965" s="26">
        <f t="shared" si="247"/>
        <v>0.32785321117941829</v>
      </c>
    </row>
    <row r="1966" spans="1:19" ht="15" x14ac:dyDescent="0.2">
      <c r="A1966" s="23">
        <v>46169</v>
      </c>
      <c r="B1966">
        <f t="shared" si="240"/>
        <v>2026</v>
      </c>
      <c r="C1966">
        <f t="shared" si="241"/>
        <v>5</v>
      </c>
      <c r="D1966" t="str">
        <f t="shared" si="242"/>
        <v>Mayo</v>
      </c>
      <c r="E1966" t="str">
        <f t="shared" si="243"/>
        <v>T2</v>
      </c>
      <c r="F1966" t="s">
        <v>2093</v>
      </c>
      <c r="G1966" t="s">
        <v>92</v>
      </c>
      <c r="H1966" t="s">
        <v>93</v>
      </c>
      <c r="I1966" t="s">
        <v>94</v>
      </c>
      <c r="J1966" t="s">
        <v>77</v>
      </c>
      <c r="K1966" t="s">
        <v>107</v>
      </c>
      <c r="L1966" t="s">
        <v>108</v>
      </c>
      <c r="M1966" s="24">
        <v>9</v>
      </c>
      <c r="N1966" s="25">
        <v>22938.1</v>
      </c>
      <c r="O1966" s="25">
        <f t="shared" si="244"/>
        <v>206442.9</v>
      </c>
      <c r="P1966" s="25">
        <v>11964.87</v>
      </c>
      <c r="Q1966" s="25">
        <f t="shared" si="245"/>
        <v>107683.83</v>
      </c>
      <c r="R1966" s="25">
        <f t="shared" si="246"/>
        <v>98759.069999999992</v>
      </c>
      <c r="S1966" s="26">
        <f t="shared" si="247"/>
        <v>0.47838443463059277</v>
      </c>
    </row>
    <row r="1967" spans="1:19" ht="15" x14ac:dyDescent="0.2">
      <c r="A1967" s="23">
        <v>46170</v>
      </c>
      <c r="B1967">
        <f t="shared" si="240"/>
        <v>2026</v>
      </c>
      <c r="C1967">
        <f t="shared" si="241"/>
        <v>5</v>
      </c>
      <c r="D1967" t="str">
        <f t="shared" si="242"/>
        <v>Mayo</v>
      </c>
      <c r="E1967" t="str">
        <f t="shared" si="243"/>
        <v>T2</v>
      </c>
      <c r="F1967" t="s">
        <v>2094</v>
      </c>
      <c r="G1967" t="s">
        <v>54</v>
      </c>
      <c r="H1967" t="s">
        <v>55</v>
      </c>
      <c r="I1967" t="s">
        <v>56</v>
      </c>
      <c r="J1967" t="s">
        <v>64</v>
      </c>
      <c r="K1967" t="s">
        <v>65</v>
      </c>
      <c r="L1967" t="s">
        <v>123</v>
      </c>
      <c r="M1967" s="24">
        <v>47</v>
      </c>
      <c r="N1967" s="25">
        <v>52197.31</v>
      </c>
      <c r="O1967" s="25">
        <f t="shared" si="244"/>
        <v>2453273.5699999998</v>
      </c>
      <c r="P1967" s="25">
        <v>42058.13</v>
      </c>
      <c r="Q1967" s="25">
        <f t="shared" si="245"/>
        <v>1976732.1099999999</v>
      </c>
      <c r="R1967" s="25">
        <f t="shared" si="246"/>
        <v>476541.45999999996</v>
      </c>
      <c r="S1967" s="26">
        <f t="shared" si="247"/>
        <v>0.19424717480651779</v>
      </c>
    </row>
    <row r="1968" spans="1:19" ht="15" x14ac:dyDescent="0.2">
      <c r="A1968" s="23">
        <v>46170</v>
      </c>
      <c r="B1968">
        <f t="shared" si="240"/>
        <v>2026</v>
      </c>
      <c r="C1968">
        <f t="shared" si="241"/>
        <v>5</v>
      </c>
      <c r="D1968" t="str">
        <f t="shared" si="242"/>
        <v>Mayo</v>
      </c>
      <c r="E1968" t="str">
        <f t="shared" si="243"/>
        <v>T2</v>
      </c>
      <c r="F1968" t="s">
        <v>2095</v>
      </c>
      <c r="G1968" t="s">
        <v>54</v>
      </c>
      <c r="H1968" t="s">
        <v>55</v>
      </c>
      <c r="I1968" t="s">
        <v>56</v>
      </c>
      <c r="J1968" t="s">
        <v>70</v>
      </c>
      <c r="K1968" t="s">
        <v>84</v>
      </c>
      <c r="L1968" t="s">
        <v>147</v>
      </c>
      <c r="M1968" s="24">
        <v>11</v>
      </c>
      <c r="N1968" s="25">
        <v>49723.7</v>
      </c>
      <c r="O1968" s="25">
        <f t="shared" si="244"/>
        <v>546960.69999999995</v>
      </c>
      <c r="P1968" s="25">
        <v>40860.33</v>
      </c>
      <c r="Q1968" s="25">
        <f t="shared" si="245"/>
        <v>449463.63</v>
      </c>
      <c r="R1968" s="25">
        <f t="shared" si="246"/>
        <v>97497.069999999949</v>
      </c>
      <c r="S1968" s="26">
        <f t="shared" si="247"/>
        <v>0.1782524228888839</v>
      </c>
    </row>
    <row r="1969" spans="1:19" ht="15" x14ac:dyDescent="0.2">
      <c r="A1969" s="23">
        <v>46170</v>
      </c>
      <c r="B1969">
        <f t="shared" si="240"/>
        <v>2026</v>
      </c>
      <c r="C1969">
        <f t="shared" si="241"/>
        <v>5</v>
      </c>
      <c r="D1969" t="str">
        <f t="shared" si="242"/>
        <v>Mayo</v>
      </c>
      <c r="E1969" t="str">
        <f t="shared" si="243"/>
        <v>T2</v>
      </c>
      <c r="F1969" t="s">
        <v>2096</v>
      </c>
      <c r="G1969" t="s">
        <v>61</v>
      </c>
      <c r="H1969" t="s">
        <v>62</v>
      </c>
      <c r="I1969" t="s">
        <v>63</v>
      </c>
      <c r="J1969" t="s">
        <v>57</v>
      </c>
      <c r="K1969" t="s">
        <v>81</v>
      </c>
      <c r="L1969" t="s">
        <v>82</v>
      </c>
      <c r="M1969" s="24">
        <v>109</v>
      </c>
      <c r="N1969" s="25">
        <v>5892.97</v>
      </c>
      <c r="O1969" s="25">
        <f t="shared" si="244"/>
        <v>642333.73</v>
      </c>
      <c r="P1969" s="25">
        <v>4782.6000000000004</v>
      </c>
      <c r="Q1969" s="25">
        <f t="shared" si="245"/>
        <v>521303.4</v>
      </c>
      <c r="R1969" s="25">
        <f t="shared" si="246"/>
        <v>121030.32999999996</v>
      </c>
      <c r="S1969" s="26">
        <f t="shared" si="247"/>
        <v>0.18842281566001517</v>
      </c>
    </row>
    <row r="1970" spans="1:19" ht="15" x14ac:dyDescent="0.2">
      <c r="A1970" s="23">
        <v>46170</v>
      </c>
      <c r="B1970">
        <f t="shared" si="240"/>
        <v>2026</v>
      </c>
      <c r="C1970">
        <f t="shared" si="241"/>
        <v>5</v>
      </c>
      <c r="D1970" t="str">
        <f t="shared" si="242"/>
        <v>Mayo</v>
      </c>
      <c r="E1970" t="str">
        <f t="shared" si="243"/>
        <v>T2</v>
      </c>
      <c r="F1970" t="s">
        <v>2097</v>
      </c>
      <c r="G1970" t="s">
        <v>74</v>
      </c>
      <c r="H1970" t="s">
        <v>75</v>
      </c>
      <c r="I1970" t="s">
        <v>76</v>
      </c>
      <c r="J1970" t="s">
        <v>64</v>
      </c>
      <c r="K1970" t="s">
        <v>65</v>
      </c>
      <c r="L1970" t="s">
        <v>66</v>
      </c>
      <c r="M1970" s="24">
        <v>16</v>
      </c>
      <c r="N1970" s="25">
        <v>39476.5</v>
      </c>
      <c r="O1970" s="25">
        <f t="shared" si="244"/>
        <v>631624</v>
      </c>
      <c r="P1970" s="25">
        <v>27784.31</v>
      </c>
      <c r="Q1970" s="25">
        <f t="shared" si="245"/>
        <v>444548.96</v>
      </c>
      <c r="R1970" s="25">
        <f t="shared" si="246"/>
        <v>187075.03999999998</v>
      </c>
      <c r="S1970" s="26">
        <f t="shared" si="247"/>
        <v>0.2961810190873051</v>
      </c>
    </row>
    <row r="1971" spans="1:19" ht="15" x14ac:dyDescent="0.2">
      <c r="A1971" s="23">
        <v>46170</v>
      </c>
      <c r="B1971">
        <f t="shared" si="240"/>
        <v>2026</v>
      </c>
      <c r="C1971">
        <f t="shared" si="241"/>
        <v>5</v>
      </c>
      <c r="D1971" t="str">
        <f t="shared" si="242"/>
        <v>Mayo</v>
      </c>
      <c r="E1971" t="str">
        <f t="shared" si="243"/>
        <v>T2</v>
      </c>
      <c r="F1971" t="s">
        <v>2098</v>
      </c>
      <c r="G1971" t="s">
        <v>114</v>
      </c>
      <c r="H1971" t="s">
        <v>75</v>
      </c>
      <c r="I1971" t="s">
        <v>115</v>
      </c>
      <c r="J1971" t="s">
        <v>57</v>
      </c>
      <c r="K1971" t="s">
        <v>81</v>
      </c>
      <c r="L1971" t="s">
        <v>82</v>
      </c>
      <c r="M1971" s="24">
        <v>4</v>
      </c>
      <c r="N1971" s="25">
        <v>89811.82</v>
      </c>
      <c r="O1971" s="25">
        <f t="shared" si="244"/>
        <v>359247.28</v>
      </c>
      <c r="P1971" s="25">
        <v>62330.74</v>
      </c>
      <c r="Q1971" s="25">
        <f t="shared" si="245"/>
        <v>249322.96</v>
      </c>
      <c r="R1971" s="25">
        <f t="shared" si="246"/>
        <v>109924.32000000004</v>
      </c>
      <c r="S1971" s="26">
        <f t="shared" si="247"/>
        <v>0.30598511420879798</v>
      </c>
    </row>
    <row r="1972" spans="1:19" ht="15" x14ac:dyDescent="0.2">
      <c r="A1972" s="23">
        <v>46170</v>
      </c>
      <c r="B1972">
        <f t="shared" si="240"/>
        <v>2026</v>
      </c>
      <c r="C1972">
        <f t="shared" si="241"/>
        <v>5</v>
      </c>
      <c r="D1972" t="str">
        <f t="shared" si="242"/>
        <v>Mayo</v>
      </c>
      <c r="E1972" t="str">
        <f t="shared" si="243"/>
        <v>T2</v>
      </c>
      <c r="F1972" t="s">
        <v>2099</v>
      </c>
      <c r="G1972" t="s">
        <v>188</v>
      </c>
      <c r="H1972" t="s">
        <v>88</v>
      </c>
      <c r="I1972" t="s">
        <v>189</v>
      </c>
      <c r="J1972" t="s">
        <v>77</v>
      </c>
      <c r="K1972" t="s">
        <v>107</v>
      </c>
      <c r="L1972" t="s">
        <v>108</v>
      </c>
      <c r="M1972" s="24">
        <v>4</v>
      </c>
      <c r="N1972" s="25">
        <v>85428.07</v>
      </c>
      <c r="O1972" s="25">
        <f t="shared" si="244"/>
        <v>341712.28</v>
      </c>
      <c r="P1972" s="25">
        <v>44731.21</v>
      </c>
      <c r="Q1972" s="25">
        <f t="shared" si="245"/>
        <v>178924.84</v>
      </c>
      <c r="R1972" s="25">
        <f t="shared" si="246"/>
        <v>162787.44000000003</v>
      </c>
      <c r="S1972" s="26">
        <f t="shared" si="247"/>
        <v>0.47638744501660873</v>
      </c>
    </row>
    <row r="1973" spans="1:19" ht="15" x14ac:dyDescent="0.2">
      <c r="A1973" s="23">
        <v>46170</v>
      </c>
      <c r="B1973">
        <f t="shared" si="240"/>
        <v>2026</v>
      </c>
      <c r="C1973">
        <f t="shared" si="241"/>
        <v>5</v>
      </c>
      <c r="D1973" t="str">
        <f t="shared" si="242"/>
        <v>Mayo</v>
      </c>
      <c r="E1973" t="str">
        <f t="shared" si="243"/>
        <v>T2</v>
      </c>
      <c r="F1973" t="s">
        <v>2100</v>
      </c>
      <c r="G1973" t="s">
        <v>206</v>
      </c>
      <c r="H1973" t="s">
        <v>93</v>
      </c>
      <c r="I1973" t="s">
        <v>207</v>
      </c>
      <c r="J1973" t="s">
        <v>64</v>
      </c>
      <c r="K1973" t="s">
        <v>65</v>
      </c>
      <c r="L1973" t="s">
        <v>66</v>
      </c>
      <c r="M1973" s="24">
        <v>4</v>
      </c>
      <c r="N1973" s="25">
        <v>129369.62</v>
      </c>
      <c r="O1973" s="25">
        <f t="shared" si="244"/>
        <v>517478.48</v>
      </c>
      <c r="P1973" s="25">
        <v>75849.03</v>
      </c>
      <c r="Q1973" s="25">
        <f t="shared" si="245"/>
        <v>303396.12</v>
      </c>
      <c r="R1973" s="25">
        <f t="shared" si="246"/>
        <v>214082.36</v>
      </c>
      <c r="S1973" s="26">
        <f t="shared" si="247"/>
        <v>0.41370292345297138</v>
      </c>
    </row>
    <row r="1974" spans="1:19" ht="15" x14ac:dyDescent="0.2">
      <c r="A1974" s="23">
        <v>46170</v>
      </c>
      <c r="B1974">
        <f t="shared" si="240"/>
        <v>2026</v>
      </c>
      <c r="C1974">
        <f t="shared" si="241"/>
        <v>5</v>
      </c>
      <c r="D1974" t="str">
        <f t="shared" si="242"/>
        <v>Mayo</v>
      </c>
      <c r="E1974" t="str">
        <f t="shared" si="243"/>
        <v>T2</v>
      </c>
      <c r="F1974" t="s">
        <v>2101</v>
      </c>
      <c r="G1974" t="s">
        <v>92</v>
      </c>
      <c r="H1974" t="s">
        <v>93</v>
      </c>
      <c r="I1974" t="s">
        <v>94</v>
      </c>
      <c r="J1974" t="s">
        <v>64</v>
      </c>
      <c r="K1974" t="s">
        <v>96</v>
      </c>
      <c r="L1974" t="s">
        <v>97</v>
      </c>
      <c r="M1974" s="24">
        <v>24</v>
      </c>
      <c r="N1974" s="25">
        <v>20395.759999999998</v>
      </c>
      <c r="O1974" s="25">
        <f t="shared" si="244"/>
        <v>489498.24</v>
      </c>
      <c r="P1974" s="25">
        <v>11864.75</v>
      </c>
      <c r="Q1974" s="25">
        <f t="shared" si="245"/>
        <v>284754</v>
      </c>
      <c r="R1974" s="25">
        <f t="shared" si="246"/>
        <v>204744.24</v>
      </c>
      <c r="S1974" s="26">
        <f t="shared" si="247"/>
        <v>0.41827370002392655</v>
      </c>
    </row>
    <row r="1975" spans="1:19" ht="15" x14ac:dyDescent="0.2">
      <c r="A1975" s="23">
        <v>46170</v>
      </c>
      <c r="B1975">
        <f t="shared" si="240"/>
        <v>2026</v>
      </c>
      <c r="C1975">
        <f t="shared" si="241"/>
        <v>5</v>
      </c>
      <c r="D1975" t="str">
        <f t="shared" si="242"/>
        <v>Mayo</v>
      </c>
      <c r="E1975" t="str">
        <f t="shared" si="243"/>
        <v>T2</v>
      </c>
      <c r="F1975" t="s">
        <v>2102</v>
      </c>
      <c r="G1975" t="s">
        <v>92</v>
      </c>
      <c r="H1975" t="s">
        <v>93</v>
      </c>
      <c r="I1975" t="s">
        <v>94</v>
      </c>
      <c r="J1975" t="s">
        <v>57</v>
      </c>
      <c r="K1975" t="s">
        <v>58</v>
      </c>
      <c r="L1975" t="s">
        <v>162</v>
      </c>
      <c r="M1975" s="24">
        <v>4</v>
      </c>
      <c r="N1975" s="25">
        <v>20499.13</v>
      </c>
      <c r="O1975" s="25">
        <f t="shared" si="244"/>
        <v>81996.52</v>
      </c>
      <c r="P1975" s="25">
        <v>12127.43</v>
      </c>
      <c r="Q1975" s="25">
        <f t="shared" si="245"/>
        <v>48509.72</v>
      </c>
      <c r="R1975" s="25">
        <f t="shared" si="246"/>
        <v>33486.800000000003</v>
      </c>
      <c r="S1975" s="26">
        <f t="shared" si="247"/>
        <v>0.40839294155410499</v>
      </c>
    </row>
    <row r="1976" spans="1:19" ht="15" x14ac:dyDescent="0.2">
      <c r="A1976" s="23">
        <v>46174</v>
      </c>
      <c r="B1976">
        <f t="shared" si="240"/>
        <v>2026</v>
      </c>
      <c r="C1976">
        <f t="shared" si="241"/>
        <v>6</v>
      </c>
      <c r="D1976" t="str">
        <f t="shared" si="242"/>
        <v>Junio</v>
      </c>
      <c r="E1976" t="str">
        <f t="shared" si="243"/>
        <v>T2</v>
      </c>
      <c r="F1976" t="s">
        <v>2103</v>
      </c>
      <c r="G1976" t="s">
        <v>61</v>
      </c>
      <c r="H1976" t="s">
        <v>62</v>
      </c>
      <c r="I1976" t="s">
        <v>63</v>
      </c>
      <c r="J1976" t="s">
        <v>70</v>
      </c>
      <c r="K1976" t="s">
        <v>84</v>
      </c>
      <c r="L1976" t="s">
        <v>85</v>
      </c>
      <c r="M1976" s="24">
        <v>92</v>
      </c>
      <c r="N1976" s="25">
        <v>5643.44</v>
      </c>
      <c r="O1976" s="25">
        <f t="shared" si="244"/>
        <v>519196.48</v>
      </c>
      <c r="P1976" s="25">
        <v>4814.3100000000004</v>
      </c>
      <c r="Q1976" s="25">
        <f t="shared" si="245"/>
        <v>442916.52</v>
      </c>
      <c r="R1976" s="25">
        <f t="shared" si="246"/>
        <v>76279.959999999963</v>
      </c>
      <c r="S1976" s="26">
        <f t="shared" si="247"/>
        <v>0.14691925492252944</v>
      </c>
    </row>
    <row r="1977" spans="1:19" ht="15" x14ac:dyDescent="0.2">
      <c r="A1977" s="23">
        <v>46175</v>
      </c>
      <c r="B1977">
        <f t="shared" si="240"/>
        <v>2026</v>
      </c>
      <c r="C1977">
        <f t="shared" si="241"/>
        <v>6</v>
      </c>
      <c r="D1977" t="str">
        <f t="shared" si="242"/>
        <v>Junio</v>
      </c>
      <c r="E1977" t="str">
        <f t="shared" si="243"/>
        <v>T2</v>
      </c>
      <c r="F1977" t="s">
        <v>2104</v>
      </c>
      <c r="G1977" t="s">
        <v>105</v>
      </c>
      <c r="H1977" t="s">
        <v>62</v>
      </c>
      <c r="I1977" t="s">
        <v>106</v>
      </c>
      <c r="J1977" t="s">
        <v>77</v>
      </c>
      <c r="K1977" t="s">
        <v>78</v>
      </c>
      <c r="L1977" t="s">
        <v>79</v>
      </c>
      <c r="M1977" s="24">
        <v>143</v>
      </c>
      <c r="N1977" s="25">
        <v>1889.15</v>
      </c>
      <c r="O1977" s="25">
        <f t="shared" si="244"/>
        <v>270148.45</v>
      </c>
      <c r="P1977" s="25">
        <v>1503.64</v>
      </c>
      <c r="Q1977" s="25">
        <f t="shared" si="245"/>
        <v>215020.52000000002</v>
      </c>
      <c r="R1977" s="25">
        <f t="shared" si="246"/>
        <v>55127.929999999993</v>
      </c>
      <c r="S1977" s="26">
        <f t="shared" si="247"/>
        <v>0.20406532038218242</v>
      </c>
    </row>
    <row r="1978" spans="1:19" ht="15" x14ac:dyDescent="0.2">
      <c r="A1978" s="23">
        <v>46175</v>
      </c>
      <c r="B1978">
        <f t="shared" si="240"/>
        <v>2026</v>
      </c>
      <c r="C1978">
        <f t="shared" si="241"/>
        <v>6</v>
      </c>
      <c r="D1978" t="str">
        <f t="shared" si="242"/>
        <v>Junio</v>
      </c>
      <c r="E1978" t="str">
        <f t="shared" si="243"/>
        <v>T2</v>
      </c>
      <c r="F1978" t="s">
        <v>2105</v>
      </c>
      <c r="G1978" t="s">
        <v>188</v>
      </c>
      <c r="H1978" t="s">
        <v>88</v>
      </c>
      <c r="I1978" t="s">
        <v>189</v>
      </c>
      <c r="J1978" t="s">
        <v>77</v>
      </c>
      <c r="K1978" t="s">
        <v>107</v>
      </c>
      <c r="L1978" t="s">
        <v>108</v>
      </c>
      <c r="M1978" s="24">
        <v>11</v>
      </c>
      <c r="N1978" s="25">
        <v>77242.720000000001</v>
      </c>
      <c r="O1978" s="25">
        <f t="shared" si="244"/>
        <v>849669.92</v>
      </c>
      <c r="P1978" s="25">
        <v>40737.19</v>
      </c>
      <c r="Q1978" s="25">
        <f t="shared" si="245"/>
        <v>448109.09</v>
      </c>
      <c r="R1978" s="25">
        <f t="shared" si="246"/>
        <v>401560.83</v>
      </c>
      <c r="S1978" s="26">
        <f t="shared" si="247"/>
        <v>0.47260803348199026</v>
      </c>
    </row>
    <row r="1979" spans="1:19" ht="15" x14ac:dyDescent="0.2">
      <c r="A1979" s="23">
        <v>46175</v>
      </c>
      <c r="B1979">
        <f t="shared" si="240"/>
        <v>2026</v>
      </c>
      <c r="C1979">
        <f t="shared" si="241"/>
        <v>6</v>
      </c>
      <c r="D1979" t="str">
        <f t="shared" si="242"/>
        <v>Junio</v>
      </c>
      <c r="E1979" t="str">
        <f t="shared" si="243"/>
        <v>T2</v>
      </c>
      <c r="F1979" t="s">
        <v>2106</v>
      </c>
      <c r="G1979" t="s">
        <v>144</v>
      </c>
      <c r="H1979" t="s">
        <v>88</v>
      </c>
      <c r="I1979" t="s">
        <v>145</v>
      </c>
      <c r="J1979" t="s">
        <v>125</v>
      </c>
      <c r="K1979" t="s">
        <v>138</v>
      </c>
      <c r="L1979" t="s">
        <v>139</v>
      </c>
      <c r="M1979" s="24">
        <v>43</v>
      </c>
      <c r="N1979" s="25">
        <v>13379.72</v>
      </c>
      <c r="O1979" s="25">
        <f t="shared" si="244"/>
        <v>575327.96</v>
      </c>
      <c r="P1979" s="25">
        <v>7044.08</v>
      </c>
      <c r="Q1979" s="25">
        <f t="shared" si="245"/>
        <v>302895.44</v>
      </c>
      <c r="R1979" s="25">
        <f t="shared" si="246"/>
        <v>272432.51999999996</v>
      </c>
      <c r="S1979" s="26">
        <f t="shared" si="247"/>
        <v>0.47352560442221509</v>
      </c>
    </row>
    <row r="1980" spans="1:19" ht="15" x14ac:dyDescent="0.2">
      <c r="A1980" s="23">
        <v>46175</v>
      </c>
      <c r="B1980">
        <f t="shared" si="240"/>
        <v>2026</v>
      </c>
      <c r="C1980">
        <f t="shared" si="241"/>
        <v>6</v>
      </c>
      <c r="D1980" t="str">
        <f t="shared" si="242"/>
        <v>Junio</v>
      </c>
      <c r="E1980" t="str">
        <f t="shared" si="243"/>
        <v>T2</v>
      </c>
      <c r="F1980" t="s">
        <v>2107</v>
      </c>
      <c r="G1980" t="s">
        <v>92</v>
      </c>
      <c r="H1980" t="s">
        <v>93</v>
      </c>
      <c r="I1980" t="s">
        <v>94</v>
      </c>
      <c r="J1980" t="s">
        <v>57</v>
      </c>
      <c r="K1980" t="s">
        <v>58</v>
      </c>
      <c r="L1980" t="s">
        <v>59</v>
      </c>
      <c r="M1980" s="24">
        <v>3</v>
      </c>
      <c r="N1980" s="25">
        <v>21162.73</v>
      </c>
      <c r="O1980" s="25">
        <f t="shared" si="244"/>
        <v>63488.19</v>
      </c>
      <c r="P1980" s="25">
        <v>12294.89</v>
      </c>
      <c r="Q1980" s="25">
        <f t="shared" si="245"/>
        <v>36884.67</v>
      </c>
      <c r="R1980" s="25">
        <f t="shared" si="246"/>
        <v>26603.520000000004</v>
      </c>
      <c r="S1980" s="26">
        <f t="shared" si="247"/>
        <v>0.41903100403397864</v>
      </c>
    </row>
    <row r="1981" spans="1:19" ht="15" x14ac:dyDescent="0.2">
      <c r="A1981" s="23">
        <v>46176</v>
      </c>
      <c r="B1981">
        <f t="shared" si="240"/>
        <v>2026</v>
      </c>
      <c r="C1981">
        <f t="shared" si="241"/>
        <v>6</v>
      </c>
      <c r="D1981" t="str">
        <f t="shared" si="242"/>
        <v>Junio</v>
      </c>
      <c r="E1981" t="str">
        <f t="shared" si="243"/>
        <v>T2</v>
      </c>
      <c r="F1981" t="s">
        <v>2108</v>
      </c>
      <c r="G1981" t="s">
        <v>100</v>
      </c>
      <c r="H1981" t="s">
        <v>88</v>
      </c>
      <c r="I1981" t="s">
        <v>101</v>
      </c>
      <c r="J1981" t="s">
        <v>64</v>
      </c>
      <c r="K1981" t="s">
        <v>96</v>
      </c>
      <c r="L1981" t="s">
        <v>103</v>
      </c>
      <c r="M1981" s="24">
        <v>25</v>
      </c>
      <c r="N1981" s="25">
        <v>37686.050000000003</v>
      </c>
      <c r="O1981" s="25">
        <f t="shared" si="244"/>
        <v>942151.25000000012</v>
      </c>
      <c r="P1981" s="25">
        <v>21174.01</v>
      </c>
      <c r="Q1981" s="25">
        <f t="shared" si="245"/>
        <v>529350.25</v>
      </c>
      <c r="R1981" s="25">
        <f t="shared" si="246"/>
        <v>412801.00000000012</v>
      </c>
      <c r="S1981" s="26">
        <f t="shared" si="247"/>
        <v>0.4381472720011782</v>
      </c>
    </row>
    <row r="1982" spans="1:19" ht="15" x14ac:dyDescent="0.2">
      <c r="A1982" s="23">
        <v>46177</v>
      </c>
      <c r="B1982">
        <f t="shared" si="240"/>
        <v>2026</v>
      </c>
      <c r="C1982">
        <f t="shared" si="241"/>
        <v>6</v>
      </c>
      <c r="D1982" t="str">
        <f t="shared" si="242"/>
        <v>Junio</v>
      </c>
      <c r="E1982" t="str">
        <f t="shared" si="243"/>
        <v>T2</v>
      </c>
      <c r="F1982" t="s">
        <v>2109</v>
      </c>
      <c r="G1982" t="s">
        <v>54</v>
      </c>
      <c r="H1982" t="s">
        <v>55</v>
      </c>
      <c r="I1982" t="s">
        <v>56</v>
      </c>
      <c r="J1982" t="s">
        <v>70</v>
      </c>
      <c r="K1982" t="s">
        <v>84</v>
      </c>
      <c r="L1982" t="s">
        <v>85</v>
      </c>
      <c r="M1982" s="24">
        <v>7</v>
      </c>
      <c r="N1982" s="25">
        <v>51266.17</v>
      </c>
      <c r="O1982" s="25">
        <f t="shared" si="244"/>
        <v>358863.19</v>
      </c>
      <c r="P1982" s="25">
        <v>42631.91</v>
      </c>
      <c r="Q1982" s="25">
        <f t="shared" si="245"/>
        <v>298423.37</v>
      </c>
      <c r="R1982" s="25">
        <f t="shared" si="246"/>
        <v>60439.820000000007</v>
      </c>
      <c r="S1982" s="26">
        <f t="shared" si="247"/>
        <v>0.16842022721806604</v>
      </c>
    </row>
    <row r="1983" spans="1:19" ht="15" x14ac:dyDescent="0.2">
      <c r="A1983" s="23">
        <v>46177</v>
      </c>
      <c r="B1983">
        <f t="shared" si="240"/>
        <v>2026</v>
      </c>
      <c r="C1983">
        <f t="shared" si="241"/>
        <v>6</v>
      </c>
      <c r="D1983" t="str">
        <f t="shared" si="242"/>
        <v>Junio</v>
      </c>
      <c r="E1983" t="str">
        <f t="shared" si="243"/>
        <v>T2</v>
      </c>
      <c r="F1983" t="s">
        <v>2110</v>
      </c>
      <c r="G1983" t="s">
        <v>68</v>
      </c>
      <c r="H1983" t="s">
        <v>62</v>
      </c>
      <c r="I1983" t="s">
        <v>69</v>
      </c>
      <c r="J1983" t="s">
        <v>64</v>
      </c>
      <c r="K1983" t="s">
        <v>96</v>
      </c>
      <c r="L1983" t="s">
        <v>97</v>
      </c>
      <c r="M1983" s="24">
        <v>399</v>
      </c>
      <c r="N1983" s="25">
        <v>3109.35</v>
      </c>
      <c r="O1983" s="25">
        <f t="shared" si="244"/>
        <v>1240630.6499999999</v>
      </c>
      <c r="P1983" s="25">
        <v>2597.58</v>
      </c>
      <c r="Q1983" s="25">
        <f t="shared" si="245"/>
        <v>1036434.4199999999</v>
      </c>
      <c r="R1983" s="25">
        <f t="shared" si="246"/>
        <v>204196.22999999998</v>
      </c>
      <c r="S1983" s="26">
        <f t="shared" si="247"/>
        <v>0.1645906700757393</v>
      </c>
    </row>
    <row r="1984" spans="1:19" ht="15" x14ac:dyDescent="0.2">
      <c r="A1984" s="23">
        <v>46177</v>
      </c>
      <c r="B1984">
        <f t="shared" si="240"/>
        <v>2026</v>
      </c>
      <c r="C1984">
        <f t="shared" si="241"/>
        <v>6</v>
      </c>
      <c r="D1984" t="str">
        <f t="shared" si="242"/>
        <v>Junio</v>
      </c>
      <c r="E1984" t="str">
        <f t="shared" si="243"/>
        <v>T2</v>
      </c>
      <c r="F1984" t="s">
        <v>2111</v>
      </c>
      <c r="G1984" t="s">
        <v>105</v>
      </c>
      <c r="H1984" t="s">
        <v>62</v>
      </c>
      <c r="I1984" t="s">
        <v>106</v>
      </c>
      <c r="J1984" t="s">
        <v>125</v>
      </c>
      <c r="K1984" t="s">
        <v>138</v>
      </c>
      <c r="L1984" t="s">
        <v>139</v>
      </c>
      <c r="M1984" s="24">
        <v>293</v>
      </c>
      <c r="N1984" s="25">
        <v>1876.38</v>
      </c>
      <c r="O1984" s="25">
        <f t="shared" si="244"/>
        <v>549779.34000000008</v>
      </c>
      <c r="P1984" s="25">
        <v>1501.65</v>
      </c>
      <c r="Q1984" s="25">
        <f t="shared" si="245"/>
        <v>439983.45</v>
      </c>
      <c r="R1984" s="25">
        <f t="shared" si="246"/>
        <v>109795.89000000007</v>
      </c>
      <c r="S1984" s="26">
        <f t="shared" si="247"/>
        <v>0.19970901416557424</v>
      </c>
    </row>
    <row r="1985" spans="1:19" ht="15" x14ac:dyDescent="0.2">
      <c r="A1985" s="23">
        <v>46177</v>
      </c>
      <c r="B1985">
        <f t="shared" si="240"/>
        <v>2026</v>
      </c>
      <c r="C1985">
        <f t="shared" si="241"/>
        <v>6</v>
      </c>
      <c r="D1985" t="str">
        <f t="shared" si="242"/>
        <v>Junio</v>
      </c>
      <c r="E1985" t="str">
        <f t="shared" si="243"/>
        <v>T2</v>
      </c>
      <c r="F1985" t="s">
        <v>2112</v>
      </c>
      <c r="G1985" t="s">
        <v>114</v>
      </c>
      <c r="H1985" t="s">
        <v>75</v>
      </c>
      <c r="I1985" t="s">
        <v>115</v>
      </c>
      <c r="J1985" t="s">
        <v>57</v>
      </c>
      <c r="K1985" t="s">
        <v>58</v>
      </c>
      <c r="L1985" t="s">
        <v>59</v>
      </c>
      <c r="M1985" s="24">
        <v>4</v>
      </c>
      <c r="N1985" s="25">
        <v>98044.81</v>
      </c>
      <c r="O1985" s="25">
        <f t="shared" si="244"/>
        <v>392179.24</v>
      </c>
      <c r="P1985" s="25">
        <v>66396.39</v>
      </c>
      <c r="Q1985" s="25">
        <f t="shared" si="245"/>
        <v>265585.56</v>
      </c>
      <c r="R1985" s="25">
        <f t="shared" si="246"/>
        <v>126593.68</v>
      </c>
      <c r="S1985" s="26">
        <f t="shared" si="247"/>
        <v>0.32279546464519643</v>
      </c>
    </row>
    <row r="1986" spans="1:19" ht="15" x14ac:dyDescent="0.2">
      <c r="A1986" s="23">
        <v>46177</v>
      </c>
      <c r="B1986">
        <f t="shared" ref="B1986:B2049" si="248">YEAR($A1986)</f>
        <v>2026</v>
      </c>
      <c r="C1986">
        <f t="shared" ref="C1986:C2049" si="249">MONTH($A1986)</f>
        <v>6</v>
      </c>
      <c r="D1986" t="str">
        <f t="shared" ref="D1986:D2049" si="250">INDEX(lst_Meses,MONTH($A1986))</f>
        <v>Junio</v>
      </c>
      <c r="E1986" t="str">
        <f t="shared" ref="E1986:E2049" si="251">"T"&amp;ROUNDUP(MONTH($A1986)/3,0)</f>
        <v>T2</v>
      </c>
      <c r="F1986" t="s">
        <v>2113</v>
      </c>
      <c r="G1986" t="s">
        <v>149</v>
      </c>
      <c r="H1986" t="s">
        <v>93</v>
      </c>
      <c r="I1986" t="s">
        <v>150</v>
      </c>
      <c r="J1986" t="s">
        <v>125</v>
      </c>
      <c r="K1986" t="s">
        <v>138</v>
      </c>
      <c r="L1986" t="s">
        <v>139</v>
      </c>
      <c r="M1986" s="24">
        <v>5</v>
      </c>
      <c r="N1986" s="25">
        <v>42453.919999999998</v>
      </c>
      <c r="O1986" s="25">
        <f t="shared" ref="O1986:O2049" si="252">$M1986*$N1986</f>
        <v>212269.59999999998</v>
      </c>
      <c r="P1986" s="25">
        <v>24651.13</v>
      </c>
      <c r="Q1986" s="25">
        <f t="shared" ref="Q1986:Q2049" si="253">$M1986*$P1986</f>
        <v>123255.65000000001</v>
      </c>
      <c r="R1986" s="25">
        <f t="shared" ref="R1986:R2049" si="254">$O1986-$Q1986</f>
        <v>89013.949999999968</v>
      </c>
      <c r="S1986" s="26">
        <f t="shared" ref="S1986:S2049" si="255">IFERROR($R1986/$O1986,0)</f>
        <v>0.4193438438664791</v>
      </c>
    </row>
    <row r="1987" spans="1:19" ht="15" x14ac:dyDescent="0.2">
      <c r="A1987" s="23">
        <v>46178</v>
      </c>
      <c r="B1987">
        <f t="shared" si="248"/>
        <v>2026</v>
      </c>
      <c r="C1987">
        <f t="shared" si="249"/>
        <v>6</v>
      </c>
      <c r="D1987" t="str">
        <f t="shared" si="250"/>
        <v>Junio</v>
      </c>
      <c r="E1987" t="str">
        <f t="shared" si="251"/>
        <v>T2</v>
      </c>
      <c r="F1987" t="s">
        <v>2114</v>
      </c>
      <c r="G1987" t="s">
        <v>183</v>
      </c>
      <c r="H1987" t="s">
        <v>55</v>
      </c>
      <c r="I1987" t="s">
        <v>184</v>
      </c>
      <c r="J1987" t="s">
        <v>64</v>
      </c>
      <c r="K1987" t="s">
        <v>65</v>
      </c>
      <c r="L1987" t="s">
        <v>123</v>
      </c>
      <c r="M1987" s="24">
        <v>5</v>
      </c>
      <c r="N1987" s="25">
        <v>364315.04</v>
      </c>
      <c r="O1987" s="25">
        <f t="shared" si="252"/>
        <v>1821575.2</v>
      </c>
      <c r="P1987" s="25">
        <v>296963.78000000003</v>
      </c>
      <c r="Q1987" s="25">
        <f t="shared" si="253"/>
        <v>1484818.9000000001</v>
      </c>
      <c r="R1987" s="25">
        <f t="shared" si="254"/>
        <v>336756.29999999981</v>
      </c>
      <c r="S1987" s="26">
        <f t="shared" si="255"/>
        <v>0.18487092929240573</v>
      </c>
    </row>
    <row r="1988" spans="1:19" ht="15" x14ac:dyDescent="0.2">
      <c r="A1988" s="23">
        <v>46178</v>
      </c>
      <c r="B1988">
        <f t="shared" si="248"/>
        <v>2026</v>
      </c>
      <c r="C1988">
        <f t="shared" si="249"/>
        <v>6</v>
      </c>
      <c r="D1988" t="str">
        <f t="shared" si="250"/>
        <v>Junio</v>
      </c>
      <c r="E1988" t="str">
        <f t="shared" si="251"/>
        <v>T2</v>
      </c>
      <c r="F1988" t="s">
        <v>2115</v>
      </c>
      <c r="G1988" t="s">
        <v>282</v>
      </c>
      <c r="H1988" t="s">
        <v>55</v>
      </c>
      <c r="I1988" t="s">
        <v>56</v>
      </c>
      <c r="J1988" t="s">
        <v>64</v>
      </c>
      <c r="K1988" t="s">
        <v>96</v>
      </c>
      <c r="L1988" t="s">
        <v>103</v>
      </c>
      <c r="M1988" s="24">
        <v>4</v>
      </c>
      <c r="N1988" s="25">
        <v>517339.7</v>
      </c>
      <c r="O1988" s="25">
        <f t="shared" si="252"/>
        <v>2069358.8</v>
      </c>
      <c r="P1988" s="25">
        <v>418429.94</v>
      </c>
      <c r="Q1988" s="25">
        <f t="shared" si="253"/>
        <v>1673719.76</v>
      </c>
      <c r="R1988" s="25">
        <f t="shared" si="254"/>
        <v>395639.04000000004</v>
      </c>
      <c r="S1988" s="26">
        <f t="shared" si="255"/>
        <v>0.19118919348350805</v>
      </c>
    </row>
    <row r="1989" spans="1:19" ht="15" x14ac:dyDescent="0.2">
      <c r="A1989" s="23">
        <v>46178</v>
      </c>
      <c r="B1989">
        <f t="shared" si="248"/>
        <v>2026</v>
      </c>
      <c r="C1989">
        <f t="shared" si="249"/>
        <v>6</v>
      </c>
      <c r="D1989" t="str">
        <f t="shared" si="250"/>
        <v>Junio</v>
      </c>
      <c r="E1989" t="str">
        <f t="shared" si="251"/>
        <v>T2</v>
      </c>
      <c r="F1989" t="s">
        <v>2116</v>
      </c>
      <c r="G1989" t="s">
        <v>68</v>
      </c>
      <c r="H1989" t="s">
        <v>62</v>
      </c>
      <c r="I1989" t="s">
        <v>69</v>
      </c>
      <c r="J1989" t="s">
        <v>70</v>
      </c>
      <c r="K1989" t="s">
        <v>84</v>
      </c>
      <c r="L1989" t="s">
        <v>85</v>
      </c>
      <c r="M1989" s="24">
        <v>92</v>
      </c>
      <c r="N1989" s="25">
        <v>3049.67</v>
      </c>
      <c r="O1989" s="25">
        <f t="shared" si="252"/>
        <v>280569.64</v>
      </c>
      <c r="P1989" s="25">
        <v>2595.4</v>
      </c>
      <c r="Q1989" s="25">
        <f t="shared" si="253"/>
        <v>238776.80000000002</v>
      </c>
      <c r="R1989" s="25">
        <f t="shared" si="254"/>
        <v>41792.839999999997</v>
      </c>
      <c r="S1989" s="26">
        <f t="shared" si="255"/>
        <v>0.14895710027642334</v>
      </c>
    </row>
    <row r="1990" spans="1:19" ht="15" x14ac:dyDescent="0.2">
      <c r="A1990" s="23">
        <v>46178</v>
      </c>
      <c r="B1990">
        <f t="shared" si="248"/>
        <v>2026</v>
      </c>
      <c r="C1990">
        <f t="shared" si="249"/>
        <v>6</v>
      </c>
      <c r="D1990" t="str">
        <f t="shared" si="250"/>
        <v>Junio</v>
      </c>
      <c r="E1990" t="str">
        <f t="shared" si="251"/>
        <v>T2</v>
      </c>
      <c r="F1990" t="s">
        <v>2117</v>
      </c>
      <c r="G1990" t="s">
        <v>92</v>
      </c>
      <c r="H1990" t="s">
        <v>93</v>
      </c>
      <c r="I1990" t="s">
        <v>94</v>
      </c>
      <c r="J1990" t="s">
        <v>64</v>
      </c>
      <c r="K1990" t="s">
        <v>65</v>
      </c>
      <c r="L1990" t="s">
        <v>66</v>
      </c>
      <c r="M1990" s="24">
        <v>30</v>
      </c>
      <c r="N1990" s="25">
        <v>20548.68</v>
      </c>
      <c r="O1990" s="25">
        <f t="shared" si="252"/>
        <v>616460.4</v>
      </c>
      <c r="P1990" s="25">
        <v>11893.61</v>
      </c>
      <c r="Q1990" s="25">
        <f t="shared" si="253"/>
        <v>356808.30000000005</v>
      </c>
      <c r="R1990" s="25">
        <f t="shared" si="254"/>
        <v>259652.09999999998</v>
      </c>
      <c r="S1990" s="26">
        <f t="shared" si="255"/>
        <v>0.42119834461386324</v>
      </c>
    </row>
    <row r="1991" spans="1:19" ht="15" x14ac:dyDescent="0.2">
      <c r="A1991" s="23">
        <v>46178</v>
      </c>
      <c r="B1991">
        <f t="shared" si="248"/>
        <v>2026</v>
      </c>
      <c r="C1991">
        <f t="shared" si="249"/>
        <v>6</v>
      </c>
      <c r="D1991" t="str">
        <f t="shared" si="250"/>
        <v>Junio</v>
      </c>
      <c r="E1991" t="str">
        <f t="shared" si="251"/>
        <v>T2</v>
      </c>
      <c r="F1991" t="s">
        <v>2118</v>
      </c>
      <c r="G1991" t="s">
        <v>92</v>
      </c>
      <c r="H1991" t="s">
        <v>93</v>
      </c>
      <c r="I1991" t="s">
        <v>94</v>
      </c>
      <c r="J1991" t="s">
        <v>70</v>
      </c>
      <c r="K1991" t="s">
        <v>71</v>
      </c>
      <c r="L1991" t="s">
        <v>90</v>
      </c>
      <c r="M1991" s="24">
        <v>8</v>
      </c>
      <c r="N1991" s="25">
        <v>19587.63</v>
      </c>
      <c r="O1991" s="25">
        <f t="shared" si="252"/>
        <v>156701.04</v>
      </c>
      <c r="P1991" s="25">
        <v>12100.55</v>
      </c>
      <c r="Q1991" s="25">
        <f t="shared" si="253"/>
        <v>96804.4</v>
      </c>
      <c r="R1991" s="25">
        <f t="shared" si="254"/>
        <v>59896.640000000014</v>
      </c>
      <c r="S1991" s="26">
        <f t="shared" si="255"/>
        <v>0.38223511471270394</v>
      </c>
    </row>
    <row r="1992" spans="1:19" ht="15" x14ac:dyDescent="0.2">
      <c r="A1992" s="23">
        <v>46179</v>
      </c>
      <c r="B1992">
        <f t="shared" si="248"/>
        <v>2026</v>
      </c>
      <c r="C1992">
        <f t="shared" si="249"/>
        <v>6</v>
      </c>
      <c r="D1992" t="str">
        <f t="shared" si="250"/>
        <v>Junio</v>
      </c>
      <c r="E1992" t="str">
        <f t="shared" si="251"/>
        <v>T2</v>
      </c>
      <c r="F1992" t="s">
        <v>2119</v>
      </c>
      <c r="G1992" t="s">
        <v>54</v>
      </c>
      <c r="H1992" t="s">
        <v>55</v>
      </c>
      <c r="I1992" t="s">
        <v>56</v>
      </c>
      <c r="J1992" t="s">
        <v>57</v>
      </c>
      <c r="K1992" t="s">
        <v>81</v>
      </c>
      <c r="L1992" t="s">
        <v>129</v>
      </c>
      <c r="M1992" s="24">
        <v>14</v>
      </c>
      <c r="N1992" s="25">
        <v>51554.19</v>
      </c>
      <c r="O1992" s="25">
        <f t="shared" si="252"/>
        <v>721758.66</v>
      </c>
      <c r="P1992" s="25">
        <v>40691.33</v>
      </c>
      <c r="Q1992" s="25">
        <f t="shared" si="253"/>
        <v>569678.62</v>
      </c>
      <c r="R1992" s="25">
        <f t="shared" si="254"/>
        <v>152080.04000000004</v>
      </c>
      <c r="S1992" s="26">
        <f t="shared" si="255"/>
        <v>0.21070760688898424</v>
      </c>
    </row>
    <row r="1993" spans="1:19" ht="15" x14ac:dyDescent="0.2">
      <c r="A1993" s="23">
        <v>46179</v>
      </c>
      <c r="B1993">
        <f t="shared" si="248"/>
        <v>2026</v>
      </c>
      <c r="C1993">
        <f t="shared" si="249"/>
        <v>6</v>
      </c>
      <c r="D1993" t="str">
        <f t="shared" si="250"/>
        <v>Junio</v>
      </c>
      <c r="E1993" t="str">
        <f t="shared" si="251"/>
        <v>T2</v>
      </c>
      <c r="F1993" t="s">
        <v>2120</v>
      </c>
      <c r="G1993" t="s">
        <v>68</v>
      </c>
      <c r="H1993" t="s">
        <v>62</v>
      </c>
      <c r="I1993" t="s">
        <v>69</v>
      </c>
      <c r="J1993" t="s">
        <v>64</v>
      </c>
      <c r="K1993" t="s">
        <v>96</v>
      </c>
      <c r="L1993" t="s">
        <v>103</v>
      </c>
      <c r="M1993" s="24">
        <v>295</v>
      </c>
      <c r="N1993" s="25">
        <v>3115.24</v>
      </c>
      <c r="O1993" s="25">
        <f t="shared" si="252"/>
        <v>918995.79999999993</v>
      </c>
      <c r="P1993" s="25">
        <v>2598.81</v>
      </c>
      <c r="Q1993" s="25">
        <f t="shared" si="253"/>
        <v>766648.95</v>
      </c>
      <c r="R1993" s="25">
        <f t="shared" si="254"/>
        <v>152346.84999999998</v>
      </c>
      <c r="S1993" s="26">
        <f t="shared" si="255"/>
        <v>0.16577534957178258</v>
      </c>
    </row>
    <row r="1994" spans="1:19" ht="15" x14ac:dyDescent="0.2">
      <c r="A1994" s="23">
        <v>46180</v>
      </c>
      <c r="B1994">
        <f t="shared" si="248"/>
        <v>2026</v>
      </c>
      <c r="C1994">
        <f t="shared" si="249"/>
        <v>6</v>
      </c>
      <c r="D1994" t="str">
        <f t="shared" si="250"/>
        <v>Junio</v>
      </c>
      <c r="E1994" t="str">
        <f t="shared" si="251"/>
        <v>T2</v>
      </c>
      <c r="F1994" t="s">
        <v>2121</v>
      </c>
      <c r="G1994" t="s">
        <v>183</v>
      </c>
      <c r="H1994" t="s">
        <v>55</v>
      </c>
      <c r="I1994" t="s">
        <v>184</v>
      </c>
      <c r="J1994" t="s">
        <v>77</v>
      </c>
      <c r="K1994" t="s">
        <v>107</v>
      </c>
      <c r="L1994" t="s">
        <v>108</v>
      </c>
      <c r="M1994" s="24">
        <v>3</v>
      </c>
      <c r="N1994" s="25">
        <v>336317.83</v>
      </c>
      <c r="O1994" s="25">
        <f t="shared" si="252"/>
        <v>1008953.49</v>
      </c>
      <c r="P1994" s="25">
        <v>255187.28</v>
      </c>
      <c r="Q1994" s="25">
        <f t="shared" si="253"/>
        <v>765561.84</v>
      </c>
      <c r="R1994" s="25">
        <f t="shared" si="254"/>
        <v>243391.65000000002</v>
      </c>
      <c r="S1994" s="26">
        <f t="shared" si="255"/>
        <v>0.24123178363751932</v>
      </c>
    </row>
    <row r="1995" spans="1:19" ht="15" x14ac:dyDescent="0.2">
      <c r="A1995" s="23">
        <v>46180</v>
      </c>
      <c r="B1995">
        <f t="shared" si="248"/>
        <v>2026</v>
      </c>
      <c r="C1995">
        <f t="shared" si="249"/>
        <v>6</v>
      </c>
      <c r="D1995" t="str">
        <f t="shared" si="250"/>
        <v>Junio</v>
      </c>
      <c r="E1995" t="str">
        <f t="shared" si="251"/>
        <v>T2</v>
      </c>
      <c r="F1995" t="s">
        <v>2122</v>
      </c>
      <c r="G1995" t="s">
        <v>54</v>
      </c>
      <c r="H1995" t="s">
        <v>55</v>
      </c>
      <c r="I1995" t="s">
        <v>56</v>
      </c>
      <c r="J1995" t="s">
        <v>70</v>
      </c>
      <c r="K1995" t="s">
        <v>71</v>
      </c>
      <c r="L1995" t="s">
        <v>72</v>
      </c>
      <c r="M1995" s="24">
        <v>8</v>
      </c>
      <c r="N1995" s="25">
        <v>49676.62</v>
      </c>
      <c r="O1995" s="25">
        <f t="shared" si="252"/>
        <v>397412.96</v>
      </c>
      <c r="P1995" s="25">
        <v>41753.64</v>
      </c>
      <c r="Q1995" s="25">
        <f t="shared" si="253"/>
        <v>334029.12</v>
      </c>
      <c r="R1995" s="25">
        <f t="shared" si="254"/>
        <v>63383.840000000026</v>
      </c>
      <c r="S1995" s="26">
        <f t="shared" si="255"/>
        <v>0.15949112479874844</v>
      </c>
    </row>
    <row r="1996" spans="1:19" ht="15" x14ac:dyDescent="0.2">
      <c r="A1996" s="23">
        <v>46180</v>
      </c>
      <c r="B1996">
        <f t="shared" si="248"/>
        <v>2026</v>
      </c>
      <c r="C1996">
        <f t="shared" si="249"/>
        <v>6</v>
      </c>
      <c r="D1996" t="str">
        <f t="shared" si="250"/>
        <v>Junio</v>
      </c>
      <c r="E1996" t="str">
        <f t="shared" si="251"/>
        <v>T2</v>
      </c>
      <c r="F1996" t="s">
        <v>2123</v>
      </c>
      <c r="G1996" t="s">
        <v>114</v>
      </c>
      <c r="H1996" t="s">
        <v>75</v>
      </c>
      <c r="I1996" t="s">
        <v>115</v>
      </c>
      <c r="J1996" t="s">
        <v>125</v>
      </c>
      <c r="K1996" t="s">
        <v>126</v>
      </c>
      <c r="L1996" t="s">
        <v>127</v>
      </c>
      <c r="M1996" s="24">
        <v>2</v>
      </c>
      <c r="N1996" s="25">
        <v>101421.7</v>
      </c>
      <c r="O1996" s="25">
        <f t="shared" si="252"/>
        <v>202843.4</v>
      </c>
      <c r="P1996" s="25">
        <v>70131.070000000007</v>
      </c>
      <c r="Q1996" s="25">
        <f t="shared" si="253"/>
        <v>140262.14000000001</v>
      </c>
      <c r="R1996" s="25">
        <f t="shared" si="254"/>
        <v>62581.25999999998</v>
      </c>
      <c r="S1996" s="26">
        <f t="shared" si="255"/>
        <v>0.30852007016249966</v>
      </c>
    </row>
    <row r="1997" spans="1:19" ht="15" x14ac:dyDescent="0.2">
      <c r="A1997" s="23">
        <v>46181</v>
      </c>
      <c r="B1997">
        <f t="shared" si="248"/>
        <v>2026</v>
      </c>
      <c r="C1997">
        <f t="shared" si="249"/>
        <v>6</v>
      </c>
      <c r="D1997" t="str">
        <f t="shared" si="250"/>
        <v>Junio</v>
      </c>
      <c r="E1997" t="str">
        <f t="shared" si="251"/>
        <v>T2</v>
      </c>
      <c r="F1997" t="s">
        <v>2124</v>
      </c>
      <c r="G1997" t="s">
        <v>61</v>
      </c>
      <c r="H1997" t="s">
        <v>62</v>
      </c>
      <c r="I1997" t="s">
        <v>63</v>
      </c>
      <c r="J1997" t="s">
        <v>57</v>
      </c>
      <c r="K1997" t="s">
        <v>81</v>
      </c>
      <c r="L1997" t="s">
        <v>82</v>
      </c>
      <c r="M1997" s="24">
        <v>74</v>
      </c>
      <c r="N1997" s="25">
        <v>5805.53</v>
      </c>
      <c r="O1997" s="25">
        <f t="shared" si="252"/>
        <v>429609.22</v>
      </c>
      <c r="P1997" s="25">
        <v>4777.54</v>
      </c>
      <c r="Q1997" s="25">
        <f t="shared" si="253"/>
        <v>353537.96</v>
      </c>
      <c r="R1997" s="25">
        <f t="shared" si="254"/>
        <v>76071.259999999951</v>
      </c>
      <c r="S1997" s="26">
        <f t="shared" si="255"/>
        <v>0.17707082729742149</v>
      </c>
    </row>
    <row r="1998" spans="1:19" ht="15" x14ac:dyDescent="0.2">
      <c r="A1998" s="23">
        <v>46181</v>
      </c>
      <c r="B1998">
        <f t="shared" si="248"/>
        <v>2026</v>
      </c>
      <c r="C1998">
        <f t="shared" si="249"/>
        <v>6</v>
      </c>
      <c r="D1998" t="str">
        <f t="shared" si="250"/>
        <v>Junio</v>
      </c>
      <c r="E1998" t="str">
        <f t="shared" si="251"/>
        <v>T2</v>
      </c>
      <c r="F1998" t="s">
        <v>2125</v>
      </c>
      <c r="G1998" t="s">
        <v>100</v>
      </c>
      <c r="H1998" t="s">
        <v>88</v>
      </c>
      <c r="I1998" t="s">
        <v>101</v>
      </c>
      <c r="J1998" t="s">
        <v>64</v>
      </c>
      <c r="K1998" t="s">
        <v>65</v>
      </c>
      <c r="L1998" t="s">
        <v>66</v>
      </c>
      <c r="M1998" s="24">
        <v>20</v>
      </c>
      <c r="N1998" s="25">
        <v>37333.42</v>
      </c>
      <c r="O1998" s="25">
        <f t="shared" si="252"/>
        <v>746668.39999999991</v>
      </c>
      <c r="P1998" s="25">
        <v>20778.27</v>
      </c>
      <c r="Q1998" s="25">
        <f t="shared" si="253"/>
        <v>415565.4</v>
      </c>
      <c r="R1998" s="25">
        <f t="shared" si="254"/>
        <v>331102.99999999988</v>
      </c>
      <c r="S1998" s="26">
        <f t="shared" si="255"/>
        <v>0.44344048844172318</v>
      </c>
    </row>
    <row r="1999" spans="1:19" ht="15" x14ac:dyDescent="0.2">
      <c r="A1999" s="23">
        <v>46181</v>
      </c>
      <c r="B1999">
        <f t="shared" si="248"/>
        <v>2026</v>
      </c>
      <c r="C1999">
        <f t="shared" si="249"/>
        <v>6</v>
      </c>
      <c r="D1999" t="str">
        <f t="shared" si="250"/>
        <v>Junio</v>
      </c>
      <c r="E1999" t="str">
        <f t="shared" si="251"/>
        <v>T2</v>
      </c>
      <c r="F1999" t="s">
        <v>2126</v>
      </c>
      <c r="G1999" t="s">
        <v>149</v>
      </c>
      <c r="H1999" t="s">
        <v>93</v>
      </c>
      <c r="I1999" t="s">
        <v>150</v>
      </c>
      <c r="J1999" t="s">
        <v>64</v>
      </c>
      <c r="K1999" t="s">
        <v>96</v>
      </c>
      <c r="L1999" t="s">
        <v>97</v>
      </c>
      <c r="M1999" s="24">
        <v>10</v>
      </c>
      <c r="N1999" s="25">
        <v>45511.74</v>
      </c>
      <c r="O1999" s="25">
        <f t="shared" si="252"/>
        <v>455117.39999999997</v>
      </c>
      <c r="P1999" s="25">
        <v>26609.22</v>
      </c>
      <c r="Q1999" s="25">
        <f t="shared" si="253"/>
        <v>266092.2</v>
      </c>
      <c r="R1999" s="25">
        <f t="shared" si="254"/>
        <v>189025.19999999995</v>
      </c>
      <c r="S1999" s="26">
        <f t="shared" si="255"/>
        <v>0.41533283500037566</v>
      </c>
    </row>
    <row r="2000" spans="1:19" ht="15" x14ac:dyDescent="0.2">
      <c r="A2000" s="23">
        <v>46182</v>
      </c>
      <c r="B2000">
        <f t="shared" si="248"/>
        <v>2026</v>
      </c>
      <c r="C2000">
        <f t="shared" si="249"/>
        <v>6</v>
      </c>
      <c r="D2000" t="str">
        <f t="shared" si="250"/>
        <v>Junio</v>
      </c>
      <c r="E2000" t="str">
        <f t="shared" si="251"/>
        <v>T2</v>
      </c>
      <c r="F2000" t="s">
        <v>2127</v>
      </c>
      <c r="G2000" t="s">
        <v>183</v>
      </c>
      <c r="H2000" t="s">
        <v>55</v>
      </c>
      <c r="I2000" t="s">
        <v>184</v>
      </c>
      <c r="J2000" t="s">
        <v>64</v>
      </c>
      <c r="K2000" t="s">
        <v>96</v>
      </c>
      <c r="L2000" t="s">
        <v>103</v>
      </c>
      <c r="M2000" s="24">
        <v>4</v>
      </c>
      <c r="N2000" s="25">
        <v>326156.56</v>
      </c>
      <c r="O2000" s="25">
        <f t="shared" si="252"/>
        <v>1304626.24</v>
      </c>
      <c r="P2000" s="25">
        <v>266234.01</v>
      </c>
      <c r="Q2000" s="25">
        <f t="shared" si="253"/>
        <v>1064936.04</v>
      </c>
      <c r="R2000" s="25">
        <f t="shared" si="254"/>
        <v>239690.19999999995</v>
      </c>
      <c r="S2000" s="26">
        <f t="shared" si="255"/>
        <v>0.18372327081202963</v>
      </c>
    </row>
    <row r="2001" spans="1:19" ht="15" x14ac:dyDescent="0.2">
      <c r="A2001" s="23">
        <v>46182</v>
      </c>
      <c r="B2001">
        <f t="shared" si="248"/>
        <v>2026</v>
      </c>
      <c r="C2001">
        <f t="shared" si="249"/>
        <v>6</v>
      </c>
      <c r="D2001" t="str">
        <f t="shared" si="250"/>
        <v>Junio</v>
      </c>
      <c r="E2001" t="str">
        <f t="shared" si="251"/>
        <v>T2</v>
      </c>
      <c r="F2001" t="s">
        <v>2128</v>
      </c>
      <c r="G2001" t="s">
        <v>54</v>
      </c>
      <c r="H2001" t="s">
        <v>55</v>
      </c>
      <c r="I2001" t="s">
        <v>56</v>
      </c>
      <c r="J2001" t="s">
        <v>77</v>
      </c>
      <c r="K2001" t="s">
        <v>78</v>
      </c>
      <c r="L2001" t="s">
        <v>117</v>
      </c>
      <c r="M2001" s="24">
        <v>15</v>
      </c>
      <c r="N2001" s="25">
        <v>52335.41</v>
      </c>
      <c r="O2001" s="25">
        <f t="shared" si="252"/>
        <v>785031.15</v>
      </c>
      <c r="P2001" s="25">
        <v>40809.19</v>
      </c>
      <c r="Q2001" s="25">
        <f t="shared" si="253"/>
        <v>612137.85000000009</v>
      </c>
      <c r="R2001" s="25">
        <f t="shared" si="254"/>
        <v>172893.29999999993</v>
      </c>
      <c r="S2001" s="26">
        <f t="shared" si="255"/>
        <v>0.22023750267744144</v>
      </c>
    </row>
    <row r="2002" spans="1:19" ht="15" x14ac:dyDescent="0.2">
      <c r="A2002" s="23">
        <v>46182</v>
      </c>
      <c r="B2002">
        <f t="shared" si="248"/>
        <v>2026</v>
      </c>
      <c r="C2002">
        <f t="shared" si="249"/>
        <v>6</v>
      </c>
      <c r="D2002" t="str">
        <f t="shared" si="250"/>
        <v>Junio</v>
      </c>
      <c r="E2002" t="str">
        <f t="shared" si="251"/>
        <v>T2</v>
      </c>
      <c r="F2002" t="s">
        <v>2129</v>
      </c>
      <c r="G2002" t="s">
        <v>54</v>
      </c>
      <c r="H2002" t="s">
        <v>55</v>
      </c>
      <c r="I2002" t="s">
        <v>56</v>
      </c>
      <c r="J2002" t="s">
        <v>125</v>
      </c>
      <c r="K2002" t="s">
        <v>126</v>
      </c>
      <c r="L2002" t="s">
        <v>131</v>
      </c>
      <c r="M2002" s="24">
        <v>12</v>
      </c>
      <c r="N2002" s="25">
        <v>53416.32</v>
      </c>
      <c r="O2002" s="25">
        <f t="shared" si="252"/>
        <v>640995.83999999997</v>
      </c>
      <c r="P2002" s="25">
        <v>42764.93</v>
      </c>
      <c r="Q2002" s="25">
        <f t="shared" si="253"/>
        <v>513179.16000000003</v>
      </c>
      <c r="R2002" s="25">
        <f t="shared" si="254"/>
        <v>127816.67999999993</v>
      </c>
      <c r="S2002" s="26">
        <f t="shared" si="255"/>
        <v>0.1994032909792362</v>
      </c>
    </row>
    <row r="2003" spans="1:19" ht="15" x14ac:dyDescent="0.2">
      <c r="A2003" s="23">
        <v>46182</v>
      </c>
      <c r="B2003">
        <f t="shared" si="248"/>
        <v>2026</v>
      </c>
      <c r="C2003">
        <f t="shared" si="249"/>
        <v>6</v>
      </c>
      <c r="D2003" t="str">
        <f t="shared" si="250"/>
        <v>Junio</v>
      </c>
      <c r="E2003" t="str">
        <f t="shared" si="251"/>
        <v>T2</v>
      </c>
      <c r="F2003" t="s">
        <v>2130</v>
      </c>
      <c r="G2003" t="s">
        <v>68</v>
      </c>
      <c r="H2003" t="s">
        <v>62</v>
      </c>
      <c r="I2003" t="s">
        <v>69</v>
      </c>
      <c r="J2003" t="s">
        <v>57</v>
      </c>
      <c r="K2003" t="s">
        <v>58</v>
      </c>
      <c r="L2003" t="s">
        <v>162</v>
      </c>
      <c r="M2003" s="24">
        <v>133</v>
      </c>
      <c r="N2003" s="25">
        <v>3184.69</v>
      </c>
      <c r="O2003" s="25">
        <f t="shared" si="252"/>
        <v>423563.77</v>
      </c>
      <c r="P2003" s="25">
        <v>2603.83</v>
      </c>
      <c r="Q2003" s="25">
        <f t="shared" si="253"/>
        <v>346309.39</v>
      </c>
      <c r="R2003" s="25">
        <f t="shared" si="254"/>
        <v>77254.38</v>
      </c>
      <c r="S2003" s="26">
        <f t="shared" si="255"/>
        <v>0.18239137875272005</v>
      </c>
    </row>
    <row r="2004" spans="1:19" ht="15" x14ac:dyDescent="0.2">
      <c r="A2004" s="23">
        <v>46182</v>
      </c>
      <c r="B2004">
        <f t="shared" si="248"/>
        <v>2026</v>
      </c>
      <c r="C2004">
        <f t="shared" si="249"/>
        <v>6</v>
      </c>
      <c r="D2004" t="str">
        <f t="shared" si="250"/>
        <v>Junio</v>
      </c>
      <c r="E2004" t="str">
        <f t="shared" si="251"/>
        <v>T2</v>
      </c>
      <c r="F2004" t="s">
        <v>2131</v>
      </c>
      <c r="G2004" t="s">
        <v>68</v>
      </c>
      <c r="H2004" t="s">
        <v>62</v>
      </c>
      <c r="I2004" t="s">
        <v>69</v>
      </c>
      <c r="J2004" t="s">
        <v>70</v>
      </c>
      <c r="K2004" t="s">
        <v>71</v>
      </c>
      <c r="L2004" t="s">
        <v>72</v>
      </c>
      <c r="M2004" s="24">
        <v>50</v>
      </c>
      <c r="N2004" s="25">
        <v>3043.75</v>
      </c>
      <c r="O2004" s="25">
        <f t="shared" si="252"/>
        <v>152187.5</v>
      </c>
      <c r="P2004" s="25">
        <v>2611.5</v>
      </c>
      <c r="Q2004" s="25">
        <f t="shared" si="253"/>
        <v>130575</v>
      </c>
      <c r="R2004" s="25">
        <f t="shared" si="254"/>
        <v>21612.5</v>
      </c>
      <c r="S2004" s="26">
        <f t="shared" si="255"/>
        <v>0.14201232032854211</v>
      </c>
    </row>
    <row r="2005" spans="1:19" ht="15" x14ac:dyDescent="0.2">
      <c r="A2005" s="23">
        <v>46182</v>
      </c>
      <c r="B2005">
        <f t="shared" si="248"/>
        <v>2026</v>
      </c>
      <c r="C2005">
        <f t="shared" si="249"/>
        <v>6</v>
      </c>
      <c r="D2005" t="str">
        <f t="shared" si="250"/>
        <v>Junio</v>
      </c>
      <c r="E2005" t="str">
        <f t="shared" si="251"/>
        <v>T2</v>
      </c>
      <c r="F2005" t="s">
        <v>2132</v>
      </c>
      <c r="G2005" t="s">
        <v>114</v>
      </c>
      <c r="H2005" t="s">
        <v>75</v>
      </c>
      <c r="I2005" t="s">
        <v>115</v>
      </c>
      <c r="J2005" t="s">
        <v>64</v>
      </c>
      <c r="K2005" t="s">
        <v>65</v>
      </c>
      <c r="L2005" t="s">
        <v>123</v>
      </c>
      <c r="M2005" s="24">
        <v>6</v>
      </c>
      <c r="N2005" s="25">
        <v>87296.73</v>
      </c>
      <c r="O2005" s="25">
        <f t="shared" si="252"/>
        <v>523780.38</v>
      </c>
      <c r="P2005" s="25">
        <v>60310.5</v>
      </c>
      <c r="Q2005" s="25">
        <f t="shared" si="253"/>
        <v>361863</v>
      </c>
      <c r="R2005" s="25">
        <f t="shared" si="254"/>
        <v>161917.38</v>
      </c>
      <c r="S2005" s="26">
        <f t="shared" si="255"/>
        <v>0.30913219773524164</v>
      </c>
    </row>
    <row r="2006" spans="1:19" ht="15" x14ac:dyDescent="0.2">
      <c r="A2006" s="23">
        <v>46182</v>
      </c>
      <c r="B2006">
        <f t="shared" si="248"/>
        <v>2026</v>
      </c>
      <c r="C2006">
        <f t="shared" si="249"/>
        <v>6</v>
      </c>
      <c r="D2006" t="str">
        <f t="shared" si="250"/>
        <v>Junio</v>
      </c>
      <c r="E2006" t="str">
        <f t="shared" si="251"/>
        <v>T2</v>
      </c>
      <c r="F2006" t="s">
        <v>2133</v>
      </c>
      <c r="G2006" t="s">
        <v>114</v>
      </c>
      <c r="H2006" t="s">
        <v>75</v>
      </c>
      <c r="I2006" t="s">
        <v>115</v>
      </c>
      <c r="J2006" t="s">
        <v>64</v>
      </c>
      <c r="K2006" t="s">
        <v>96</v>
      </c>
      <c r="L2006" t="s">
        <v>97</v>
      </c>
      <c r="M2006" s="24">
        <v>5</v>
      </c>
      <c r="N2006" s="25">
        <v>93142.62</v>
      </c>
      <c r="O2006" s="25">
        <f t="shared" si="252"/>
        <v>465713.1</v>
      </c>
      <c r="P2006" s="25">
        <v>64404.480000000003</v>
      </c>
      <c r="Q2006" s="25">
        <f t="shared" si="253"/>
        <v>322022.40000000002</v>
      </c>
      <c r="R2006" s="25">
        <f t="shared" si="254"/>
        <v>143690.69999999995</v>
      </c>
      <c r="S2006" s="26">
        <f t="shared" si="255"/>
        <v>0.30853909842776583</v>
      </c>
    </row>
    <row r="2007" spans="1:19" ht="15" x14ac:dyDescent="0.2">
      <c r="A2007" s="23">
        <v>46182</v>
      </c>
      <c r="B2007">
        <f t="shared" si="248"/>
        <v>2026</v>
      </c>
      <c r="C2007">
        <f t="shared" si="249"/>
        <v>6</v>
      </c>
      <c r="D2007" t="str">
        <f t="shared" si="250"/>
        <v>Junio</v>
      </c>
      <c r="E2007" t="str">
        <f t="shared" si="251"/>
        <v>T2</v>
      </c>
      <c r="F2007" t="s">
        <v>2134</v>
      </c>
      <c r="G2007" t="s">
        <v>114</v>
      </c>
      <c r="H2007" t="s">
        <v>75</v>
      </c>
      <c r="I2007" t="s">
        <v>115</v>
      </c>
      <c r="J2007" t="s">
        <v>70</v>
      </c>
      <c r="K2007" t="s">
        <v>84</v>
      </c>
      <c r="L2007" t="s">
        <v>147</v>
      </c>
      <c r="M2007" s="24">
        <v>4</v>
      </c>
      <c r="N2007" s="25">
        <v>91924.89</v>
      </c>
      <c r="O2007" s="25">
        <f t="shared" si="252"/>
        <v>367699.56</v>
      </c>
      <c r="P2007" s="25">
        <v>66640.320000000007</v>
      </c>
      <c r="Q2007" s="25">
        <f t="shared" si="253"/>
        <v>266561.28000000003</v>
      </c>
      <c r="R2007" s="25">
        <f t="shared" si="254"/>
        <v>101138.27999999997</v>
      </c>
      <c r="S2007" s="26">
        <f t="shared" si="255"/>
        <v>0.27505684260269436</v>
      </c>
    </row>
    <row r="2008" spans="1:19" ht="15" x14ac:dyDescent="0.2">
      <c r="A2008" s="23">
        <v>46182</v>
      </c>
      <c r="B2008">
        <f t="shared" si="248"/>
        <v>2026</v>
      </c>
      <c r="C2008">
        <f t="shared" si="249"/>
        <v>6</v>
      </c>
      <c r="D2008" t="str">
        <f t="shared" si="250"/>
        <v>Junio</v>
      </c>
      <c r="E2008" t="str">
        <f t="shared" si="251"/>
        <v>T2</v>
      </c>
      <c r="F2008" t="s">
        <v>2135</v>
      </c>
      <c r="G2008" t="s">
        <v>114</v>
      </c>
      <c r="H2008" t="s">
        <v>75</v>
      </c>
      <c r="I2008" t="s">
        <v>115</v>
      </c>
      <c r="J2008" t="s">
        <v>70</v>
      </c>
      <c r="K2008" t="s">
        <v>71</v>
      </c>
      <c r="L2008" t="s">
        <v>90</v>
      </c>
      <c r="M2008" s="24">
        <v>3</v>
      </c>
      <c r="N2008" s="25">
        <v>84180.62</v>
      </c>
      <c r="O2008" s="25">
        <f t="shared" si="252"/>
        <v>252541.86</v>
      </c>
      <c r="P2008" s="25">
        <v>60571.92</v>
      </c>
      <c r="Q2008" s="25">
        <f t="shared" si="253"/>
        <v>181715.76</v>
      </c>
      <c r="R2008" s="25">
        <f t="shared" si="254"/>
        <v>70826.099999999977</v>
      </c>
      <c r="S2008" s="26">
        <f t="shared" si="255"/>
        <v>0.28045291184598065</v>
      </c>
    </row>
    <row r="2009" spans="1:19" ht="15" x14ac:dyDescent="0.2">
      <c r="A2009" s="23">
        <v>46182</v>
      </c>
      <c r="B2009">
        <f t="shared" si="248"/>
        <v>2026</v>
      </c>
      <c r="C2009">
        <f t="shared" si="249"/>
        <v>6</v>
      </c>
      <c r="D2009" t="str">
        <f t="shared" si="250"/>
        <v>Junio</v>
      </c>
      <c r="E2009" t="str">
        <f t="shared" si="251"/>
        <v>T2</v>
      </c>
      <c r="F2009" t="s">
        <v>2136</v>
      </c>
      <c r="G2009" t="s">
        <v>87</v>
      </c>
      <c r="H2009" t="s">
        <v>88</v>
      </c>
      <c r="I2009" t="s">
        <v>89</v>
      </c>
      <c r="J2009" t="s">
        <v>57</v>
      </c>
      <c r="K2009" t="s">
        <v>58</v>
      </c>
      <c r="L2009" t="s">
        <v>162</v>
      </c>
      <c r="M2009" s="24">
        <v>5</v>
      </c>
      <c r="N2009" s="25">
        <v>62639.85</v>
      </c>
      <c r="O2009" s="25">
        <f t="shared" si="252"/>
        <v>313199.25</v>
      </c>
      <c r="P2009" s="25">
        <v>33804.639999999999</v>
      </c>
      <c r="Q2009" s="25">
        <f t="shared" si="253"/>
        <v>169023.2</v>
      </c>
      <c r="R2009" s="25">
        <f t="shared" si="254"/>
        <v>144176.04999999999</v>
      </c>
      <c r="S2009" s="26">
        <f t="shared" si="255"/>
        <v>0.46033331816726886</v>
      </c>
    </row>
    <row r="2010" spans="1:19" ht="15" x14ac:dyDescent="0.2">
      <c r="A2010" s="23">
        <v>46182</v>
      </c>
      <c r="B2010">
        <f t="shared" si="248"/>
        <v>2026</v>
      </c>
      <c r="C2010">
        <f t="shared" si="249"/>
        <v>6</v>
      </c>
      <c r="D2010" t="str">
        <f t="shared" si="250"/>
        <v>Junio</v>
      </c>
      <c r="E2010" t="str">
        <f t="shared" si="251"/>
        <v>T2</v>
      </c>
      <c r="F2010" t="s">
        <v>2137</v>
      </c>
      <c r="G2010" t="s">
        <v>149</v>
      </c>
      <c r="H2010" t="s">
        <v>93</v>
      </c>
      <c r="I2010" t="s">
        <v>150</v>
      </c>
      <c r="J2010" t="s">
        <v>57</v>
      </c>
      <c r="K2010" t="s">
        <v>81</v>
      </c>
      <c r="L2010" t="s">
        <v>82</v>
      </c>
      <c r="M2010" s="24">
        <v>9</v>
      </c>
      <c r="N2010" s="25">
        <v>43080.06</v>
      </c>
      <c r="O2010" s="25">
        <f t="shared" si="252"/>
        <v>387720.54</v>
      </c>
      <c r="P2010" s="25">
        <v>25228.89</v>
      </c>
      <c r="Q2010" s="25">
        <f t="shared" si="253"/>
        <v>227060.01</v>
      </c>
      <c r="R2010" s="25">
        <f t="shared" si="254"/>
        <v>160660.52999999997</v>
      </c>
      <c r="S2010" s="26">
        <f t="shared" si="255"/>
        <v>0.41437198555433763</v>
      </c>
    </row>
    <row r="2011" spans="1:19" ht="15" x14ac:dyDescent="0.2">
      <c r="A2011" s="23">
        <v>46183</v>
      </c>
      <c r="B2011">
        <f t="shared" si="248"/>
        <v>2026</v>
      </c>
      <c r="C2011">
        <f t="shared" si="249"/>
        <v>6</v>
      </c>
      <c r="D2011" t="str">
        <f t="shared" si="250"/>
        <v>Junio</v>
      </c>
      <c r="E2011" t="str">
        <f t="shared" si="251"/>
        <v>T2</v>
      </c>
      <c r="F2011" t="s">
        <v>2138</v>
      </c>
      <c r="G2011" t="s">
        <v>54</v>
      </c>
      <c r="H2011" t="s">
        <v>55</v>
      </c>
      <c r="I2011" t="s">
        <v>56</v>
      </c>
      <c r="J2011" t="s">
        <v>77</v>
      </c>
      <c r="K2011" t="s">
        <v>78</v>
      </c>
      <c r="L2011" t="s">
        <v>79</v>
      </c>
      <c r="M2011" s="24">
        <v>23</v>
      </c>
      <c r="N2011" s="25">
        <v>53374.69</v>
      </c>
      <c r="O2011" s="25">
        <f t="shared" si="252"/>
        <v>1227617.8700000001</v>
      </c>
      <c r="P2011" s="25">
        <v>41329.69</v>
      </c>
      <c r="Q2011" s="25">
        <f t="shared" si="253"/>
        <v>950582.87000000011</v>
      </c>
      <c r="R2011" s="25">
        <f t="shared" si="254"/>
        <v>277035</v>
      </c>
      <c r="S2011" s="26">
        <f t="shared" si="255"/>
        <v>0.22566875798248193</v>
      </c>
    </row>
    <row r="2012" spans="1:19" ht="15" x14ac:dyDescent="0.2">
      <c r="A2012" s="23">
        <v>46183</v>
      </c>
      <c r="B2012">
        <f t="shared" si="248"/>
        <v>2026</v>
      </c>
      <c r="C2012">
        <f t="shared" si="249"/>
        <v>6</v>
      </c>
      <c r="D2012" t="str">
        <f t="shared" si="250"/>
        <v>Junio</v>
      </c>
      <c r="E2012" t="str">
        <f t="shared" si="251"/>
        <v>T2</v>
      </c>
      <c r="F2012" t="s">
        <v>2139</v>
      </c>
      <c r="G2012" t="s">
        <v>61</v>
      </c>
      <c r="H2012" t="s">
        <v>62</v>
      </c>
      <c r="I2012" t="s">
        <v>63</v>
      </c>
      <c r="J2012" t="s">
        <v>57</v>
      </c>
      <c r="K2012" t="s">
        <v>81</v>
      </c>
      <c r="L2012" t="s">
        <v>129</v>
      </c>
      <c r="M2012" s="24">
        <v>180</v>
      </c>
      <c r="N2012" s="25">
        <v>5872.74</v>
      </c>
      <c r="O2012" s="25">
        <f t="shared" si="252"/>
        <v>1057093.2</v>
      </c>
      <c r="P2012" s="25">
        <v>4787.3599999999997</v>
      </c>
      <c r="Q2012" s="25">
        <f t="shared" si="253"/>
        <v>861724.79999999993</v>
      </c>
      <c r="R2012" s="25">
        <f t="shared" si="254"/>
        <v>195368.40000000002</v>
      </c>
      <c r="S2012" s="26">
        <f t="shared" si="255"/>
        <v>0.18481662733238663</v>
      </c>
    </row>
    <row r="2013" spans="1:19" ht="15" x14ac:dyDescent="0.2">
      <c r="A2013" s="23">
        <v>46183</v>
      </c>
      <c r="B2013">
        <f t="shared" si="248"/>
        <v>2026</v>
      </c>
      <c r="C2013">
        <f t="shared" si="249"/>
        <v>6</v>
      </c>
      <c r="D2013" t="str">
        <f t="shared" si="250"/>
        <v>Junio</v>
      </c>
      <c r="E2013" t="str">
        <f t="shared" si="251"/>
        <v>T2</v>
      </c>
      <c r="F2013" t="s">
        <v>2140</v>
      </c>
      <c r="G2013" t="s">
        <v>114</v>
      </c>
      <c r="H2013" t="s">
        <v>75</v>
      </c>
      <c r="I2013" t="s">
        <v>115</v>
      </c>
      <c r="J2013" t="s">
        <v>77</v>
      </c>
      <c r="K2013" t="s">
        <v>78</v>
      </c>
      <c r="L2013" t="s">
        <v>79</v>
      </c>
      <c r="M2013" s="24">
        <v>6</v>
      </c>
      <c r="N2013" s="25">
        <v>91096.77</v>
      </c>
      <c r="O2013" s="25">
        <f t="shared" si="252"/>
        <v>546580.62</v>
      </c>
      <c r="P2013" s="25">
        <v>60716.01</v>
      </c>
      <c r="Q2013" s="25">
        <f t="shared" si="253"/>
        <v>364296.06</v>
      </c>
      <c r="R2013" s="25">
        <f t="shared" si="254"/>
        <v>182284.56</v>
      </c>
      <c r="S2013" s="26">
        <f t="shared" si="255"/>
        <v>0.33349985954496519</v>
      </c>
    </row>
    <row r="2014" spans="1:19" ht="15" x14ac:dyDescent="0.2">
      <c r="A2014" s="23">
        <v>46183</v>
      </c>
      <c r="B2014">
        <f t="shared" si="248"/>
        <v>2026</v>
      </c>
      <c r="C2014">
        <f t="shared" si="249"/>
        <v>6</v>
      </c>
      <c r="D2014" t="str">
        <f t="shared" si="250"/>
        <v>Junio</v>
      </c>
      <c r="E2014" t="str">
        <f t="shared" si="251"/>
        <v>T2</v>
      </c>
      <c r="F2014" t="s">
        <v>2141</v>
      </c>
      <c r="G2014" t="s">
        <v>144</v>
      </c>
      <c r="H2014" t="s">
        <v>88</v>
      </c>
      <c r="I2014" t="s">
        <v>145</v>
      </c>
      <c r="J2014" t="s">
        <v>57</v>
      </c>
      <c r="K2014" t="s">
        <v>81</v>
      </c>
      <c r="L2014" t="s">
        <v>82</v>
      </c>
      <c r="M2014" s="24">
        <v>75</v>
      </c>
      <c r="N2014" s="25">
        <v>13148.41</v>
      </c>
      <c r="O2014" s="25">
        <f t="shared" si="252"/>
        <v>986130.75</v>
      </c>
      <c r="P2014" s="25">
        <v>7029.74</v>
      </c>
      <c r="Q2014" s="25">
        <f t="shared" si="253"/>
        <v>527230.5</v>
      </c>
      <c r="R2014" s="25">
        <f t="shared" si="254"/>
        <v>458900.25</v>
      </c>
      <c r="S2014" s="26">
        <f t="shared" si="255"/>
        <v>0.46535436604121716</v>
      </c>
    </row>
    <row r="2015" spans="1:19" ht="15" x14ac:dyDescent="0.2">
      <c r="A2015" s="23">
        <v>46183</v>
      </c>
      <c r="B2015">
        <f t="shared" si="248"/>
        <v>2026</v>
      </c>
      <c r="C2015">
        <f t="shared" si="249"/>
        <v>6</v>
      </c>
      <c r="D2015" t="str">
        <f t="shared" si="250"/>
        <v>Junio</v>
      </c>
      <c r="E2015" t="str">
        <f t="shared" si="251"/>
        <v>T2</v>
      </c>
      <c r="F2015" t="s">
        <v>2142</v>
      </c>
      <c r="G2015" t="s">
        <v>144</v>
      </c>
      <c r="H2015" t="s">
        <v>88</v>
      </c>
      <c r="I2015" t="s">
        <v>145</v>
      </c>
      <c r="J2015" t="s">
        <v>125</v>
      </c>
      <c r="K2015" t="s">
        <v>126</v>
      </c>
      <c r="L2015" t="s">
        <v>127</v>
      </c>
      <c r="M2015" s="24">
        <v>7</v>
      </c>
      <c r="N2015" s="25">
        <v>13332.91</v>
      </c>
      <c r="O2015" s="25">
        <f t="shared" si="252"/>
        <v>93330.37</v>
      </c>
      <c r="P2015" s="25">
        <v>7286.61</v>
      </c>
      <c r="Q2015" s="25">
        <f t="shared" si="253"/>
        <v>51006.27</v>
      </c>
      <c r="R2015" s="25">
        <f t="shared" si="254"/>
        <v>42324.1</v>
      </c>
      <c r="S2015" s="26">
        <f t="shared" si="255"/>
        <v>0.45348689820901816</v>
      </c>
    </row>
    <row r="2016" spans="1:19" ht="15" x14ac:dyDescent="0.2">
      <c r="A2016" s="23">
        <v>46183</v>
      </c>
      <c r="B2016">
        <f t="shared" si="248"/>
        <v>2026</v>
      </c>
      <c r="C2016">
        <f t="shared" si="249"/>
        <v>6</v>
      </c>
      <c r="D2016" t="str">
        <f t="shared" si="250"/>
        <v>Junio</v>
      </c>
      <c r="E2016" t="str">
        <f t="shared" si="251"/>
        <v>T2</v>
      </c>
      <c r="F2016" t="s">
        <v>2143</v>
      </c>
      <c r="G2016" t="s">
        <v>149</v>
      </c>
      <c r="H2016" t="s">
        <v>93</v>
      </c>
      <c r="I2016" t="s">
        <v>150</v>
      </c>
      <c r="J2016" t="s">
        <v>77</v>
      </c>
      <c r="K2016" t="s">
        <v>78</v>
      </c>
      <c r="L2016" t="s">
        <v>117</v>
      </c>
      <c r="M2016" s="24">
        <v>3</v>
      </c>
      <c r="N2016" s="25">
        <v>50992.26</v>
      </c>
      <c r="O2016" s="25">
        <f t="shared" si="252"/>
        <v>152976.78</v>
      </c>
      <c r="P2016" s="25">
        <v>28353.19</v>
      </c>
      <c r="Q2016" s="25">
        <f t="shared" si="253"/>
        <v>85059.569999999992</v>
      </c>
      <c r="R2016" s="25">
        <f t="shared" si="254"/>
        <v>67917.210000000006</v>
      </c>
      <c r="S2016" s="26">
        <f t="shared" si="255"/>
        <v>0.44397071241792385</v>
      </c>
    </row>
    <row r="2017" spans="1:19" ht="15" x14ac:dyDescent="0.2">
      <c r="A2017" s="23">
        <v>46183</v>
      </c>
      <c r="B2017">
        <f t="shared" si="248"/>
        <v>2026</v>
      </c>
      <c r="C2017">
        <f t="shared" si="249"/>
        <v>6</v>
      </c>
      <c r="D2017" t="str">
        <f t="shared" si="250"/>
        <v>Junio</v>
      </c>
      <c r="E2017" t="str">
        <f t="shared" si="251"/>
        <v>T2</v>
      </c>
      <c r="F2017" t="s">
        <v>2144</v>
      </c>
      <c r="G2017" t="s">
        <v>149</v>
      </c>
      <c r="H2017" t="s">
        <v>93</v>
      </c>
      <c r="I2017" t="s">
        <v>150</v>
      </c>
      <c r="J2017" t="s">
        <v>70</v>
      </c>
      <c r="K2017" t="s">
        <v>84</v>
      </c>
      <c r="L2017" t="s">
        <v>85</v>
      </c>
      <c r="M2017" s="24">
        <v>3</v>
      </c>
      <c r="N2017" s="25">
        <v>42453.16</v>
      </c>
      <c r="O2017" s="25">
        <f t="shared" si="252"/>
        <v>127359.48000000001</v>
      </c>
      <c r="P2017" s="25">
        <v>26139.73</v>
      </c>
      <c r="Q2017" s="25">
        <f t="shared" si="253"/>
        <v>78419.19</v>
      </c>
      <c r="R2017" s="25">
        <f t="shared" si="254"/>
        <v>48940.290000000008</v>
      </c>
      <c r="S2017" s="26">
        <f t="shared" si="255"/>
        <v>0.3842689213241135</v>
      </c>
    </row>
    <row r="2018" spans="1:19" ht="15" x14ac:dyDescent="0.2">
      <c r="A2018" s="23">
        <v>46184</v>
      </c>
      <c r="B2018">
        <f t="shared" si="248"/>
        <v>2026</v>
      </c>
      <c r="C2018">
        <f t="shared" si="249"/>
        <v>6</v>
      </c>
      <c r="D2018" t="str">
        <f t="shared" si="250"/>
        <v>Junio</v>
      </c>
      <c r="E2018" t="str">
        <f t="shared" si="251"/>
        <v>T2</v>
      </c>
      <c r="F2018" t="s">
        <v>2145</v>
      </c>
      <c r="G2018" t="s">
        <v>114</v>
      </c>
      <c r="H2018" t="s">
        <v>75</v>
      </c>
      <c r="I2018" t="s">
        <v>115</v>
      </c>
      <c r="J2018" t="s">
        <v>125</v>
      </c>
      <c r="K2018" t="s">
        <v>138</v>
      </c>
      <c r="L2018" t="s">
        <v>142</v>
      </c>
      <c r="M2018" s="24">
        <v>3</v>
      </c>
      <c r="N2018" s="25">
        <v>84190.81</v>
      </c>
      <c r="O2018" s="25">
        <f t="shared" si="252"/>
        <v>252572.43</v>
      </c>
      <c r="P2018" s="25">
        <v>56020.06</v>
      </c>
      <c r="Q2018" s="25">
        <f t="shared" si="253"/>
        <v>168060.18</v>
      </c>
      <c r="R2018" s="25">
        <f t="shared" si="254"/>
        <v>84512.25</v>
      </c>
      <c r="S2018" s="26">
        <f t="shared" si="255"/>
        <v>0.33460599797056234</v>
      </c>
    </row>
    <row r="2019" spans="1:19" ht="15" x14ac:dyDescent="0.2">
      <c r="A2019" s="23">
        <v>46184</v>
      </c>
      <c r="B2019">
        <f t="shared" si="248"/>
        <v>2026</v>
      </c>
      <c r="C2019">
        <f t="shared" si="249"/>
        <v>6</v>
      </c>
      <c r="D2019" t="str">
        <f t="shared" si="250"/>
        <v>Junio</v>
      </c>
      <c r="E2019" t="str">
        <f t="shared" si="251"/>
        <v>T2</v>
      </c>
      <c r="F2019" t="s">
        <v>2146</v>
      </c>
      <c r="G2019" t="s">
        <v>144</v>
      </c>
      <c r="H2019" t="s">
        <v>88</v>
      </c>
      <c r="I2019" t="s">
        <v>145</v>
      </c>
      <c r="J2019" t="s">
        <v>64</v>
      </c>
      <c r="K2019" t="s">
        <v>65</v>
      </c>
      <c r="L2019" t="s">
        <v>66</v>
      </c>
      <c r="M2019" s="24">
        <v>1</v>
      </c>
      <c r="N2019" s="25">
        <v>4120.3999999999996</v>
      </c>
      <c r="O2019" s="25">
        <f t="shared" si="252"/>
        <v>4120.3999999999996</v>
      </c>
      <c r="P2019" s="25">
        <v>2397.5500000000002</v>
      </c>
      <c r="Q2019" s="25">
        <f t="shared" si="253"/>
        <v>2397.5500000000002</v>
      </c>
      <c r="R2019" s="25">
        <f t="shared" si="254"/>
        <v>1722.8499999999995</v>
      </c>
      <c r="S2019" s="26">
        <f t="shared" si="255"/>
        <v>0.41812688088535083</v>
      </c>
    </row>
    <row r="2020" spans="1:19" ht="15" x14ac:dyDescent="0.2">
      <c r="A2020" s="23">
        <v>46184</v>
      </c>
      <c r="B2020">
        <f t="shared" si="248"/>
        <v>2026</v>
      </c>
      <c r="C2020">
        <f t="shared" si="249"/>
        <v>6</v>
      </c>
      <c r="D2020" t="str">
        <f t="shared" si="250"/>
        <v>Junio</v>
      </c>
      <c r="E2020" t="str">
        <f t="shared" si="251"/>
        <v>T2</v>
      </c>
      <c r="F2020" t="s">
        <v>2147</v>
      </c>
      <c r="G2020" t="s">
        <v>92</v>
      </c>
      <c r="H2020" t="s">
        <v>93</v>
      </c>
      <c r="I2020" t="s">
        <v>94</v>
      </c>
      <c r="J2020" t="s">
        <v>57</v>
      </c>
      <c r="K2020" t="s">
        <v>58</v>
      </c>
      <c r="L2020" t="s">
        <v>162</v>
      </c>
      <c r="M2020" s="24">
        <v>9</v>
      </c>
      <c r="N2020" s="25">
        <v>20141.04</v>
      </c>
      <c r="O2020" s="25">
        <f t="shared" si="252"/>
        <v>181269.36000000002</v>
      </c>
      <c r="P2020" s="25">
        <v>11435.3</v>
      </c>
      <c r="Q2020" s="25">
        <f t="shared" si="253"/>
        <v>102917.7</v>
      </c>
      <c r="R2020" s="25">
        <f t="shared" si="254"/>
        <v>78351.660000000018</v>
      </c>
      <c r="S2020" s="26">
        <f t="shared" si="255"/>
        <v>0.43223885161838721</v>
      </c>
    </row>
    <row r="2021" spans="1:19" ht="15" x14ac:dyDescent="0.2">
      <c r="A2021" s="23">
        <v>46185</v>
      </c>
      <c r="B2021">
        <f t="shared" si="248"/>
        <v>2026</v>
      </c>
      <c r="C2021">
        <f t="shared" si="249"/>
        <v>6</v>
      </c>
      <c r="D2021" t="str">
        <f t="shared" si="250"/>
        <v>Junio</v>
      </c>
      <c r="E2021" t="str">
        <f t="shared" si="251"/>
        <v>T2</v>
      </c>
      <c r="F2021" t="s">
        <v>2148</v>
      </c>
      <c r="G2021" t="s">
        <v>1035</v>
      </c>
      <c r="H2021" t="s">
        <v>55</v>
      </c>
      <c r="I2021" t="s">
        <v>1036</v>
      </c>
      <c r="J2021" t="s">
        <v>64</v>
      </c>
      <c r="K2021" t="s">
        <v>65</v>
      </c>
      <c r="L2021" t="s">
        <v>66</v>
      </c>
      <c r="M2021" s="24">
        <v>3</v>
      </c>
      <c r="N2021" s="25">
        <v>745262.3</v>
      </c>
      <c r="O2021" s="25">
        <f t="shared" si="252"/>
        <v>2235786.9000000004</v>
      </c>
      <c r="P2021" s="25">
        <v>606810.85</v>
      </c>
      <c r="Q2021" s="25">
        <f t="shared" si="253"/>
        <v>1820432.5499999998</v>
      </c>
      <c r="R2021" s="25">
        <f t="shared" si="254"/>
        <v>415354.35000000056</v>
      </c>
      <c r="S2021" s="26">
        <f t="shared" si="255"/>
        <v>0.18577546455791494</v>
      </c>
    </row>
    <row r="2022" spans="1:19" ht="15" x14ac:dyDescent="0.2">
      <c r="A2022" s="23">
        <v>46185</v>
      </c>
      <c r="B2022">
        <f t="shared" si="248"/>
        <v>2026</v>
      </c>
      <c r="C2022">
        <f t="shared" si="249"/>
        <v>6</v>
      </c>
      <c r="D2022" t="str">
        <f t="shared" si="250"/>
        <v>Junio</v>
      </c>
      <c r="E2022" t="str">
        <f t="shared" si="251"/>
        <v>T2</v>
      </c>
      <c r="F2022" t="s">
        <v>2149</v>
      </c>
      <c r="G2022" t="s">
        <v>54</v>
      </c>
      <c r="H2022" t="s">
        <v>55</v>
      </c>
      <c r="I2022" t="s">
        <v>56</v>
      </c>
      <c r="J2022" t="s">
        <v>77</v>
      </c>
      <c r="K2022" t="s">
        <v>107</v>
      </c>
      <c r="L2022" t="s">
        <v>108</v>
      </c>
      <c r="M2022" s="24">
        <v>35</v>
      </c>
      <c r="N2022" s="25">
        <v>54572.42</v>
      </c>
      <c r="O2022" s="25">
        <f t="shared" si="252"/>
        <v>1910034.7</v>
      </c>
      <c r="P2022" s="25">
        <v>41853.03</v>
      </c>
      <c r="Q2022" s="25">
        <f t="shared" si="253"/>
        <v>1464856.05</v>
      </c>
      <c r="R2022" s="25">
        <f t="shared" si="254"/>
        <v>445178.64999999991</v>
      </c>
      <c r="S2022" s="26">
        <f t="shared" si="255"/>
        <v>0.2330735928514806</v>
      </c>
    </row>
    <row r="2023" spans="1:19" ht="15" x14ac:dyDescent="0.2">
      <c r="A2023" s="23">
        <v>46185</v>
      </c>
      <c r="B2023">
        <f t="shared" si="248"/>
        <v>2026</v>
      </c>
      <c r="C2023">
        <f t="shared" si="249"/>
        <v>6</v>
      </c>
      <c r="D2023" t="str">
        <f t="shared" si="250"/>
        <v>Junio</v>
      </c>
      <c r="E2023" t="str">
        <f t="shared" si="251"/>
        <v>T2</v>
      </c>
      <c r="F2023" t="s">
        <v>2150</v>
      </c>
      <c r="G2023" t="s">
        <v>74</v>
      </c>
      <c r="H2023" t="s">
        <v>75</v>
      </c>
      <c r="I2023" t="s">
        <v>76</v>
      </c>
      <c r="J2023" t="s">
        <v>70</v>
      </c>
      <c r="K2023" t="s">
        <v>71</v>
      </c>
      <c r="L2023" t="s">
        <v>90</v>
      </c>
      <c r="M2023" s="24">
        <v>1</v>
      </c>
      <c r="N2023" s="25">
        <v>30830.93</v>
      </c>
      <c r="O2023" s="25">
        <f t="shared" si="252"/>
        <v>30830.93</v>
      </c>
      <c r="P2023" s="25">
        <v>22217.95</v>
      </c>
      <c r="Q2023" s="25">
        <f t="shared" si="253"/>
        <v>22217.95</v>
      </c>
      <c r="R2023" s="25">
        <f t="shared" si="254"/>
        <v>8612.98</v>
      </c>
      <c r="S2023" s="26">
        <f t="shared" si="255"/>
        <v>0.27936166700128734</v>
      </c>
    </row>
    <row r="2024" spans="1:19" ht="15" x14ac:dyDescent="0.2">
      <c r="A2024" s="23">
        <v>46185</v>
      </c>
      <c r="B2024">
        <f t="shared" si="248"/>
        <v>2026</v>
      </c>
      <c r="C2024">
        <f t="shared" si="249"/>
        <v>6</v>
      </c>
      <c r="D2024" t="str">
        <f t="shared" si="250"/>
        <v>Junio</v>
      </c>
      <c r="E2024" t="str">
        <f t="shared" si="251"/>
        <v>T2</v>
      </c>
      <c r="F2024" t="s">
        <v>2151</v>
      </c>
      <c r="G2024" t="s">
        <v>92</v>
      </c>
      <c r="H2024" t="s">
        <v>93</v>
      </c>
      <c r="I2024" t="s">
        <v>94</v>
      </c>
      <c r="J2024" t="s">
        <v>64</v>
      </c>
      <c r="K2024" t="s">
        <v>96</v>
      </c>
      <c r="L2024" t="s">
        <v>97</v>
      </c>
      <c r="M2024" s="24">
        <v>11</v>
      </c>
      <c r="N2024" s="25">
        <v>20982.18</v>
      </c>
      <c r="O2024" s="25">
        <f t="shared" si="252"/>
        <v>230803.98</v>
      </c>
      <c r="P2024" s="25">
        <v>12208.24</v>
      </c>
      <c r="Q2024" s="25">
        <f t="shared" si="253"/>
        <v>134290.63999999998</v>
      </c>
      <c r="R2024" s="25">
        <f t="shared" si="254"/>
        <v>96513.340000000026</v>
      </c>
      <c r="S2024" s="26">
        <f t="shared" si="255"/>
        <v>0.41816150657367357</v>
      </c>
    </row>
    <row r="2025" spans="1:19" ht="15" x14ac:dyDescent="0.2">
      <c r="A2025" s="23">
        <v>46185</v>
      </c>
      <c r="B2025">
        <f t="shared" si="248"/>
        <v>2026</v>
      </c>
      <c r="C2025">
        <f t="shared" si="249"/>
        <v>6</v>
      </c>
      <c r="D2025" t="str">
        <f t="shared" si="250"/>
        <v>Junio</v>
      </c>
      <c r="E2025" t="str">
        <f t="shared" si="251"/>
        <v>T2</v>
      </c>
      <c r="F2025" t="s">
        <v>2152</v>
      </c>
      <c r="G2025" t="s">
        <v>92</v>
      </c>
      <c r="H2025" t="s">
        <v>93</v>
      </c>
      <c r="I2025" t="s">
        <v>94</v>
      </c>
      <c r="J2025" t="s">
        <v>57</v>
      </c>
      <c r="K2025" t="s">
        <v>81</v>
      </c>
      <c r="L2025" t="s">
        <v>129</v>
      </c>
      <c r="M2025" s="24">
        <v>10</v>
      </c>
      <c r="N2025" s="25">
        <v>21725.86</v>
      </c>
      <c r="O2025" s="25">
        <f t="shared" si="252"/>
        <v>217258.6</v>
      </c>
      <c r="P2025" s="25">
        <v>12350.48</v>
      </c>
      <c r="Q2025" s="25">
        <f t="shared" si="253"/>
        <v>123504.79999999999</v>
      </c>
      <c r="R2025" s="25">
        <f t="shared" si="254"/>
        <v>93753.800000000017</v>
      </c>
      <c r="S2025" s="26">
        <f t="shared" si="255"/>
        <v>0.43153090372486985</v>
      </c>
    </row>
    <row r="2026" spans="1:19" ht="15" x14ac:dyDescent="0.2">
      <c r="A2026" s="23">
        <v>46186</v>
      </c>
      <c r="B2026">
        <f t="shared" si="248"/>
        <v>2026</v>
      </c>
      <c r="C2026">
        <f t="shared" si="249"/>
        <v>6</v>
      </c>
      <c r="D2026" t="str">
        <f t="shared" si="250"/>
        <v>Junio</v>
      </c>
      <c r="E2026" t="str">
        <f t="shared" si="251"/>
        <v>T2</v>
      </c>
      <c r="F2026" t="s">
        <v>2153</v>
      </c>
      <c r="G2026" t="s">
        <v>61</v>
      </c>
      <c r="H2026" t="s">
        <v>62</v>
      </c>
      <c r="I2026" t="s">
        <v>63</v>
      </c>
      <c r="J2026" t="s">
        <v>77</v>
      </c>
      <c r="K2026" t="s">
        <v>78</v>
      </c>
      <c r="L2026" t="s">
        <v>117</v>
      </c>
      <c r="M2026" s="24">
        <v>54</v>
      </c>
      <c r="N2026" s="25">
        <v>6036.41</v>
      </c>
      <c r="O2026" s="25">
        <f t="shared" si="252"/>
        <v>325966.14</v>
      </c>
      <c r="P2026" s="25">
        <v>4824.01</v>
      </c>
      <c r="Q2026" s="25">
        <f t="shared" si="253"/>
        <v>260496.54</v>
      </c>
      <c r="R2026" s="25">
        <f t="shared" si="254"/>
        <v>65469.600000000006</v>
      </c>
      <c r="S2026" s="26">
        <f t="shared" si="255"/>
        <v>0.20084785493364435</v>
      </c>
    </row>
    <row r="2027" spans="1:19" ht="15" x14ac:dyDescent="0.2">
      <c r="A2027" s="23">
        <v>46186</v>
      </c>
      <c r="B2027">
        <f t="shared" si="248"/>
        <v>2026</v>
      </c>
      <c r="C2027">
        <f t="shared" si="249"/>
        <v>6</v>
      </c>
      <c r="D2027" t="str">
        <f t="shared" si="250"/>
        <v>Junio</v>
      </c>
      <c r="E2027" t="str">
        <f t="shared" si="251"/>
        <v>T2</v>
      </c>
      <c r="F2027" t="s">
        <v>2154</v>
      </c>
      <c r="G2027" t="s">
        <v>74</v>
      </c>
      <c r="H2027" t="s">
        <v>75</v>
      </c>
      <c r="I2027" t="s">
        <v>76</v>
      </c>
      <c r="J2027" t="s">
        <v>57</v>
      </c>
      <c r="K2027" t="s">
        <v>58</v>
      </c>
      <c r="L2027" t="s">
        <v>59</v>
      </c>
      <c r="M2027" s="24">
        <v>6</v>
      </c>
      <c r="N2027" s="25">
        <v>40214.46</v>
      </c>
      <c r="O2027" s="25">
        <f t="shared" si="252"/>
        <v>241286.76</v>
      </c>
      <c r="P2027" s="25">
        <v>27484.080000000002</v>
      </c>
      <c r="Q2027" s="25">
        <f t="shared" si="253"/>
        <v>164904.48000000001</v>
      </c>
      <c r="R2027" s="25">
        <f t="shared" si="254"/>
        <v>76382.28</v>
      </c>
      <c r="S2027" s="26">
        <f t="shared" si="255"/>
        <v>0.31656225148864364</v>
      </c>
    </row>
    <row r="2028" spans="1:19" ht="15" x14ac:dyDescent="0.2">
      <c r="A2028" s="23">
        <v>46186</v>
      </c>
      <c r="B2028">
        <f t="shared" si="248"/>
        <v>2026</v>
      </c>
      <c r="C2028">
        <f t="shared" si="249"/>
        <v>6</v>
      </c>
      <c r="D2028" t="str">
        <f t="shared" si="250"/>
        <v>Junio</v>
      </c>
      <c r="E2028" t="str">
        <f t="shared" si="251"/>
        <v>T2</v>
      </c>
      <c r="F2028" t="s">
        <v>2155</v>
      </c>
      <c r="G2028" t="s">
        <v>92</v>
      </c>
      <c r="H2028" t="s">
        <v>93</v>
      </c>
      <c r="I2028" t="s">
        <v>94</v>
      </c>
      <c r="J2028" t="s">
        <v>77</v>
      </c>
      <c r="K2028" t="s">
        <v>78</v>
      </c>
      <c r="L2028" t="s">
        <v>117</v>
      </c>
      <c r="M2028" s="24">
        <v>13</v>
      </c>
      <c r="N2028" s="25">
        <v>21660.18</v>
      </c>
      <c r="O2028" s="25">
        <f t="shared" si="252"/>
        <v>281582.34000000003</v>
      </c>
      <c r="P2028" s="25">
        <v>12314.85</v>
      </c>
      <c r="Q2028" s="25">
        <f t="shared" si="253"/>
        <v>160093.05000000002</v>
      </c>
      <c r="R2028" s="25">
        <f t="shared" si="254"/>
        <v>121489.29000000001</v>
      </c>
      <c r="S2028" s="26">
        <f t="shared" si="255"/>
        <v>0.43145209319590139</v>
      </c>
    </row>
    <row r="2029" spans="1:19" ht="15" x14ac:dyDescent="0.2">
      <c r="A2029" s="23">
        <v>46187</v>
      </c>
      <c r="B2029">
        <f t="shared" si="248"/>
        <v>2026</v>
      </c>
      <c r="C2029">
        <f t="shared" si="249"/>
        <v>6</v>
      </c>
      <c r="D2029" t="str">
        <f t="shared" si="250"/>
        <v>Junio</v>
      </c>
      <c r="E2029" t="str">
        <f t="shared" si="251"/>
        <v>T2</v>
      </c>
      <c r="F2029" t="s">
        <v>2156</v>
      </c>
      <c r="G2029" t="s">
        <v>68</v>
      </c>
      <c r="H2029" t="s">
        <v>62</v>
      </c>
      <c r="I2029" t="s">
        <v>69</v>
      </c>
      <c r="J2029" t="s">
        <v>77</v>
      </c>
      <c r="K2029" t="s">
        <v>107</v>
      </c>
      <c r="L2029" t="s">
        <v>108</v>
      </c>
      <c r="M2029" s="24">
        <v>198</v>
      </c>
      <c r="N2029" s="25">
        <v>3357.84</v>
      </c>
      <c r="O2029" s="25">
        <f t="shared" si="252"/>
        <v>664852.32000000007</v>
      </c>
      <c r="P2029" s="25">
        <v>2601.21</v>
      </c>
      <c r="Q2029" s="25">
        <f t="shared" si="253"/>
        <v>515039.58</v>
      </c>
      <c r="R2029" s="25">
        <f t="shared" si="254"/>
        <v>149812.74000000005</v>
      </c>
      <c r="S2029" s="26">
        <f t="shared" si="255"/>
        <v>0.22533235651490249</v>
      </c>
    </row>
    <row r="2030" spans="1:19" ht="15" x14ac:dyDescent="0.2">
      <c r="A2030" s="23">
        <v>46187</v>
      </c>
      <c r="B2030">
        <f t="shared" si="248"/>
        <v>2026</v>
      </c>
      <c r="C2030">
        <f t="shared" si="249"/>
        <v>6</v>
      </c>
      <c r="D2030" t="str">
        <f t="shared" si="250"/>
        <v>Junio</v>
      </c>
      <c r="E2030" t="str">
        <f t="shared" si="251"/>
        <v>T2</v>
      </c>
      <c r="F2030" t="s">
        <v>2157</v>
      </c>
      <c r="G2030" t="s">
        <v>87</v>
      </c>
      <c r="H2030" t="s">
        <v>88</v>
      </c>
      <c r="I2030" t="s">
        <v>89</v>
      </c>
      <c r="J2030" t="s">
        <v>77</v>
      </c>
      <c r="K2030" t="s">
        <v>107</v>
      </c>
      <c r="L2030" t="s">
        <v>108</v>
      </c>
      <c r="M2030" s="24">
        <v>13</v>
      </c>
      <c r="N2030" s="25">
        <v>62842.87</v>
      </c>
      <c r="O2030" s="25">
        <f t="shared" si="252"/>
        <v>816957.31</v>
      </c>
      <c r="P2030" s="25">
        <v>32840.300000000003</v>
      </c>
      <c r="Q2030" s="25">
        <f t="shared" si="253"/>
        <v>426923.9</v>
      </c>
      <c r="R2030" s="25">
        <f t="shared" si="254"/>
        <v>390033.41000000003</v>
      </c>
      <c r="S2030" s="26">
        <f t="shared" si="255"/>
        <v>0.47742202098662906</v>
      </c>
    </row>
    <row r="2031" spans="1:19" ht="15" x14ac:dyDescent="0.2">
      <c r="A2031" s="23">
        <v>46187</v>
      </c>
      <c r="B2031">
        <f t="shared" si="248"/>
        <v>2026</v>
      </c>
      <c r="C2031">
        <f t="shared" si="249"/>
        <v>6</v>
      </c>
      <c r="D2031" t="str">
        <f t="shared" si="250"/>
        <v>Junio</v>
      </c>
      <c r="E2031" t="str">
        <f t="shared" si="251"/>
        <v>T2</v>
      </c>
      <c r="F2031" t="s">
        <v>2158</v>
      </c>
      <c r="G2031" t="s">
        <v>92</v>
      </c>
      <c r="H2031" t="s">
        <v>93</v>
      </c>
      <c r="I2031" t="s">
        <v>94</v>
      </c>
      <c r="J2031" t="s">
        <v>125</v>
      </c>
      <c r="K2031" t="s">
        <v>126</v>
      </c>
      <c r="L2031" t="s">
        <v>127</v>
      </c>
      <c r="M2031" s="24">
        <v>4</v>
      </c>
      <c r="N2031" s="25">
        <v>20942.75</v>
      </c>
      <c r="O2031" s="25">
        <f t="shared" si="252"/>
        <v>83771</v>
      </c>
      <c r="P2031" s="25">
        <v>12103.56</v>
      </c>
      <c r="Q2031" s="25">
        <f t="shared" si="253"/>
        <v>48414.239999999998</v>
      </c>
      <c r="R2031" s="25">
        <f t="shared" si="254"/>
        <v>35356.76</v>
      </c>
      <c r="S2031" s="26">
        <f t="shared" si="255"/>
        <v>0.42206443757386208</v>
      </c>
    </row>
    <row r="2032" spans="1:19" ht="15" x14ac:dyDescent="0.2">
      <c r="A2032" s="23">
        <v>46188</v>
      </c>
      <c r="B2032">
        <f t="shared" si="248"/>
        <v>2026</v>
      </c>
      <c r="C2032">
        <f t="shared" si="249"/>
        <v>6</v>
      </c>
      <c r="D2032" t="str">
        <f t="shared" si="250"/>
        <v>Junio</v>
      </c>
      <c r="E2032" t="str">
        <f t="shared" si="251"/>
        <v>T2</v>
      </c>
      <c r="F2032" t="s">
        <v>2159</v>
      </c>
      <c r="G2032" t="s">
        <v>282</v>
      </c>
      <c r="H2032" t="s">
        <v>55</v>
      </c>
      <c r="I2032" t="s">
        <v>56</v>
      </c>
      <c r="J2032" t="s">
        <v>125</v>
      </c>
      <c r="K2032" t="s">
        <v>138</v>
      </c>
      <c r="L2032" t="s">
        <v>142</v>
      </c>
      <c r="M2032" s="24">
        <v>2</v>
      </c>
      <c r="N2032" s="25">
        <v>495042.06</v>
      </c>
      <c r="O2032" s="25">
        <f t="shared" si="252"/>
        <v>990084.12</v>
      </c>
      <c r="P2032" s="25">
        <v>387999.54</v>
      </c>
      <c r="Q2032" s="25">
        <f t="shared" si="253"/>
        <v>775999.08</v>
      </c>
      <c r="R2032" s="25">
        <f t="shared" si="254"/>
        <v>214085.04000000004</v>
      </c>
      <c r="S2032" s="26">
        <f t="shared" si="255"/>
        <v>0.21622914222682416</v>
      </c>
    </row>
    <row r="2033" spans="1:19" ht="15" x14ac:dyDescent="0.2">
      <c r="A2033" s="23">
        <v>46188</v>
      </c>
      <c r="B2033">
        <f t="shared" si="248"/>
        <v>2026</v>
      </c>
      <c r="C2033">
        <f t="shared" si="249"/>
        <v>6</v>
      </c>
      <c r="D2033" t="str">
        <f t="shared" si="250"/>
        <v>Junio</v>
      </c>
      <c r="E2033" t="str">
        <f t="shared" si="251"/>
        <v>T2</v>
      </c>
      <c r="F2033" t="s">
        <v>2160</v>
      </c>
      <c r="G2033" t="s">
        <v>54</v>
      </c>
      <c r="H2033" t="s">
        <v>55</v>
      </c>
      <c r="I2033" t="s">
        <v>56</v>
      </c>
      <c r="J2033" t="s">
        <v>70</v>
      </c>
      <c r="K2033" t="s">
        <v>71</v>
      </c>
      <c r="L2033" t="s">
        <v>72</v>
      </c>
      <c r="M2033" s="24">
        <v>5</v>
      </c>
      <c r="N2033" s="25">
        <v>55319.16</v>
      </c>
      <c r="O2033" s="25">
        <f t="shared" si="252"/>
        <v>276595.80000000005</v>
      </c>
      <c r="P2033" s="25">
        <v>46187.16</v>
      </c>
      <c r="Q2033" s="25">
        <f t="shared" si="253"/>
        <v>230935.80000000002</v>
      </c>
      <c r="R2033" s="25">
        <f t="shared" si="254"/>
        <v>45660.000000000029</v>
      </c>
      <c r="S2033" s="26">
        <f t="shared" si="255"/>
        <v>0.16507842852277591</v>
      </c>
    </row>
    <row r="2034" spans="1:19" ht="15" x14ac:dyDescent="0.2">
      <c r="A2034" s="23">
        <v>46188</v>
      </c>
      <c r="B2034">
        <f t="shared" si="248"/>
        <v>2026</v>
      </c>
      <c r="C2034">
        <f t="shared" si="249"/>
        <v>6</v>
      </c>
      <c r="D2034" t="str">
        <f t="shared" si="250"/>
        <v>Junio</v>
      </c>
      <c r="E2034" t="str">
        <f t="shared" si="251"/>
        <v>T2</v>
      </c>
      <c r="F2034" t="s">
        <v>2161</v>
      </c>
      <c r="G2034" t="s">
        <v>114</v>
      </c>
      <c r="H2034" t="s">
        <v>75</v>
      </c>
      <c r="I2034" t="s">
        <v>115</v>
      </c>
      <c r="J2034" t="s">
        <v>77</v>
      </c>
      <c r="K2034" t="s">
        <v>107</v>
      </c>
      <c r="L2034" t="s">
        <v>112</v>
      </c>
      <c r="M2034" s="24">
        <v>9</v>
      </c>
      <c r="N2034" s="25">
        <v>99944.03</v>
      </c>
      <c r="O2034" s="25">
        <f t="shared" si="252"/>
        <v>899496.27</v>
      </c>
      <c r="P2034" s="25">
        <v>65123.040000000001</v>
      </c>
      <c r="Q2034" s="25">
        <f t="shared" si="253"/>
        <v>586107.36</v>
      </c>
      <c r="R2034" s="25">
        <f t="shared" si="254"/>
        <v>313388.91000000003</v>
      </c>
      <c r="S2034" s="26">
        <f t="shared" si="255"/>
        <v>0.34840490222377468</v>
      </c>
    </row>
    <row r="2035" spans="1:19" ht="15" x14ac:dyDescent="0.2">
      <c r="A2035" s="23">
        <v>46188</v>
      </c>
      <c r="B2035">
        <f t="shared" si="248"/>
        <v>2026</v>
      </c>
      <c r="C2035">
        <f t="shared" si="249"/>
        <v>6</v>
      </c>
      <c r="D2035" t="str">
        <f t="shared" si="250"/>
        <v>Junio</v>
      </c>
      <c r="E2035" t="str">
        <f t="shared" si="251"/>
        <v>T2</v>
      </c>
      <c r="F2035" t="s">
        <v>2162</v>
      </c>
      <c r="G2035" t="s">
        <v>114</v>
      </c>
      <c r="H2035" t="s">
        <v>75</v>
      </c>
      <c r="I2035" t="s">
        <v>115</v>
      </c>
      <c r="J2035" t="s">
        <v>77</v>
      </c>
      <c r="K2035" t="s">
        <v>107</v>
      </c>
      <c r="L2035" t="s">
        <v>108</v>
      </c>
      <c r="M2035" s="24">
        <v>5</v>
      </c>
      <c r="N2035" s="25">
        <v>110576.92</v>
      </c>
      <c r="O2035" s="25">
        <f t="shared" si="252"/>
        <v>552884.6</v>
      </c>
      <c r="P2035" s="25">
        <v>70879.460000000006</v>
      </c>
      <c r="Q2035" s="25">
        <f t="shared" si="253"/>
        <v>354397.30000000005</v>
      </c>
      <c r="R2035" s="25">
        <f t="shared" si="254"/>
        <v>198487.29999999993</v>
      </c>
      <c r="S2035" s="26">
        <f t="shared" si="255"/>
        <v>0.35900312651139121</v>
      </c>
    </row>
    <row r="2036" spans="1:19" ht="15" x14ac:dyDescent="0.2">
      <c r="A2036" s="23">
        <v>46188</v>
      </c>
      <c r="B2036">
        <f t="shared" si="248"/>
        <v>2026</v>
      </c>
      <c r="C2036">
        <f t="shared" si="249"/>
        <v>6</v>
      </c>
      <c r="D2036" t="str">
        <f t="shared" si="250"/>
        <v>Junio</v>
      </c>
      <c r="E2036" t="str">
        <f t="shared" si="251"/>
        <v>T2</v>
      </c>
      <c r="F2036" t="s">
        <v>2163</v>
      </c>
      <c r="G2036" t="s">
        <v>114</v>
      </c>
      <c r="H2036" t="s">
        <v>75</v>
      </c>
      <c r="I2036" t="s">
        <v>115</v>
      </c>
      <c r="J2036" t="s">
        <v>70</v>
      </c>
      <c r="K2036" t="s">
        <v>84</v>
      </c>
      <c r="L2036" t="s">
        <v>85</v>
      </c>
      <c r="M2036" s="24">
        <v>2</v>
      </c>
      <c r="N2036" s="25">
        <v>112250.39</v>
      </c>
      <c r="O2036" s="25">
        <f t="shared" si="252"/>
        <v>224500.78</v>
      </c>
      <c r="P2036" s="25">
        <v>79624.61</v>
      </c>
      <c r="Q2036" s="25">
        <f t="shared" si="253"/>
        <v>159249.22</v>
      </c>
      <c r="R2036" s="25">
        <f t="shared" si="254"/>
        <v>65251.56</v>
      </c>
      <c r="S2036" s="26">
        <f t="shared" si="255"/>
        <v>0.29065181867074136</v>
      </c>
    </row>
    <row r="2037" spans="1:19" ht="15" x14ac:dyDescent="0.2">
      <c r="A2037" s="23">
        <v>46188</v>
      </c>
      <c r="B2037">
        <f t="shared" si="248"/>
        <v>2026</v>
      </c>
      <c r="C2037">
        <f t="shared" si="249"/>
        <v>6</v>
      </c>
      <c r="D2037" t="str">
        <f t="shared" si="250"/>
        <v>Junio</v>
      </c>
      <c r="E2037" t="str">
        <f t="shared" si="251"/>
        <v>T2</v>
      </c>
      <c r="F2037" t="s">
        <v>2164</v>
      </c>
      <c r="G2037" t="s">
        <v>144</v>
      </c>
      <c r="H2037" t="s">
        <v>88</v>
      </c>
      <c r="I2037" t="s">
        <v>145</v>
      </c>
      <c r="J2037" t="s">
        <v>64</v>
      </c>
      <c r="K2037" t="s">
        <v>65</v>
      </c>
      <c r="L2037" t="s">
        <v>66</v>
      </c>
      <c r="M2037" s="24">
        <v>108</v>
      </c>
      <c r="N2037" s="25">
        <v>12723.35</v>
      </c>
      <c r="O2037" s="25">
        <f t="shared" si="252"/>
        <v>1374121.8</v>
      </c>
      <c r="P2037" s="25">
        <v>7002.46</v>
      </c>
      <c r="Q2037" s="25">
        <f t="shared" si="253"/>
        <v>756265.68</v>
      </c>
      <c r="R2037" s="25">
        <f t="shared" si="254"/>
        <v>617856.12</v>
      </c>
      <c r="S2037" s="26">
        <f t="shared" si="255"/>
        <v>0.44963708457285223</v>
      </c>
    </row>
    <row r="2038" spans="1:19" ht="15" x14ac:dyDescent="0.2">
      <c r="A2038" s="23">
        <v>46188</v>
      </c>
      <c r="B2038">
        <f t="shared" si="248"/>
        <v>2026</v>
      </c>
      <c r="C2038">
        <f t="shared" si="249"/>
        <v>6</v>
      </c>
      <c r="D2038" t="str">
        <f t="shared" si="250"/>
        <v>Junio</v>
      </c>
      <c r="E2038" t="str">
        <f t="shared" si="251"/>
        <v>T2</v>
      </c>
      <c r="F2038" t="s">
        <v>2165</v>
      </c>
      <c r="G2038" t="s">
        <v>149</v>
      </c>
      <c r="H2038" t="s">
        <v>93</v>
      </c>
      <c r="I2038" t="s">
        <v>150</v>
      </c>
      <c r="J2038" t="s">
        <v>125</v>
      </c>
      <c r="K2038" t="s">
        <v>138</v>
      </c>
      <c r="L2038" t="s">
        <v>139</v>
      </c>
      <c r="M2038" s="24">
        <v>4</v>
      </c>
      <c r="N2038" s="25">
        <v>44591.199999999997</v>
      </c>
      <c r="O2038" s="25">
        <f t="shared" si="252"/>
        <v>178364.79999999999</v>
      </c>
      <c r="P2038" s="25">
        <v>25066.94</v>
      </c>
      <c r="Q2038" s="25">
        <f t="shared" si="253"/>
        <v>100267.76</v>
      </c>
      <c r="R2038" s="25">
        <f t="shared" si="254"/>
        <v>78097.039999999994</v>
      </c>
      <c r="S2038" s="26">
        <f t="shared" si="255"/>
        <v>0.43785006907192447</v>
      </c>
    </row>
    <row r="2039" spans="1:19" ht="15" x14ac:dyDescent="0.2">
      <c r="A2039" s="23">
        <v>46188</v>
      </c>
      <c r="B2039">
        <f t="shared" si="248"/>
        <v>2026</v>
      </c>
      <c r="C2039">
        <f t="shared" si="249"/>
        <v>6</v>
      </c>
      <c r="D2039" t="str">
        <f t="shared" si="250"/>
        <v>Junio</v>
      </c>
      <c r="E2039" t="str">
        <f t="shared" si="251"/>
        <v>T2</v>
      </c>
      <c r="F2039" t="s">
        <v>2166</v>
      </c>
      <c r="G2039" t="s">
        <v>92</v>
      </c>
      <c r="H2039" t="s">
        <v>93</v>
      </c>
      <c r="I2039" t="s">
        <v>94</v>
      </c>
      <c r="J2039" t="s">
        <v>125</v>
      </c>
      <c r="K2039" t="s">
        <v>138</v>
      </c>
      <c r="L2039" t="s">
        <v>139</v>
      </c>
      <c r="M2039" s="24">
        <v>2</v>
      </c>
      <c r="N2039" s="25">
        <v>23901.43</v>
      </c>
      <c r="O2039" s="25">
        <f t="shared" si="252"/>
        <v>47802.86</v>
      </c>
      <c r="P2039" s="25">
        <v>13364.26</v>
      </c>
      <c r="Q2039" s="25">
        <f t="shared" si="253"/>
        <v>26728.52</v>
      </c>
      <c r="R2039" s="25">
        <f t="shared" si="254"/>
        <v>21074.34</v>
      </c>
      <c r="S2039" s="26">
        <f t="shared" si="255"/>
        <v>0.44085939627880005</v>
      </c>
    </row>
    <row r="2040" spans="1:19" ht="15" x14ac:dyDescent="0.2">
      <c r="A2040" s="23">
        <v>46189</v>
      </c>
      <c r="B2040">
        <f t="shared" si="248"/>
        <v>2026</v>
      </c>
      <c r="C2040">
        <f t="shared" si="249"/>
        <v>6</v>
      </c>
      <c r="D2040" t="str">
        <f t="shared" si="250"/>
        <v>Junio</v>
      </c>
      <c r="E2040" t="str">
        <f t="shared" si="251"/>
        <v>T2</v>
      </c>
      <c r="F2040" t="s">
        <v>2167</v>
      </c>
      <c r="G2040" t="s">
        <v>183</v>
      </c>
      <c r="H2040" t="s">
        <v>55</v>
      </c>
      <c r="I2040" t="s">
        <v>184</v>
      </c>
      <c r="J2040" t="s">
        <v>125</v>
      </c>
      <c r="K2040" t="s">
        <v>138</v>
      </c>
      <c r="L2040" t="s">
        <v>139</v>
      </c>
      <c r="M2040" s="24">
        <v>2</v>
      </c>
      <c r="N2040" s="25">
        <v>388906.89</v>
      </c>
      <c r="O2040" s="25">
        <f t="shared" si="252"/>
        <v>777813.78</v>
      </c>
      <c r="P2040" s="25">
        <v>307526.26</v>
      </c>
      <c r="Q2040" s="25">
        <f t="shared" si="253"/>
        <v>615052.52</v>
      </c>
      <c r="R2040" s="25">
        <f t="shared" si="254"/>
        <v>162761.26</v>
      </c>
      <c r="S2040" s="26">
        <f t="shared" si="255"/>
        <v>0.20925479103751543</v>
      </c>
    </row>
    <row r="2041" spans="1:19" ht="15" x14ac:dyDescent="0.2">
      <c r="A2041" s="23">
        <v>46189</v>
      </c>
      <c r="B2041">
        <f t="shared" si="248"/>
        <v>2026</v>
      </c>
      <c r="C2041">
        <f t="shared" si="249"/>
        <v>6</v>
      </c>
      <c r="D2041" t="str">
        <f t="shared" si="250"/>
        <v>Junio</v>
      </c>
      <c r="E2041" t="str">
        <f t="shared" si="251"/>
        <v>T2</v>
      </c>
      <c r="F2041" t="s">
        <v>2168</v>
      </c>
      <c r="G2041" t="s">
        <v>105</v>
      </c>
      <c r="H2041" t="s">
        <v>62</v>
      </c>
      <c r="I2041" t="s">
        <v>106</v>
      </c>
      <c r="J2041" t="s">
        <v>57</v>
      </c>
      <c r="K2041" t="s">
        <v>58</v>
      </c>
      <c r="L2041" t="s">
        <v>59</v>
      </c>
      <c r="M2041" s="24">
        <v>299</v>
      </c>
      <c r="N2041" s="25">
        <v>1829.59</v>
      </c>
      <c r="O2041" s="25">
        <f t="shared" si="252"/>
        <v>547047.41</v>
      </c>
      <c r="P2041" s="25">
        <v>1500.38</v>
      </c>
      <c r="Q2041" s="25">
        <f t="shared" si="253"/>
        <v>448613.62000000005</v>
      </c>
      <c r="R2041" s="25">
        <f t="shared" si="254"/>
        <v>98433.789999999979</v>
      </c>
      <c r="S2041" s="26">
        <f t="shared" si="255"/>
        <v>0.17993648850288857</v>
      </c>
    </row>
    <row r="2042" spans="1:19" ht="15" x14ac:dyDescent="0.2">
      <c r="A2042" s="23">
        <v>46189</v>
      </c>
      <c r="B2042">
        <f t="shared" si="248"/>
        <v>2026</v>
      </c>
      <c r="C2042">
        <f t="shared" si="249"/>
        <v>6</v>
      </c>
      <c r="D2042" t="str">
        <f t="shared" si="250"/>
        <v>Junio</v>
      </c>
      <c r="E2042" t="str">
        <f t="shared" si="251"/>
        <v>T2</v>
      </c>
      <c r="F2042" t="s">
        <v>2169</v>
      </c>
      <c r="G2042" t="s">
        <v>87</v>
      </c>
      <c r="H2042" t="s">
        <v>88</v>
      </c>
      <c r="I2042" t="s">
        <v>89</v>
      </c>
      <c r="J2042" t="s">
        <v>125</v>
      </c>
      <c r="K2042" t="s">
        <v>138</v>
      </c>
      <c r="L2042" t="s">
        <v>139</v>
      </c>
      <c r="M2042" s="24">
        <v>3</v>
      </c>
      <c r="N2042" s="25">
        <v>69752.740000000005</v>
      </c>
      <c r="O2042" s="25">
        <f t="shared" si="252"/>
        <v>209258.22000000003</v>
      </c>
      <c r="P2042" s="25">
        <v>37705.269999999997</v>
      </c>
      <c r="Q2042" s="25">
        <f t="shared" si="253"/>
        <v>113115.81</v>
      </c>
      <c r="R2042" s="25">
        <f t="shared" si="254"/>
        <v>96142.410000000033</v>
      </c>
      <c r="S2042" s="26">
        <f t="shared" si="255"/>
        <v>0.45944388707884459</v>
      </c>
    </row>
    <row r="2043" spans="1:19" ht="15" x14ac:dyDescent="0.2">
      <c r="A2043" s="23">
        <v>46189</v>
      </c>
      <c r="B2043">
        <f t="shared" si="248"/>
        <v>2026</v>
      </c>
      <c r="C2043">
        <f t="shared" si="249"/>
        <v>6</v>
      </c>
      <c r="D2043" t="str">
        <f t="shared" si="250"/>
        <v>Junio</v>
      </c>
      <c r="E2043" t="str">
        <f t="shared" si="251"/>
        <v>T2</v>
      </c>
      <c r="F2043" t="s">
        <v>2170</v>
      </c>
      <c r="G2043" t="s">
        <v>144</v>
      </c>
      <c r="H2043" t="s">
        <v>88</v>
      </c>
      <c r="I2043" t="s">
        <v>145</v>
      </c>
      <c r="J2043" t="s">
        <v>70</v>
      </c>
      <c r="K2043" t="s">
        <v>71</v>
      </c>
      <c r="L2043" t="s">
        <v>90</v>
      </c>
      <c r="M2043" s="24">
        <v>24</v>
      </c>
      <c r="N2043" s="25">
        <v>11718.89</v>
      </c>
      <c r="O2043" s="25">
        <f t="shared" si="252"/>
        <v>281253.36</v>
      </c>
      <c r="P2043" s="25">
        <v>7015.83</v>
      </c>
      <c r="Q2043" s="25">
        <f t="shared" si="253"/>
        <v>168379.91999999998</v>
      </c>
      <c r="R2043" s="25">
        <f t="shared" si="254"/>
        <v>112873.44</v>
      </c>
      <c r="S2043" s="26">
        <f t="shared" si="255"/>
        <v>0.40132299219465328</v>
      </c>
    </row>
    <row r="2044" spans="1:19" ht="15" x14ac:dyDescent="0.2">
      <c r="A2044" s="23">
        <v>46189</v>
      </c>
      <c r="B2044">
        <f t="shared" si="248"/>
        <v>2026</v>
      </c>
      <c r="C2044">
        <f t="shared" si="249"/>
        <v>6</v>
      </c>
      <c r="D2044" t="str">
        <f t="shared" si="250"/>
        <v>Junio</v>
      </c>
      <c r="E2044" t="str">
        <f t="shared" si="251"/>
        <v>T2</v>
      </c>
      <c r="F2044" t="s">
        <v>2171</v>
      </c>
      <c r="G2044" t="s">
        <v>149</v>
      </c>
      <c r="H2044" t="s">
        <v>93</v>
      </c>
      <c r="I2044" t="s">
        <v>150</v>
      </c>
      <c r="J2044" t="s">
        <v>77</v>
      </c>
      <c r="K2044" t="s">
        <v>107</v>
      </c>
      <c r="L2044" t="s">
        <v>108</v>
      </c>
      <c r="M2044" s="24">
        <v>7</v>
      </c>
      <c r="N2044" s="25">
        <v>45262.52</v>
      </c>
      <c r="O2044" s="25">
        <f t="shared" si="252"/>
        <v>316837.63999999996</v>
      </c>
      <c r="P2044" s="25">
        <v>24885.32</v>
      </c>
      <c r="Q2044" s="25">
        <f t="shared" si="253"/>
        <v>174197.24</v>
      </c>
      <c r="R2044" s="25">
        <f t="shared" si="254"/>
        <v>142640.39999999997</v>
      </c>
      <c r="S2044" s="26">
        <f t="shared" si="255"/>
        <v>0.45020029817164398</v>
      </c>
    </row>
    <row r="2045" spans="1:19" ht="15" x14ac:dyDescent="0.2">
      <c r="A2045" s="23">
        <v>46189</v>
      </c>
      <c r="B2045">
        <f t="shared" si="248"/>
        <v>2026</v>
      </c>
      <c r="C2045">
        <f t="shared" si="249"/>
        <v>6</v>
      </c>
      <c r="D2045" t="str">
        <f t="shared" si="250"/>
        <v>Junio</v>
      </c>
      <c r="E2045" t="str">
        <f t="shared" si="251"/>
        <v>T2</v>
      </c>
      <c r="F2045" t="s">
        <v>2172</v>
      </c>
      <c r="G2045" t="s">
        <v>92</v>
      </c>
      <c r="H2045" t="s">
        <v>93</v>
      </c>
      <c r="I2045" t="s">
        <v>94</v>
      </c>
      <c r="J2045" t="s">
        <v>77</v>
      </c>
      <c r="K2045" t="s">
        <v>107</v>
      </c>
      <c r="L2045" t="s">
        <v>108</v>
      </c>
      <c r="M2045" s="24">
        <v>18</v>
      </c>
      <c r="N2045" s="25">
        <v>22085.24</v>
      </c>
      <c r="O2045" s="25">
        <f t="shared" si="252"/>
        <v>397534.32</v>
      </c>
      <c r="P2045" s="25">
        <v>11776.16</v>
      </c>
      <c r="Q2045" s="25">
        <f t="shared" si="253"/>
        <v>211970.88</v>
      </c>
      <c r="R2045" s="25">
        <f t="shared" si="254"/>
        <v>185563.44</v>
      </c>
      <c r="S2045" s="26">
        <f t="shared" si="255"/>
        <v>0.46678596202712763</v>
      </c>
    </row>
    <row r="2046" spans="1:19" ht="15" x14ac:dyDescent="0.2">
      <c r="A2046" s="23">
        <v>46189</v>
      </c>
      <c r="B2046">
        <f t="shared" si="248"/>
        <v>2026</v>
      </c>
      <c r="C2046">
        <f t="shared" si="249"/>
        <v>6</v>
      </c>
      <c r="D2046" t="str">
        <f t="shared" si="250"/>
        <v>Junio</v>
      </c>
      <c r="E2046" t="str">
        <f t="shared" si="251"/>
        <v>T2</v>
      </c>
      <c r="F2046" t="s">
        <v>2173</v>
      </c>
      <c r="G2046" t="s">
        <v>92</v>
      </c>
      <c r="H2046" t="s">
        <v>93</v>
      </c>
      <c r="I2046" t="s">
        <v>94</v>
      </c>
      <c r="J2046" t="s">
        <v>125</v>
      </c>
      <c r="K2046" t="s">
        <v>126</v>
      </c>
      <c r="L2046" t="s">
        <v>131</v>
      </c>
      <c r="M2046" s="24">
        <v>8</v>
      </c>
      <c r="N2046" s="25">
        <v>20005.97</v>
      </c>
      <c r="O2046" s="25">
        <f t="shared" si="252"/>
        <v>160047.76</v>
      </c>
      <c r="P2046" s="25">
        <v>11267.02</v>
      </c>
      <c r="Q2046" s="25">
        <f t="shared" si="253"/>
        <v>90136.16</v>
      </c>
      <c r="R2046" s="25">
        <f t="shared" si="254"/>
        <v>69911.600000000006</v>
      </c>
      <c r="S2046" s="26">
        <f t="shared" si="255"/>
        <v>0.43681711009263735</v>
      </c>
    </row>
    <row r="2047" spans="1:19" ht="15" x14ac:dyDescent="0.2">
      <c r="A2047" s="23">
        <v>46189</v>
      </c>
      <c r="B2047">
        <f t="shared" si="248"/>
        <v>2026</v>
      </c>
      <c r="C2047">
        <f t="shared" si="249"/>
        <v>6</v>
      </c>
      <c r="D2047" t="str">
        <f t="shared" si="250"/>
        <v>Junio</v>
      </c>
      <c r="E2047" t="str">
        <f t="shared" si="251"/>
        <v>T2</v>
      </c>
      <c r="F2047" t="s">
        <v>2174</v>
      </c>
      <c r="G2047" t="s">
        <v>92</v>
      </c>
      <c r="H2047" t="s">
        <v>93</v>
      </c>
      <c r="I2047" t="s">
        <v>94</v>
      </c>
      <c r="J2047" t="s">
        <v>70</v>
      </c>
      <c r="K2047" t="s">
        <v>84</v>
      </c>
      <c r="L2047" t="s">
        <v>85</v>
      </c>
      <c r="M2047" s="24">
        <v>8</v>
      </c>
      <c r="N2047" s="25">
        <v>20245.75</v>
      </c>
      <c r="O2047" s="25">
        <f t="shared" si="252"/>
        <v>161966</v>
      </c>
      <c r="P2047" s="25">
        <v>12558.32</v>
      </c>
      <c r="Q2047" s="25">
        <f t="shared" si="253"/>
        <v>100466.56</v>
      </c>
      <c r="R2047" s="25">
        <f t="shared" si="254"/>
        <v>61499.44</v>
      </c>
      <c r="S2047" s="26">
        <f t="shared" si="255"/>
        <v>0.37970586419371971</v>
      </c>
    </row>
    <row r="2048" spans="1:19" ht="15" x14ac:dyDescent="0.2">
      <c r="A2048" s="23">
        <v>46189</v>
      </c>
      <c r="B2048">
        <f t="shared" si="248"/>
        <v>2026</v>
      </c>
      <c r="C2048">
        <f t="shared" si="249"/>
        <v>6</v>
      </c>
      <c r="D2048" t="str">
        <f t="shared" si="250"/>
        <v>Junio</v>
      </c>
      <c r="E2048" t="str">
        <f t="shared" si="251"/>
        <v>T2</v>
      </c>
      <c r="F2048" t="s">
        <v>2175</v>
      </c>
      <c r="G2048" t="s">
        <v>92</v>
      </c>
      <c r="H2048" t="s">
        <v>93</v>
      </c>
      <c r="I2048" t="s">
        <v>94</v>
      </c>
      <c r="J2048" t="s">
        <v>70</v>
      </c>
      <c r="K2048" t="s">
        <v>71</v>
      </c>
      <c r="L2048" t="s">
        <v>72</v>
      </c>
      <c r="M2048" s="24">
        <v>4</v>
      </c>
      <c r="N2048" s="25">
        <v>17681.63</v>
      </c>
      <c r="O2048" s="25">
        <f t="shared" si="252"/>
        <v>70726.52</v>
      </c>
      <c r="P2048" s="25">
        <v>11007.51</v>
      </c>
      <c r="Q2048" s="25">
        <f t="shared" si="253"/>
        <v>44030.04</v>
      </c>
      <c r="R2048" s="25">
        <f t="shared" si="254"/>
        <v>26696.480000000003</v>
      </c>
      <c r="S2048" s="26">
        <f t="shared" si="255"/>
        <v>0.37746067528842081</v>
      </c>
    </row>
    <row r="2049" spans="1:19" ht="15" x14ac:dyDescent="0.2">
      <c r="A2049" s="23">
        <v>46190</v>
      </c>
      <c r="B2049">
        <f t="shared" si="248"/>
        <v>2026</v>
      </c>
      <c r="C2049">
        <f t="shared" si="249"/>
        <v>6</v>
      </c>
      <c r="D2049" t="str">
        <f t="shared" si="250"/>
        <v>Junio</v>
      </c>
      <c r="E2049" t="str">
        <f t="shared" si="251"/>
        <v>T2</v>
      </c>
      <c r="F2049" t="s">
        <v>2176</v>
      </c>
      <c r="G2049" t="s">
        <v>74</v>
      </c>
      <c r="H2049" t="s">
        <v>75</v>
      </c>
      <c r="I2049" t="s">
        <v>76</v>
      </c>
      <c r="J2049" t="s">
        <v>77</v>
      </c>
      <c r="K2049" t="s">
        <v>78</v>
      </c>
      <c r="L2049" t="s">
        <v>117</v>
      </c>
      <c r="M2049" s="24">
        <v>11</v>
      </c>
      <c r="N2049" s="25">
        <v>43226.47</v>
      </c>
      <c r="O2049" s="25">
        <f t="shared" si="252"/>
        <v>475491.17000000004</v>
      </c>
      <c r="P2049" s="25">
        <v>28733.3</v>
      </c>
      <c r="Q2049" s="25">
        <f t="shared" si="253"/>
        <v>316066.3</v>
      </c>
      <c r="R2049" s="25">
        <f t="shared" si="254"/>
        <v>159424.87000000005</v>
      </c>
      <c r="S2049" s="26">
        <f t="shared" si="255"/>
        <v>0.33528460686241562</v>
      </c>
    </row>
    <row r="2050" spans="1:19" ht="15" x14ac:dyDescent="0.2">
      <c r="A2050" s="23">
        <v>46190</v>
      </c>
      <c r="B2050">
        <f t="shared" ref="B2050:B2089" si="256">YEAR($A2050)</f>
        <v>2026</v>
      </c>
      <c r="C2050">
        <f t="shared" ref="C2050:C2089" si="257">MONTH($A2050)</f>
        <v>6</v>
      </c>
      <c r="D2050" t="str">
        <f t="shared" ref="D2050:D2089" si="258">INDEX(lst_Meses,MONTH($A2050))</f>
        <v>Junio</v>
      </c>
      <c r="E2050" t="str">
        <f t="shared" ref="E2050:E2089" si="259">"T"&amp;ROUNDUP(MONTH($A2050)/3,0)</f>
        <v>T2</v>
      </c>
      <c r="F2050" t="s">
        <v>2177</v>
      </c>
      <c r="G2050" t="s">
        <v>114</v>
      </c>
      <c r="H2050" t="s">
        <v>75</v>
      </c>
      <c r="I2050" t="s">
        <v>115</v>
      </c>
      <c r="J2050" t="s">
        <v>57</v>
      </c>
      <c r="K2050" t="s">
        <v>81</v>
      </c>
      <c r="L2050" t="s">
        <v>82</v>
      </c>
      <c r="M2050" s="24">
        <v>5</v>
      </c>
      <c r="N2050" s="25">
        <v>104139.59</v>
      </c>
      <c r="O2050" s="25">
        <f t="shared" ref="O2050:O2089" si="260">$M2050*$N2050</f>
        <v>520697.94999999995</v>
      </c>
      <c r="P2050" s="25">
        <v>70193.52</v>
      </c>
      <c r="Q2050" s="25">
        <f t="shared" ref="Q2050:Q2089" si="261">$M2050*$P2050</f>
        <v>350967.60000000003</v>
      </c>
      <c r="R2050" s="25">
        <f t="shared" ref="R2050:R2089" si="262">$O2050-$Q2050</f>
        <v>169730.34999999992</v>
      </c>
      <c r="S2050" s="26">
        <f t="shared" ref="S2050:S2089" si="263">IFERROR($R2050/$O2050,0)</f>
        <v>0.32596700255877697</v>
      </c>
    </row>
    <row r="2051" spans="1:19" ht="15" x14ac:dyDescent="0.2">
      <c r="A2051" s="23">
        <v>46190</v>
      </c>
      <c r="B2051">
        <f t="shared" si="256"/>
        <v>2026</v>
      </c>
      <c r="C2051">
        <f t="shared" si="257"/>
        <v>6</v>
      </c>
      <c r="D2051" t="str">
        <f t="shared" si="258"/>
        <v>Junio</v>
      </c>
      <c r="E2051" t="str">
        <f t="shared" si="259"/>
        <v>T2</v>
      </c>
      <c r="F2051" t="s">
        <v>2178</v>
      </c>
      <c r="G2051" t="s">
        <v>87</v>
      </c>
      <c r="H2051" t="s">
        <v>88</v>
      </c>
      <c r="I2051" t="s">
        <v>89</v>
      </c>
      <c r="J2051" t="s">
        <v>125</v>
      </c>
      <c r="K2051" t="s">
        <v>126</v>
      </c>
      <c r="L2051" t="s">
        <v>127</v>
      </c>
      <c r="M2051" s="24">
        <v>3</v>
      </c>
      <c r="N2051" s="25">
        <v>64113.17</v>
      </c>
      <c r="O2051" s="25">
        <f t="shared" si="260"/>
        <v>192339.51</v>
      </c>
      <c r="P2051" s="25">
        <v>34574.18</v>
      </c>
      <c r="Q2051" s="25">
        <f t="shared" si="261"/>
        <v>103722.54000000001</v>
      </c>
      <c r="R2051" s="25">
        <f t="shared" si="262"/>
        <v>88616.97</v>
      </c>
      <c r="S2051" s="26">
        <f t="shared" si="263"/>
        <v>0.46073201496665972</v>
      </c>
    </row>
    <row r="2052" spans="1:19" ht="15" x14ac:dyDescent="0.2">
      <c r="A2052" s="23">
        <v>46190</v>
      </c>
      <c r="B2052">
        <f t="shared" si="256"/>
        <v>2026</v>
      </c>
      <c r="C2052">
        <f t="shared" si="257"/>
        <v>6</v>
      </c>
      <c r="D2052" t="str">
        <f t="shared" si="258"/>
        <v>Junio</v>
      </c>
      <c r="E2052" t="str">
        <f t="shared" si="259"/>
        <v>T2</v>
      </c>
      <c r="F2052" t="s">
        <v>2179</v>
      </c>
      <c r="G2052" t="s">
        <v>100</v>
      </c>
      <c r="H2052" t="s">
        <v>88</v>
      </c>
      <c r="I2052" t="s">
        <v>101</v>
      </c>
      <c r="J2052" t="s">
        <v>70</v>
      </c>
      <c r="K2052" t="s">
        <v>84</v>
      </c>
      <c r="L2052" t="s">
        <v>147</v>
      </c>
      <c r="M2052" s="24">
        <v>10</v>
      </c>
      <c r="N2052" s="25">
        <v>37065.53</v>
      </c>
      <c r="O2052" s="25">
        <f t="shared" si="260"/>
        <v>370655.3</v>
      </c>
      <c r="P2052" s="25">
        <v>21892.34</v>
      </c>
      <c r="Q2052" s="25">
        <f t="shared" si="261"/>
        <v>218923.4</v>
      </c>
      <c r="R2052" s="25">
        <f t="shared" si="262"/>
        <v>151731.9</v>
      </c>
      <c r="S2052" s="26">
        <f t="shared" si="263"/>
        <v>0.40936120433189543</v>
      </c>
    </row>
    <row r="2053" spans="1:19" ht="15" x14ac:dyDescent="0.2">
      <c r="A2053" s="23">
        <v>46191</v>
      </c>
      <c r="B2053">
        <f t="shared" si="256"/>
        <v>2026</v>
      </c>
      <c r="C2053">
        <f t="shared" si="257"/>
        <v>6</v>
      </c>
      <c r="D2053" t="str">
        <f t="shared" si="258"/>
        <v>Junio</v>
      </c>
      <c r="E2053" t="str">
        <f t="shared" si="259"/>
        <v>T2</v>
      </c>
      <c r="F2053" t="s">
        <v>2180</v>
      </c>
      <c r="G2053" t="s">
        <v>54</v>
      </c>
      <c r="H2053" t="s">
        <v>55</v>
      </c>
      <c r="I2053" t="s">
        <v>56</v>
      </c>
      <c r="J2053" t="s">
        <v>125</v>
      </c>
      <c r="K2053" t="s">
        <v>138</v>
      </c>
      <c r="L2053" t="s">
        <v>142</v>
      </c>
      <c r="M2053" s="24">
        <v>1</v>
      </c>
      <c r="N2053" s="25">
        <v>77580.13</v>
      </c>
      <c r="O2053" s="25">
        <f t="shared" si="260"/>
        <v>77580.13</v>
      </c>
      <c r="P2053" s="25">
        <v>61652.13</v>
      </c>
      <c r="Q2053" s="25">
        <f t="shared" si="261"/>
        <v>61652.13</v>
      </c>
      <c r="R2053" s="25">
        <f t="shared" si="262"/>
        <v>15928.000000000007</v>
      </c>
      <c r="S2053" s="26">
        <f t="shared" si="263"/>
        <v>0.20531030303764644</v>
      </c>
    </row>
    <row r="2054" spans="1:19" ht="15" x14ac:dyDescent="0.2">
      <c r="A2054" s="23">
        <v>46191</v>
      </c>
      <c r="B2054">
        <f t="shared" si="256"/>
        <v>2026</v>
      </c>
      <c r="C2054">
        <f t="shared" si="257"/>
        <v>6</v>
      </c>
      <c r="D2054" t="str">
        <f t="shared" si="258"/>
        <v>Junio</v>
      </c>
      <c r="E2054" t="str">
        <f t="shared" si="259"/>
        <v>T2</v>
      </c>
      <c r="F2054" t="s">
        <v>2181</v>
      </c>
      <c r="G2054" t="s">
        <v>61</v>
      </c>
      <c r="H2054" t="s">
        <v>62</v>
      </c>
      <c r="I2054" t="s">
        <v>63</v>
      </c>
      <c r="J2054" t="s">
        <v>125</v>
      </c>
      <c r="K2054" t="s">
        <v>126</v>
      </c>
      <c r="L2054" t="s">
        <v>127</v>
      </c>
      <c r="M2054" s="24">
        <v>37</v>
      </c>
      <c r="N2054" s="25">
        <v>5830.7</v>
      </c>
      <c r="O2054" s="25">
        <f t="shared" si="260"/>
        <v>215735.9</v>
      </c>
      <c r="P2054" s="25">
        <v>4766.95</v>
      </c>
      <c r="Q2054" s="25">
        <f t="shared" si="261"/>
        <v>176377.15</v>
      </c>
      <c r="R2054" s="25">
        <f t="shared" si="262"/>
        <v>39358.75</v>
      </c>
      <c r="S2054" s="26">
        <f t="shared" si="263"/>
        <v>0.18243950126056907</v>
      </c>
    </row>
    <row r="2055" spans="1:19" ht="15" x14ac:dyDescent="0.2">
      <c r="A2055" s="23">
        <v>46191</v>
      </c>
      <c r="B2055">
        <f t="shared" si="256"/>
        <v>2026</v>
      </c>
      <c r="C2055">
        <f t="shared" si="257"/>
        <v>6</v>
      </c>
      <c r="D2055" t="str">
        <f t="shared" si="258"/>
        <v>Junio</v>
      </c>
      <c r="E2055" t="str">
        <f t="shared" si="259"/>
        <v>T2</v>
      </c>
      <c r="F2055" t="s">
        <v>2182</v>
      </c>
      <c r="G2055" t="s">
        <v>105</v>
      </c>
      <c r="H2055" t="s">
        <v>62</v>
      </c>
      <c r="I2055" t="s">
        <v>106</v>
      </c>
      <c r="J2055" t="s">
        <v>125</v>
      </c>
      <c r="K2055" t="s">
        <v>126</v>
      </c>
      <c r="L2055" t="s">
        <v>127</v>
      </c>
      <c r="M2055" s="24">
        <v>196</v>
      </c>
      <c r="N2055" s="25">
        <v>1825.38</v>
      </c>
      <c r="O2055" s="25">
        <f t="shared" si="260"/>
        <v>357774.48000000004</v>
      </c>
      <c r="P2055" s="25">
        <v>1500.11</v>
      </c>
      <c r="Q2055" s="25">
        <f t="shared" si="261"/>
        <v>294021.56</v>
      </c>
      <c r="R2055" s="25">
        <f t="shared" si="262"/>
        <v>63752.920000000042</v>
      </c>
      <c r="S2055" s="26">
        <f t="shared" si="263"/>
        <v>0.17819303377926798</v>
      </c>
    </row>
    <row r="2056" spans="1:19" ht="15" x14ac:dyDescent="0.2">
      <c r="A2056" s="23">
        <v>46192</v>
      </c>
      <c r="B2056">
        <f t="shared" si="256"/>
        <v>2026</v>
      </c>
      <c r="C2056">
        <f t="shared" si="257"/>
        <v>6</v>
      </c>
      <c r="D2056" t="str">
        <f t="shared" si="258"/>
        <v>Junio</v>
      </c>
      <c r="E2056" t="str">
        <f t="shared" si="259"/>
        <v>T2</v>
      </c>
      <c r="F2056" t="s">
        <v>2183</v>
      </c>
      <c r="G2056" t="s">
        <v>54</v>
      </c>
      <c r="H2056" t="s">
        <v>55</v>
      </c>
      <c r="I2056" t="s">
        <v>56</v>
      </c>
      <c r="J2056" t="s">
        <v>64</v>
      </c>
      <c r="K2056" t="s">
        <v>65</v>
      </c>
      <c r="L2056" t="s">
        <v>123</v>
      </c>
      <c r="M2056" s="24">
        <v>4</v>
      </c>
      <c r="N2056" s="25">
        <v>48277.440000000002</v>
      </c>
      <c r="O2056" s="25">
        <f t="shared" si="260"/>
        <v>193109.76000000001</v>
      </c>
      <c r="P2056" s="25">
        <v>39197.75</v>
      </c>
      <c r="Q2056" s="25">
        <f t="shared" si="261"/>
        <v>156791</v>
      </c>
      <c r="R2056" s="25">
        <f t="shared" si="262"/>
        <v>36318.760000000009</v>
      </c>
      <c r="S2056" s="26">
        <f t="shared" si="263"/>
        <v>0.18807314555204258</v>
      </c>
    </row>
    <row r="2057" spans="1:19" ht="15" x14ac:dyDescent="0.2">
      <c r="A2057" s="23">
        <v>46192</v>
      </c>
      <c r="B2057">
        <f t="shared" si="256"/>
        <v>2026</v>
      </c>
      <c r="C2057">
        <f t="shared" si="257"/>
        <v>6</v>
      </c>
      <c r="D2057" t="str">
        <f t="shared" si="258"/>
        <v>Junio</v>
      </c>
      <c r="E2057" t="str">
        <f t="shared" si="259"/>
        <v>T2</v>
      </c>
      <c r="F2057" t="s">
        <v>2184</v>
      </c>
      <c r="G2057" t="s">
        <v>74</v>
      </c>
      <c r="H2057" t="s">
        <v>75</v>
      </c>
      <c r="I2057" t="s">
        <v>76</v>
      </c>
      <c r="J2057" t="s">
        <v>125</v>
      </c>
      <c r="K2057" t="s">
        <v>126</v>
      </c>
      <c r="L2057" t="s">
        <v>127</v>
      </c>
      <c r="M2057" s="24">
        <v>4</v>
      </c>
      <c r="N2057" s="25">
        <v>36952.22</v>
      </c>
      <c r="O2057" s="25">
        <f t="shared" si="260"/>
        <v>147808.88</v>
      </c>
      <c r="P2057" s="25">
        <v>24865.75</v>
      </c>
      <c r="Q2057" s="25">
        <f t="shared" si="261"/>
        <v>99463</v>
      </c>
      <c r="R2057" s="25">
        <f t="shared" si="262"/>
        <v>48345.880000000005</v>
      </c>
      <c r="S2057" s="26">
        <f t="shared" si="263"/>
        <v>0.32708373136986091</v>
      </c>
    </row>
    <row r="2058" spans="1:19" ht="15" x14ac:dyDescent="0.2">
      <c r="A2058" s="23">
        <v>46192</v>
      </c>
      <c r="B2058">
        <f t="shared" si="256"/>
        <v>2026</v>
      </c>
      <c r="C2058">
        <f t="shared" si="257"/>
        <v>6</v>
      </c>
      <c r="D2058" t="str">
        <f t="shared" si="258"/>
        <v>Junio</v>
      </c>
      <c r="E2058" t="str">
        <f t="shared" si="259"/>
        <v>T2</v>
      </c>
      <c r="F2058" t="s">
        <v>2185</v>
      </c>
      <c r="G2058" t="s">
        <v>206</v>
      </c>
      <c r="H2058" t="s">
        <v>93</v>
      </c>
      <c r="I2058" t="s">
        <v>207</v>
      </c>
      <c r="J2058" t="s">
        <v>64</v>
      </c>
      <c r="K2058" t="s">
        <v>96</v>
      </c>
      <c r="L2058" t="s">
        <v>97</v>
      </c>
      <c r="M2058" s="24">
        <v>2</v>
      </c>
      <c r="N2058" s="25">
        <v>121760.58</v>
      </c>
      <c r="O2058" s="25">
        <f t="shared" si="260"/>
        <v>243521.16</v>
      </c>
      <c r="P2058" s="25">
        <v>73879.25</v>
      </c>
      <c r="Q2058" s="25">
        <f t="shared" si="261"/>
        <v>147758.5</v>
      </c>
      <c r="R2058" s="25">
        <f t="shared" si="262"/>
        <v>95762.66</v>
      </c>
      <c r="S2058" s="26">
        <f t="shared" si="263"/>
        <v>0.3932416386321419</v>
      </c>
    </row>
    <row r="2059" spans="1:19" ht="15" x14ac:dyDescent="0.2">
      <c r="A2059" s="23">
        <v>46193</v>
      </c>
      <c r="B2059">
        <f t="shared" si="256"/>
        <v>2026</v>
      </c>
      <c r="C2059">
        <f t="shared" si="257"/>
        <v>6</v>
      </c>
      <c r="D2059" t="str">
        <f t="shared" si="258"/>
        <v>Junio</v>
      </c>
      <c r="E2059" t="str">
        <f t="shared" si="259"/>
        <v>T2</v>
      </c>
      <c r="F2059" t="s">
        <v>2186</v>
      </c>
      <c r="G2059" t="s">
        <v>54</v>
      </c>
      <c r="H2059" t="s">
        <v>55</v>
      </c>
      <c r="I2059" t="s">
        <v>56</v>
      </c>
      <c r="J2059" t="s">
        <v>70</v>
      </c>
      <c r="K2059" t="s">
        <v>71</v>
      </c>
      <c r="L2059" t="s">
        <v>90</v>
      </c>
      <c r="M2059" s="24">
        <v>4</v>
      </c>
      <c r="N2059" s="25">
        <v>53502.1</v>
      </c>
      <c r="O2059" s="25">
        <f t="shared" si="260"/>
        <v>214008.4</v>
      </c>
      <c r="P2059" s="25">
        <v>44744.1</v>
      </c>
      <c r="Q2059" s="25">
        <f t="shared" si="261"/>
        <v>178976.4</v>
      </c>
      <c r="R2059" s="25">
        <f t="shared" si="262"/>
        <v>35032</v>
      </c>
      <c r="S2059" s="26">
        <f t="shared" si="263"/>
        <v>0.16369450918748985</v>
      </c>
    </row>
    <row r="2060" spans="1:19" ht="15" x14ac:dyDescent="0.2">
      <c r="A2060" s="23">
        <v>46193</v>
      </c>
      <c r="B2060">
        <f t="shared" si="256"/>
        <v>2026</v>
      </c>
      <c r="C2060">
        <f t="shared" si="257"/>
        <v>6</v>
      </c>
      <c r="D2060" t="str">
        <f t="shared" si="258"/>
        <v>Junio</v>
      </c>
      <c r="E2060" t="str">
        <f t="shared" si="259"/>
        <v>T2</v>
      </c>
      <c r="F2060" t="s">
        <v>2187</v>
      </c>
      <c r="G2060" t="s">
        <v>68</v>
      </c>
      <c r="H2060" t="s">
        <v>62</v>
      </c>
      <c r="I2060" t="s">
        <v>69</v>
      </c>
      <c r="J2060" t="s">
        <v>77</v>
      </c>
      <c r="K2060" t="s">
        <v>107</v>
      </c>
      <c r="L2060" t="s">
        <v>108</v>
      </c>
      <c r="M2060" s="24">
        <v>272</v>
      </c>
      <c r="N2060" s="25">
        <v>3362.53</v>
      </c>
      <c r="O2060" s="25">
        <f t="shared" si="260"/>
        <v>914608.16</v>
      </c>
      <c r="P2060" s="25">
        <v>2598.8000000000002</v>
      </c>
      <c r="Q2060" s="25">
        <f t="shared" si="261"/>
        <v>706873.60000000009</v>
      </c>
      <c r="R2060" s="25">
        <f t="shared" si="262"/>
        <v>207734.55999999994</v>
      </c>
      <c r="S2060" s="26">
        <f t="shared" si="263"/>
        <v>0.22712957207816725</v>
      </c>
    </row>
    <row r="2061" spans="1:19" ht="15" x14ac:dyDescent="0.2">
      <c r="A2061" s="23">
        <v>46193</v>
      </c>
      <c r="B2061">
        <f t="shared" si="256"/>
        <v>2026</v>
      </c>
      <c r="C2061">
        <f t="shared" si="257"/>
        <v>6</v>
      </c>
      <c r="D2061" t="str">
        <f t="shared" si="258"/>
        <v>Junio</v>
      </c>
      <c r="E2061" t="str">
        <f t="shared" si="259"/>
        <v>T2</v>
      </c>
      <c r="F2061" t="s">
        <v>2188</v>
      </c>
      <c r="G2061" t="s">
        <v>110</v>
      </c>
      <c r="H2061" t="s">
        <v>62</v>
      </c>
      <c r="I2061" t="s">
        <v>69</v>
      </c>
      <c r="J2061" t="s">
        <v>125</v>
      </c>
      <c r="K2061" t="s">
        <v>138</v>
      </c>
      <c r="L2061" t="s">
        <v>139</v>
      </c>
      <c r="M2061" s="24">
        <v>76</v>
      </c>
      <c r="N2061" s="25">
        <v>6618.26</v>
      </c>
      <c r="O2061" s="25">
        <f t="shared" si="260"/>
        <v>502987.76</v>
      </c>
      <c r="P2061" s="25">
        <v>5395.51</v>
      </c>
      <c r="Q2061" s="25">
        <f t="shared" si="261"/>
        <v>410058.76</v>
      </c>
      <c r="R2061" s="25">
        <f t="shared" si="262"/>
        <v>92929</v>
      </c>
      <c r="S2061" s="26">
        <f t="shared" si="263"/>
        <v>0.18475399878517917</v>
      </c>
    </row>
    <row r="2062" spans="1:19" ht="15" x14ac:dyDescent="0.2">
      <c r="A2062" s="23">
        <v>46193</v>
      </c>
      <c r="B2062">
        <f t="shared" si="256"/>
        <v>2026</v>
      </c>
      <c r="C2062">
        <f t="shared" si="257"/>
        <v>6</v>
      </c>
      <c r="D2062" t="str">
        <f t="shared" si="258"/>
        <v>Junio</v>
      </c>
      <c r="E2062" t="str">
        <f t="shared" si="259"/>
        <v>T2</v>
      </c>
      <c r="F2062" t="s">
        <v>2189</v>
      </c>
      <c r="G2062" t="s">
        <v>105</v>
      </c>
      <c r="H2062" t="s">
        <v>62</v>
      </c>
      <c r="I2062" t="s">
        <v>106</v>
      </c>
      <c r="J2062" t="s">
        <v>70</v>
      </c>
      <c r="K2062" t="s">
        <v>71</v>
      </c>
      <c r="L2062" t="s">
        <v>72</v>
      </c>
      <c r="M2062" s="24">
        <v>225</v>
      </c>
      <c r="N2062" s="25">
        <v>1748.01</v>
      </c>
      <c r="O2062" s="25">
        <f t="shared" si="260"/>
        <v>393302.25</v>
      </c>
      <c r="P2062" s="25">
        <v>1501.02</v>
      </c>
      <c r="Q2062" s="25">
        <f t="shared" si="261"/>
        <v>337729.5</v>
      </c>
      <c r="R2062" s="25">
        <f t="shared" si="262"/>
        <v>55572.75</v>
      </c>
      <c r="S2062" s="26">
        <f t="shared" si="263"/>
        <v>0.14129781866236463</v>
      </c>
    </row>
    <row r="2063" spans="1:19" ht="15" x14ac:dyDescent="0.2">
      <c r="A2063" s="23">
        <v>46193</v>
      </c>
      <c r="B2063">
        <f t="shared" si="256"/>
        <v>2026</v>
      </c>
      <c r="C2063">
        <f t="shared" si="257"/>
        <v>6</v>
      </c>
      <c r="D2063" t="str">
        <f t="shared" si="258"/>
        <v>Junio</v>
      </c>
      <c r="E2063" t="str">
        <f t="shared" si="259"/>
        <v>T2</v>
      </c>
      <c r="F2063" t="s">
        <v>2190</v>
      </c>
      <c r="G2063" t="s">
        <v>114</v>
      </c>
      <c r="H2063" t="s">
        <v>75</v>
      </c>
      <c r="I2063" t="s">
        <v>115</v>
      </c>
      <c r="J2063" t="s">
        <v>125</v>
      </c>
      <c r="K2063" t="s">
        <v>138</v>
      </c>
      <c r="L2063" t="s">
        <v>142</v>
      </c>
      <c r="M2063" s="24">
        <v>5</v>
      </c>
      <c r="N2063" s="25">
        <v>95949.87</v>
      </c>
      <c r="O2063" s="25">
        <f t="shared" si="260"/>
        <v>479749.35</v>
      </c>
      <c r="P2063" s="25">
        <v>64744.5</v>
      </c>
      <c r="Q2063" s="25">
        <f t="shared" si="261"/>
        <v>323722.5</v>
      </c>
      <c r="R2063" s="25">
        <f t="shared" si="262"/>
        <v>156026.84999999998</v>
      </c>
      <c r="S2063" s="26">
        <f t="shared" si="263"/>
        <v>0.32522576632985534</v>
      </c>
    </row>
    <row r="2064" spans="1:19" ht="15" x14ac:dyDescent="0.2">
      <c r="A2064" s="23">
        <v>46194</v>
      </c>
      <c r="B2064">
        <f t="shared" si="256"/>
        <v>2026</v>
      </c>
      <c r="C2064">
        <f t="shared" si="257"/>
        <v>6</v>
      </c>
      <c r="D2064" t="str">
        <f t="shared" si="258"/>
        <v>Junio</v>
      </c>
      <c r="E2064" t="str">
        <f t="shared" si="259"/>
        <v>T2</v>
      </c>
      <c r="F2064" t="s">
        <v>2191</v>
      </c>
      <c r="G2064" t="s">
        <v>188</v>
      </c>
      <c r="H2064" t="s">
        <v>88</v>
      </c>
      <c r="I2064" t="s">
        <v>189</v>
      </c>
      <c r="J2064" t="s">
        <v>77</v>
      </c>
      <c r="K2064" t="s">
        <v>78</v>
      </c>
      <c r="L2064" t="s">
        <v>79</v>
      </c>
      <c r="M2064" s="24">
        <v>10</v>
      </c>
      <c r="N2064" s="25">
        <v>80618.39</v>
      </c>
      <c r="O2064" s="25">
        <f t="shared" si="260"/>
        <v>806183.9</v>
      </c>
      <c r="P2064" s="25">
        <v>43191.31</v>
      </c>
      <c r="Q2064" s="25">
        <f t="shared" si="261"/>
        <v>431913.1</v>
      </c>
      <c r="R2064" s="25">
        <f t="shared" si="262"/>
        <v>374270.80000000005</v>
      </c>
      <c r="S2064" s="26">
        <f t="shared" si="263"/>
        <v>0.46424990625588036</v>
      </c>
    </row>
    <row r="2065" spans="1:19" ht="15" x14ac:dyDescent="0.2">
      <c r="A2065" s="23">
        <v>46194</v>
      </c>
      <c r="B2065">
        <f t="shared" si="256"/>
        <v>2026</v>
      </c>
      <c r="C2065">
        <f t="shared" si="257"/>
        <v>6</v>
      </c>
      <c r="D2065" t="str">
        <f t="shared" si="258"/>
        <v>Junio</v>
      </c>
      <c r="E2065" t="str">
        <f t="shared" si="259"/>
        <v>T2</v>
      </c>
      <c r="F2065" t="s">
        <v>2192</v>
      </c>
      <c r="G2065" t="s">
        <v>87</v>
      </c>
      <c r="H2065" t="s">
        <v>88</v>
      </c>
      <c r="I2065" t="s">
        <v>89</v>
      </c>
      <c r="J2065" t="s">
        <v>70</v>
      </c>
      <c r="K2065" t="s">
        <v>71</v>
      </c>
      <c r="L2065" t="s">
        <v>90</v>
      </c>
      <c r="M2065" s="24">
        <v>2</v>
      </c>
      <c r="N2065" s="25">
        <v>58668.08</v>
      </c>
      <c r="O2065" s="25">
        <f t="shared" si="260"/>
        <v>117336.16</v>
      </c>
      <c r="P2065" s="25">
        <v>35165.46</v>
      </c>
      <c r="Q2065" s="25">
        <f t="shared" si="261"/>
        <v>70330.92</v>
      </c>
      <c r="R2065" s="25">
        <f t="shared" si="262"/>
        <v>47005.240000000005</v>
      </c>
      <c r="S2065" s="26">
        <f t="shared" si="263"/>
        <v>0.40060319001405881</v>
      </c>
    </row>
    <row r="2066" spans="1:19" ht="15" x14ac:dyDescent="0.2">
      <c r="A2066" s="23">
        <v>46195</v>
      </c>
      <c r="B2066">
        <f t="shared" si="256"/>
        <v>2026</v>
      </c>
      <c r="C2066">
        <f t="shared" si="257"/>
        <v>6</v>
      </c>
      <c r="D2066" t="str">
        <f t="shared" si="258"/>
        <v>Junio</v>
      </c>
      <c r="E2066" t="str">
        <f t="shared" si="259"/>
        <v>T2</v>
      </c>
      <c r="F2066" t="s">
        <v>2193</v>
      </c>
      <c r="G2066" t="s">
        <v>54</v>
      </c>
      <c r="H2066" t="s">
        <v>55</v>
      </c>
      <c r="I2066" t="s">
        <v>56</v>
      </c>
      <c r="J2066" t="s">
        <v>57</v>
      </c>
      <c r="K2066" t="s">
        <v>58</v>
      </c>
      <c r="L2066" t="s">
        <v>162</v>
      </c>
      <c r="M2066" s="24">
        <v>8</v>
      </c>
      <c r="N2066" s="25">
        <v>50454.85</v>
      </c>
      <c r="O2066" s="25">
        <f t="shared" si="260"/>
        <v>403638.8</v>
      </c>
      <c r="P2066" s="25">
        <v>40154.49</v>
      </c>
      <c r="Q2066" s="25">
        <f t="shared" si="261"/>
        <v>321235.92</v>
      </c>
      <c r="R2066" s="25">
        <f t="shared" si="262"/>
        <v>82402.880000000005</v>
      </c>
      <c r="S2066" s="26">
        <f t="shared" si="263"/>
        <v>0.20415004702223871</v>
      </c>
    </row>
    <row r="2067" spans="1:19" ht="15" x14ac:dyDescent="0.2">
      <c r="A2067" s="23">
        <v>46195</v>
      </c>
      <c r="B2067">
        <f t="shared" si="256"/>
        <v>2026</v>
      </c>
      <c r="C2067">
        <f t="shared" si="257"/>
        <v>6</v>
      </c>
      <c r="D2067" t="str">
        <f t="shared" si="258"/>
        <v>Junio</v>
      </c>
      <c r="E2067" t="str">
        <f t="shared" si="259"/>
        <v>T2</v>
      </c>
      <c r="F2067" t="s">
        <v>2194</v>
      </c>
      <c r="G2067" t="s">
        <v>54</v>
      </c>
      <c r="H2067" t="s">
        <v>55</v>
      </c>
      <c r="I2067" t="s">
        <v>56</v>
      </c>
      <c r="J2067" t="s">
        <v>57</v>
      </c>
      <c r="K2067" t="s">
        <v>58</v>
      </c>
      <c r="L2067" t="s">
        <v>59</v>
      </c>
      <c r="M2067" s="24">
        <v>10</v>
      </c>
      <c r="N2067" s="25">
        <v>50065.58</v>
      </c>
      <c r="O2067" s="25">
        <f t="shared" si="260"/>
        <v>500655.80000000005</v>
      </c>
      <c r="P2067" s="25">
        <v>40220.44</v>
      </c>
      <c r="Q2067" s="25">
        <f t="shared" si="261"/>
        <v>402204.4</v>
      </c>
      <c r="R2067" s="25">
        <f t="shared" si="262"/>
        <v>98451.400000000023</v>
      </c>
      <c r="S2067" s="26">
        <f t="shared" si="263"/>
        <v>0.19664488057463833</v>
      </c>
    </row>
    <row r="2068" spans="1:19" ht="15" x14ac:dyDescent="0.2">
      <c r="A2068" s="23">
        <v>46195</v>
      </c>
      <c r="B2068">
        <f t="shared" si="256"/>
        <v>2026</v>
      </c>
      <c r="C2068">
        <f t="shared" si="257"/>
        <v>6</v>
      </c>
      <c r="D2068" t="str">
        <f t="shared" si="258"/>
        <v>Junio</v>
      </c>
      <c r="E2068" t="str">
        <f t="shared" si="259"/>
        <v>T2</v>
      </c>
      <c r="F2068" t="s">
        <v>2195</v>
      </c>
      <c r="G2068" t="s">
        <v>183</v>
      </c>
      <c r="H2068" t="s">
        <v>55</v>
      </c>
      <c r="I2068" t="s">
        <v>184</v>
      </c>
      <c r="J2068" t="s">
        <v>70</v>
      </c>
      <c r="K2068" t="s">
        <v>84</v>
      </c>
      <c r="L2068" t="s">
        <v>85</v>
      </c>
      <c r="M2068" s="24">
        <v>3</v>
      </c>
      <c r="N2068" s="25">
        <v>325346.43</v>
      </c>
      <c r="O2068" s="25">
        <f t="shared" si="260"/>
        <v>976039.29</v>
      </c>
      <c r="P2068" s="25">
        <v>269647.82</v>
      </c>
      <c r="Q2068" s="25">
        <f t="shared" si="261"/>
        <v>808943.46</v>
      </c>
      <c r="R2068" s="25">
        <f t="shared" si="262"/>
        <v>167095.83000000007</v>
      </c>
      <c r="S2068" s="26">
        <f t="shared" si="263"/>
        <v>0.17119785208646679</v>
      </c>
    </row>
    <row r="2069" spans="1:19" ht="15" x14ac:dyDescent="0.2">
      <c r="A2069" s="23">
        <v>46195</v>
      </c>
      <c r="B2069">
        <f t="shared" si="256"/>
        <v>2026</v>
      </c>
      <c r="C2069">
        <f t="shared" si="257"/>
        <v>6</v>
      </c>
      <c r="D2069" t="str">
        <f t="shared" si="258"/>
        <v>Junio</v>
      </c>
      <c r="E2069" t="str">
        <f t="shared" si="259"/>
        <v>T2</v>
      </c>
      <c r="F2069" t="s">
        <v>2196</v>
      </c>
      <c r="G2069" t="s">
        <v>110</v>
      </c>
      <c r="H2069" t="s">
        <v>62</v>
      </c>
      <c r="I2069" t="s">
        <v>69</v>
      </c>
      <c r="J2069" t="s">
        <v>64</v>
      </c>
      <c r="K2069" t="s">
        <v>65</v>
      </c>
      <c r="L2069" t="s">
        <v>66</v>
      </c>
      <c r="M2069" s="24">
        <v>225</v>
      </c>
      <c r="N2069" s="25">
        <v>6533.4</v>
      </c>
      <c r="O2069" s="25">
        <f t="shared" si="260"/>
        <v>1470015</v>
      </c>
      <c r="P2069" s="25">
        <v>5394.09</v>
      </c>
      <c r="Q2069" s="25">
        <f t="shared" si="261"/>
        <v>1213670.25</v>
      </c>
      <c r="R2069" s="25">
        <f t="shared" si="262"/>
        <v>256344.75</v>
      </c>
      <c r="S2069" s="26">
        <f t="shared" si="263"/>
        <v>0.17438240426118101</v>
      </c>
    </row>
    <row r="2070" spans="1:19" ht="15" x14ac:dyDescent="0.2">
      <c r="A2070" s="23">
        <v>46195</v>
      </c>
      <c r="B2070">
        <f t="shared" si="256"/>
        <v>2026</v>
      </c>
      <c r="C2070">
        <f t="shared" si="257"/>
        <v>6</v>
      </c>
      <c r="D2070" t="str">
        <f t="shared" si="258"/>
        <v>Junio</v>
      </c>
      <c r="E2070" t="str">
        <f t="shared" si="259"/>
        <v>T2</v>
      </c>
      <c r="F2070" t="s">
        <v>2197</v>
      </c>
      <c r="G2070" t="s">
        <v>110</v>
      </c>
      <c r="H2070" t="s">
        <v>62</v>
      </c>
      <c r="I2070" t="s">
        <v>69</v>
      </c>
      <c r="J2070" t="s">
        <v>64</v>
      </c>
      <c r="K2070" t="s">
        <v>65</v>
      </c>
      <c r="L2070" t="s">
        <v>66</v>
      </c>
      <c r="M2070" s="24">
        <v>169</v>
      </c>
      <c r="N2070" s="25">
        <v>6489.99</v>
      </c>
      <c r="O2070" s="25">
        <f t="shared" si="260"/>
        <v>1096808.31</v>
      </c>
      <c r="P2070" s="25">
        <v>5415.01</v>
      </c>
      <c r="Q2070" s="25">
        <f t="shared" si="261"/>
        <v>915136.69000000006</v>
      </c>
      <c r="R2070" s="25">
        <f t="shared" si="262"/>
        <v>181671.62</v>
      </c>
      <c r="S2070" s="26">
        <f t="shared" si="263"/>
        <v>0.16563661885457448</v>
      </c>
    </row>
    <row r="2071" spans="1:19" ht="15" x14ac:dyDescent="0.2">
      <c r="A2071" s="23">
        <v>46195</v>
      </c>
      <c r="B2071">
        <f t="shared" si="256"/>
        <v>2026</v>
      </c>
      <c r="C2071">
        <f t="shared" si="257"/>
        <v>6</v>
      </c>
      <c r="D2071" t="str">
        <f t="shared" si="258"/>
        <v>Junio</v>
      </c>
      <c r="E2071" t="str">
        <f t="shared" si="259"/>
        <v>T2</v>
      </c>
      <c r="F2071" t="s">
        <v>2198</v>
      </c>
      <c r="G2071" t="s">
        <v>74</v>
      </c>
      <c r="H2071" t="s">
        <v>75</v>
      </c>
      <c r="I2071" t="s">
        <v>76</v>
      </c>
      <c r="J2071" t="s">
        <v>64</v>
      </c>
      <c r="K2071" t="s">
        <v>65</v>
      </c>
      <c r="L2071" t="s">
        <v>123</v>
      </c>
      <c r="M2071" s="24">
        <v>33</v>
      </c>
      <c r="N2071" s="25">
        <v>40352.19</v>
      </c>
      <c r="O2071" s="25">
        <f t="shared" si="260"/>
        <v>1331622.27</v>
      </c>
      <c r="P2071" s="25">
        <v>28346.75</v>
      </c>
      <c r="Q2071" s="25">
        <f t="shared" si="261"/>
        <v>935442.75</v>
      </c>
      <c r="R2071" s="25">
        <f t="shared" si="262"/>
        <v>396179.52</v>
      </c>
      <c r="S2071" s="26">
        <f t="shared" si="263"/>
        <v>0.29751644210636402</v>
      </c>
    </row>
    <row r="2072" spans="1:19" ht="15" x14ac:dyDescent="0.2">
      <c r="A2072" s="23">
        <v>46195</v>
      </c>
      <c r="B2072">
        <f t="shared" si="256"/>
        <v>2026</v>
      </c>
      <c r="C2072">
        <f t="shared" si="257"/>
        <v>6</v>
      </c>
      <c r="D2072" t="str">
        <f t="shared" si="258"/>
        <v>Junio</v>
      </c>
      <c r="E2072" t="str">
        <f t="shared" si="259"/>
        <v>T2</v>
      </c>
      <c r="F2072" t="s">
        <v>2199</v>
      </c>
      <c r="G2072" t="s">
        <v>100</v>
      </c>
      <c r="H2072" t="s">
        <v>88</v>
      </c>
      <c r="I2072" t="s">
        <v>101</v>
      </c>
      <c r="J2072" t="s">
        <v>57</v>
      </c>
      <c r="K2072" t="s">
        <v>58</v>
      </c>
      <c r="L2072" t="s">
        <v>59</v>
      </c>
      <c r="M2072" s="24">
        <v>15</v>
      </c>
      <c r="N2072" s="25">
        <v>36200.54</v>
      </c>
      <c r="O2072" s="25">
        <f t="shared" si="260"/>
        <v>543008.1</v>
      </c>
      <c r="P2072" s="25">
        <v>20573.12</v>
      </c>
      <c r="Q2072" s="25">
        <f t="shared" si="261"/>
        <v>308596.8</v>
      </c>
      <c r="R2072" s="25">
        <f t="shared" si="262"/>
        <v>234411.3</v>
      </c>
      <c r="S2072" s="26">
        <f t="shared" si="263"/>
        <v>0.43169024550462509</v>
      </c>
    </row>
    <row r="2073" spans="1:19" ht="15" x14ac:dyDescent="0.2">
      <c r="A2073" s="23">
        <v>46195</v>
      </c>
      <c r="B2073">
        <f t="shared" si="256"/>
        <v>2026</v>
      </c>
      <c r="C2073">
        <f t="shared" si="257"/>
        <v>6</v>
      </c>
      <c r="D2073" t="str">
        <f t="shared" si="258"/>
        <v>Junio</v>
      </c>
      <c r="E2073" t="str">
        <f t="shared" si="259"/>
        <v>T2</v>
      </c>
      <c r="F2073" t="s">
        <v>2200</v>
      </c>
      <c r="G2073" t="s">
        <v>188</v>
      </c>
      <c r="H2073" t="s">
        <v>88</v>
      </c>
      <c r="I2073" t="s">
        <v>189</v>
      </c>
      <c r="J2073" t="s">
        <v>125</v>
      </c>
      <c r="K2073" t="s">
        <v>126</v>
      </c>
      <c r="L2073" t="s">
        <v>127</v>
      </c>
      <c r="M2073" s="24">
        <v>3</v>
      </c>
      <c r="N2073" s="25">
        <v>66098.759999999995</v>
      </c>
      <c r="O2073" s="25">
        <f t="shared" si="260"/>
        <v>198296.27999999997</v>
      </c>
      <c r="P2073" s="25">
        <v>37025.18</v>
      </c>
      <c r="Q2073" s="25">
        <f t="shared" si="261"/>
        <v>111075.54000000001</v>
      </c>
      <c r="R2073" s="25">
        <f t="shared" si="262"/>
        <v>87220.739999999962</v>
      </c>
      <c r="S2073" s="26">
        <f t="shared" si="263"/>
        <v>0.43985061141842891</v>
      </c>
    </row>
    <row r="2074" spans="1:19" ht="15" x14ac:dyDescent="0.2">
      <c r="A2074" s="23">
        <v>46195</v>
      </c>
      <c r="B2074">
        <f t="shared" si="256"/>
        <v>2026</v>
      </c>
      <c r="C2074">
        <f t="shared" si="257"/>
        <v>6</v>
      </c>
      <c r="D2074" t="str">
        <f t="shared" si="258"/>
        <v>Junio</v>
      </c>
      <c r="E2074" t="str">
        <f t="shared" si="259"/>
        <v>T2</v>
      </c>
      <c r="F2074" t="s">
        <v>2201</v>
      </c>
      <c r="G2074" t="s">
        <v>92</v>
      </c>
      <c r="H2074" t="s">
        <v>93</v>
      </c>
      <c r="I2074" t="s">
        <v>94</v>
      </c>
      <c r="J2074" t="s">
        <v>70</v>
      </c>
      <c r="K2074" t="s">
        <v>84</v>
      </c>
      <c r="L2074" t="s">
        <v>147</v>
      </c>
      <c r="M2074" s="24">
        <v>2</v>
      </c>
      <c r="N2074" s="25">
        <v>21484.45</v>
      </c>
      <c r="O2074" s="25">
        <f t="shared" si="260"/>
        <v>42968.9</v>
      </c>
      <c r="P2074" s="25">
        <v>12904.04</v>
      </c>
      <c r="Q2074" s="25">
        <f t="shared" si="261"/>
        <v>25808.080000000002</v>
      </c>
      <c r="R2074" s="25">
        <f t="shared" si="262"/>
        <v>17160.82</v>
      </c>
      <c r="S2074" s="26">
        <f t="shared" si="263"/>
        <v>0.39937768944515684</v>
      </c>
    </row>
    <row r="2075" spans="1:19" ht="15" x14ac:dyDescent="0.2">
      <c r="A2075" s="23">
        <v>46196</v>
      </c>
      <c r="B2075">
        <f t="shared" si="256"/>
        <v>2026</v>
      </c>
      <c r="C2075">
        <f t="shared" si="257"/>
        <v>6</v>
      </c>
      <c r="D2075" t="str">
        <f t="shared" si="258"/>
        <v>Junio</v>
      </c>
      <c r="E2075" t="str">
        <f t="shared" si="259"/>
        <v>T2</v>
      </c>
      <c r="F2075" t="s">
        <v>2202</v>
      </c>
      <c r="G2075" t="s">
        <v>188</v>
      </c>
      <c r="H2075" t="s">
        <v>88</v>
      </c>
      <c r="I2075" t="s">
        <v>189</v>
      </c>
      <c r="J2075" t="s">
        <v>77</v>
      </c>
      <c r="K2075" t="s">
        <v>78</v>
      </c>
      <c r="L2075" t="s">
        <v>117</v>
      </c>
      <c r="M2075" s="24">
        <v>4</v>
      </c>
      <c r="N2075" s="25">
        <v>80555.210000000006</v>
      </c>
      <c r="O2075" s="25">
        <f t="shared" si="260"/>
        <v>322220.84000000003</v>
      </c>
      <c r="P2075" s="25">
        <v>42755.21</v>
      </c>
      <c r="Q2075" s="25">
        <f t="shared" si="261"/>
        <v>171020.84</v>
      </c>
      <c r="R2075" s="25">
        <f t="shared" si="262"/>
        <v>151200.00000000003</v>
      </c>
      <c r="S2075" s="26">
        <f t="shared" si="263"/>
        <v>0.46924339220268935</v>
      </c>
    </row>
    <row r="2076" spans="1:19" ht="15" x14ac:dyDescent="0.2">
      <c r="A2076" s="23">
        <v>46197</v>
      </c>
      <c r="B2076">
        <f t="shared" si="256"/>
        <v>2026</v>
      </c>
      <c r="C2076">
        <f t="shared" si="257"/>
        <v>6</v>
      </c>
      <c r="D2076" t="str">
        <f t="shared" si="258"/>
        <v>Junio</v>
      </c>
      <c r="E2076" t="str">
        <f t="shared" si="259"/>
        <v>T2</v>
      </c>
      <c r="F2076" t="s">
        <v>2203</v>
      </c>
      <c r="G2076" t="s">
        <v>188</v>
      </c>
      <c r="H2076" t="s">
        <v>88</v>
      </c>
      <c r="I2076" t="s">
        <v>189</v>
      </c>
      <c r="J2076" t="s">
        <v>64</v>
      </c>
      <c r="K2076" t="s">
        <v>96</v>
      </c>
      <c r="L2076" t="s">
        <v>97</v>
      </c>
      <c r="M2076" s="24">
        <v>11</v>
      </c>
      <c r="N2076" s="25">
        <v>73648.570000000007</v>
      </c>
      <c r="O2076" s="25">
        <f t="shared" si="260"/>
        <v>810134.27</v>
      </c>
      <c r="P2076" s="25">
        <v>41274.33</v>
      </c>
      <c r="Q2076" s="25">
        <f t="shared" si="261"/>
        <v>454017.63</v>
      </c>
      <c r="R2076" s="25">
        <f t="shared" si="262"/>
        <v>356116.64</v>
      </c>
      <c r="S2076" s="26">
        <f t="shared" si="263"/>
        <v>0.4395773061174168</v>
      </c>
    </row>
    <row r="2077" spans="1:19" ht="15" x14ac:dyDescent="0.2">
      <c r="A2077" s="23">
        <v>46197</v>
      </c>
      <c r="B2077">
        <f t="shared" si="256"/>
        <v>2026</v>
      </c>
      <c r="C2077">
        <f t="shared" si="257"/>
        <v>6</v>
      </c>
      <c r="D2077" t="str">
        <f t="shared" si="258"/>
        <v>Junio</v>
      </c>
      <c r="E2077" t="str">
        <f t="shared" si="259"/>
        <v>T2</v>
      </c>
      <c r="F2077" t="s">
        <v>2204</v>
      </c>
      <c r="G2077" t="s">
        <v>92</v>
      </c>
      <c r="H2077" t="s">
        <v>93</v>
      </c>
      <c r="I2077" t="s">
        <v>94</v>
      </c>
      <c r="J2077" t="s">
        <v>64</v>
      </c>
      <c r="K2077" t="s">
        <v>65</v>
      </c>
      <c r="L2077" t="s">
        <v>123</v>
      </c>
      <c r="M2077" s="24">
        <v>32</v>
      </c>
      <c r="N2077" s="25">
        <v>19589.669999999998</v>
      </c>
      <c r="O2077" s="25">
        <f t="shared" si="260"/>
        <v>626869.43999999994</v>
      </c>
      <c r="P2077" s="25">
        <v>11851.89</v>
      </c>
      <c r="Q2077" s="25">
        <f t="shared" si="261"/>
        <v>379260.48</v>
      </c>
      <c r="R2077" s="25">
        <f t="shared" si="262"/>
        <v>247608.95999999996</v>
      </c>
      <c r="S2077" s="26">
        <f t="shared" si="263"/>
        <v>0.39499287124285398</v>
      </c>
    </row>
    <row r="2078" spans="1:19" ht="15" x14ac:dyDescent="0.2">
      <c r="A2078" s="23">
        <v>46198</v>
      </c>
      <c r="B2078">
        <f t="shared" si="256"/>
        <v>2026</v>
      </c>
      <c r="C2078">
        <f t="shared" si="257"/>
        <v>6</v>
      </c>
      <c r="D2078" t="str">
        <f t="shared" si="258"/>
        <v>Junio</v>
      </c>
      <c r="E2078" t="str">
        <f t="shared" si="259"/>
        <v>T2</v>
      </c>
      <c r="F2078" t="s">
        <v>2205</v>
      </c>
      <c r="G2078" t="s">
        <v>183</v>
      </c>
      <c r="H2078" t="s">
        <v>55</v>
      </c>
      <c r="I2078" t="s">
        <v>184</v>
      </c>
      <c r="J2078" t="s">
        <v>57</v>
      </c>
      <c r="K2078" t="s">
        <v>81</v>
      </c>
      <c r="L2078" t="s">
        <v>129</v>
      </c>
      <c r="M2078" s="24">
        <v>5</v>
      </c>
      <c r="N2078" s="25">
        <v>342151.12</v>
      </c>
      <c r="O2078" s="25">
        <f t="shared" si="260"/>
        <v>1710755.6</v>
      </c>
      <c r="P2078" s="25">
        <v>271040.86</v>
      </c>
      <c r="Q2078" s="25">
        <f t="shared" si="261"/>
        <v>1355204.2999999998</v>
      </c>
      <c r="R2078" s="25">
        <f t="shared" si="262"/>
        <v>355551.30000000028</v>
      </c>
      <c r="S2078" s="26">
        <f t="shared" si="263"/>
        <v>0.20783290143840549</v>
      </c>
    </row>
    <row r="2079" spans="1:19" ht="15" x14ac:dyDescent="0.2">
      <c r="A2079" s="23">
        <v>46198</v>
      </c>
      <c r="B2079">
        <f t="shared" si="256"/>
        <v>2026</v>
      </c>
      <c r="C2079">
        <f t="shared" si="257"/>
        <v>6</v>
      </c>
      <c r="D2079" t="str">
        <f t="shared" si="258"/>
        <v>Junio</v>
      </c>
      <c r="E2079" t="str">
        <f t="shared" si="259"/>
        <v>T2</v>
      </c>
      <c r="F2079" t="s">
        <v>2206</v>
      </c>
      <c r="G2079" t="s">
        <v>188</v>
      </c>
      <c r="H2079" t="s">
        <v>88</v>
      </c>
      <c r="I2079" t="s">
        <v>189</v>
      </c>
      <c r="J2079" t="s">
        <v>57</v>
      </c>
      <c r="K2079" t="s">
        <v>81</v>
      </c>
      <c r="L2079" t="s">
        <v>129</v>
      </c>
      <c r="M2079" s="24">
        <v>5</v>
      </c>
      <c r="N2079" s="25">
        <v>71904.320000000007</v>
      </c>
      <c r="O2079" s="25">
        <f t="shared" si="260"/>
        <v>359521.60000000003</v>
      </c>
      <c r="P2079" s="25">
        <v>38873.46</v>
      </c>
      <c r="Q2079" s="25">
        <f t="shared" si="261"/>
        <v>194367.3</v>
      </c>
      <c r="R2079" s="25">
        <f t="shared" si="262"/>
        <v>165154.30000000005</v>
      </c>
      <c r="S2079" s="26">
        <f t="shared" si="263"/>
        <v>0.45937239932176543</v>
      </c>
    </row>
    <row r="2080" spans="1:19" ht="15" x14ac:dyDescent="0.2">
      <c r="A2080" s="23">
        <v>46199</v>
      </c>
      <c r="B2080">
        <f t="shared" si="256"/>
        <v>2026</v>
      </c>
      <c r="C2080">
        <f t="shared" si="257"/>
        <v>6</v>
      </c>
      <c r="D2080" t="str">
        <f t="shared" si="258"/>
        <v>Junio</v>
      </c>
      <c r="E2080" t="str">
        <f t="shared" si="259"/>
        <v>T2</v>
      </c>
      <c r="F2080" t="s">
        <v>2207</v>
      </c>
      <c r="G2080" t="s">
        <v>54</v>
      </c>
      <c r="H2080" t="s">
        <v>55</v>
      </c>
      <c r="I2080" t="s">
        <v>56</v>
      </c>
      <c r="J2080" t="s">
        <v>125</v>
      </c>
      <c r="K2080" t="s">
        <v>126</v>
      </c>
      <c r="L2080" t="s">
        <v>131</v>
      </c>
      <c r="M2080" s="24">
        <v>6</v>
      </c>
      <c r="N2080" s="25">
        <v>55878.32</v>
      </c>
      <c r="O2080" s="25">
        <f t="shared" si="260"/>
        <v>335269.92</v>
      </c>
      <c r="P2080" s="25">
        <v>44521.98</v>
      </c>
      <c r="Q2080" s="25">
        <f t="shared" si="261"/>
        <v>267131.88</v>
      </c>
      <c r="R2080" s="25">
        <f t="shared" si="262"/>
        <v>68138.039999999979</v>
      </c>
      <c r="S2080" s="26">
        <f t="shared" si="263"/>
        <v>0.20323338282181708</v>
      </c>
    </row>
    <row r="2081" spans="1:19" ht="15" x14ac:dyDescent="0.2">
      <c r="A2081" s="23">
        <v>46199</v>
      </c>
      <c r="B2081">
        <f t="shared" si="256"/>
        <v>2026</v>
      </c>
      <c r="C2081">
        <f t="shared" si="257"/>
        <v>6</v>
      </c>
      <c r="D2081" t="str">
        <f t="shared" si="258"/>
        <v>Junio</v>
      </c>
      <c r="E2081" t="str">
        <f t="shared" si="259"/>
        <v>T2</v>
      </c>
      <c r="F2081" t="s">
        <v>2208</v>
      </c>
      <c r="G2081" t="s">
        <v>105</v>
      </c>
      <c r="H2081" t="s">
        <v>62</v>
      </c>
      <c r="I2081" t="s">
        <v>106</v>
      </c>
      <c r="J2081" t="s">
        <v>57</v>
      </c>
      <c r="K2081" t="s">
        <v>81</v>
      </c>
      <c r="L2081" t="s">
        <v>82</v>
      </c>
      <c r="M2081" s="24">
        <v>12</v>
      </c>
      <c r="N2081" s="25">
        <v>1891.47</v>
      </c>
      <c r="O2081" s="25">
        <f t="shared" si="260"/>
        <v>22697.64</v>
      </c>
      <c r="P2081" s="25">
        <v>1549.5</v>
      </c>
      <c r="Q2081" s="25">
        <f t="shared" si="261"/>
        <v>18594</v>
      </c>
      <c r="R2081" s="25">
        <f t="shared" si="262"/>
        <v>4103.6399999999994</v>
      </c>
      <c r="S2081" s="26">
        <f t="shared" si="263"/>
        <v>0.18079588891179874</v>
      </c>
    </row>
    <row r="2082" spans="1:19" ht="15" x14ac:dyDescent="0.2">
      <c r="A2082" s="23">
        <v>46199</v>
      </c>
      <c r="B2082">
        <f t="shared" si="256"/>
        <v>2026</v>
      </c>
      <c r="C2082">
        <f t="shared" si="257"/>
        <v>6</v>
      </c>
      <c r="D2082" t="str">
        <f t="shared" si="258"/>
        <v>Junio</v>
      </c>
      <c r="E2082" t="str">
        <f t="shared" si="259"/>
        <v>T2</v>
      </c>
      <c r="F2082" t="s">
        <v>2209</v>
      </c>
      <c r="G2082" t="s">
        <v>74</v>
      </c>
      <c r="H2082" t="s">
        <v>75</v>
      </c>
      <c r="I2082" t="s">
        <v>76</v>
      </c>
      <c r="J2082" t="s">
        <v>125</v>
      </c>
      <c r="K2082" t="s">
        <v>126</v>
      </c>
      <c r="L2082" t="s">
        <v>131</v>
      </c>
      <c r="M2082" s="24">
        <v>1</v>
      </c>
      <c r="N2082" s="25">
        <v>16904.79</v>
      </c>
      <c r="O2082" s="25">
        <f t="shared" si="260"/>
        <v>16904.79</v>
      </c>
      <c r="P2082" s="25">
        <v>11363</v>
      </c>
      <c r="Q2082" s="25">
        <f t="shared" si="261"/>
        <v>11363</v>
      </c>
      <c r="R2082" s="25">
        <f t="shared" si="262"/>
        <v>5541.7900000000009</v>
      </c>
      <c r="S2082" s="26">
        <f t="shared" si="263"/>
        <v>0.3278236523494229</v>
      </c>
    </row>
    <row r="2083" spans="1:19" ht="15" x14ac:dyDescent="0.2">
      <c r="A2083" s="23">
        <v>46199</v>
      </c>
      <c r="B2083">
        <f t="shared" si="256"/>
        <v>2026</v>
      </c>
      <c r="C2083">
        <f t="shared" si="257"/>
        <v>6</v>
      </c>
      <c r="D2083" t="str">
        <f t="shared" si="258"/>
        <v>Junio</v>
      </c>
      <c r="E2083" t="str">
        <f t="shared" si="259"/>
        <v>T2</v>
      </c>
      <c r="F2083" t="s">
        <v>2210</v>
      </c>
      <c r="G2083" t="s">
        <v>92</v>
      </c>
      <c r="H2083" t="s">
        <v>93</v>
      </c>
      <c r="I2083" t="s">
        <v>94</v>
      </c>
      <c r="J2083" t="s">
        <v>57</v>
      </c>
      <c r="K2083" t="s">
        <v>58</v>
      </c>
      <c r="L2083" t="s">
        <v>162</v>
      </c>
      <c r="M2083" s="24">
        <v>5</v>
      </c>
      <c r="N2083" s="25">
        <v>19406.47</v>
      </c>
      <c r="O2083" s="25">
        <f t="shared" si="260"/>
        <v>97032.35</v>
      </c>
      <c r="P2083" s="25">
        <v>11157.9</v>
      </c>
      <c r="Q2083" s="25">
        <f t="shared" si="261"/>
        <v>55789.5</v>
      </c>
      <c r="R2083" s="25">
        <f t="shared" si="262"/>
        <v>41242.850000000006</v>
      </c>
      <c r="S2083" s="26">
        <f t="shared" si="263"/>
        <v>0.42504226683162888</v>
      </c>
    </row>
    <row r="2084" spans="1:19" ht="15" x14ac:dyDescent="0.2">
      <c r="A2084" s="23">
        <v>46200</v>
      </c>
      <c r="B2084">
        <f t="shared" si="256"/>
        <v>2026</v>
      </c>
      <c r="C2084">
        <f t="shared" si="257"/>
        <v>6</v>
      </c>
      <c r="D2084" t="str">
        <f t="shared" si="258"/>
        <v>Junio</v>
      </c>
      <c r="E2084" t="str">
        <f t="shared" si="259"/>
        <v>T2</v>
      </c>
      <c r="F2084" t="s">
        <v>2211</v>
      </c>
      <c r="G2084" t="s">
        <v>74</v>
      </c>
      <c r="H2084" t="s">
        <v>75</v>
      </c>
      <c r="I2084" t="s">
        <v>76</v>
      </c>
      <c r="J2084" t="s">
        <v>70</v>
      </c>
      <c r="K2084" t="s">
        <v>71</v>
      </c>
      <c r="L2084" t="s">
        <v>72</v>
      </c>
      <c r="M2084" s="24">
        <v>3</v>
      </c>
      <c r="N2084" s="25">
        <v>39205.42</v>
      </c>
      <c r="O2084" s="25">
        <f t="shared" si="260"/>
        <v>117616.26</v>
      </c>
      <c r="P2084" s="25">
        <v>28610.86</v>
      </c>
      <c r="Q2084" s="25">
        <f t="shared" si="261"/>
        <v>85832.58</v>
      </c>
      <c r="R2084" s="25">
        <f t="shared" si="262"/>
        <v>31783.679999999993</v>
      </c>
      <c r="S2084" s="26">
        <f t="shared" si="263"/>
        <v>0.27023202404157382</v>
      </c>
    </row>
    <row r="2085" spans="1:19" ht="15" x14ac:dyDescent="0.2">
      <c r="A2085" s="23">
        <v>46201</v>
      </c>
      <c r="B2085">
        <f t="shared" si="256"/>
        <v>2026</v>
      </c>
      <c r="C2085">
        <f t="shared" si="257"/>
        <v>6</v>
      </c>
      <c r="D2085" t="str">
        <f t="shared" si="258"/>
        <v>Junio</v>
      </c>
      <c r="E2085" t="str">
        <f t="shared" si="259"/>
        <v>T2</v>
      </c>
      <c r="F2085" t="s">
        <v>2212</v>
      </c>
      <c r="G2085" t="s">
        <v>54</v>
      </c>
      <c r="H2085" t="s">
        <v>55</v>
      </c>
      <c r="I2085" t="s">
        <v>56</v>
      </c>
      <c r="J2085" t="s">
        <v>57</v>
      </c>
      <c r="K2085" t="s">
        <v>58</v>
      </c>
      <c r="L2085" t="s">
        <v>162</v>
      </c>
      <c r="M2085" s="24">
        <v>10</v>
      </c>
      <c r="N2085" s="25">
        <v>51264.18</v>
      </c>
      <c r="O2085" s="25">
        <f t="shared" si="260"/>
        <v>512641.8</v>
      </c>
      <c r="P2085" s="25">
        <v>40803.339999999997</v>
      </c>
      <c r="Q2085" s="25">
        <f t="shared" si="261"/>
        <v>408033.39999999997</v>
      </c>
      <c r="R2085" s="25">
        <f t="shared" si="262"/>
        <v>104608.40000000002</v>
      </c>
      <c r="S2085" s="26">
        <f t="shared" si="263"/>
        <v>0.20405749199538553</v>
      </c>
    </row>
    <row r="2086" spans="1:19" ht="15" x14ac:dyDescent="0.2">
      <c r="A2086" s="23">
        <v>46201</v>
      </c>
      <c r="B2086">
        <f t="shared" si="256"/>
        <v>2026</v>
      </c>
      <c r="C2086">
        <f t="shared" si="257"/>
        <v>6</v>
      </c>
      <c r="D2086" t="str">
        <f t="shared" si="258"/>
        <v>Junio</v>
      </c>
      <c r="E2086" t="str">
        <f t="shared" si="259"/>
        <v>T2</v>
      </c>
      <c r="F2086" t="s">
        <v>2213</v>
      </c>
      <c r="G2086" t="s">
        <v>68</v>
      </c>
      <c r="H2086" t="s">
        <v>62</v>
      </c>
      <c r="I2086" t="s">
        <v>69</v>
      </c>
      <c r="J2086" t="s">
        <v>77</v>
      </c>
      <c r="K2086" t="s">
        <v>78</v>
      </c>
      <c r="L2086" t="s">
        <v>117</v>
      </c>
      <c r="M2086" s="24">
        <v>139</v>
      </c>
      <c r="N2086" s="25">
        <v>3228.9</v>
      </c>
      <c r="O2086" s="25">
        <f t="shared" si="260"/>
        <v>448817.10000000003</v>
      </c>
      <c r="P2086" s="25">
        <v>2596.85</v>
      </c>
      <c r="Q2086" s="25">
        <f t="shared" si="261"/>
        <v>360962.14999999997</v>
      </c>
      <c r="R2086" s="25">
        <f t="shared" si="262"/>
        <v>87854.95000000007</v>
      </c>
      <c r="S2086" s="26">
        <f t="shared" si="263"/>
        <v>0.19574777788101225</v>
      </c>
    </row>
    <row r="2087" spans="1:19" ht="15" x14ac:dyDescent="0.2">
      <c r="A2087" s="23">
        <v>46201</v>
      </c>
      <c r="B2087">
        <f t="shared" si="256"/>
        <v>2026</v>
      </c>
      <c r="C2087">
        <f t="shared" si="257"/>
        <v>6</v>
      </c>
      <c r="D2087" t="str">
        <f t="shared" si="258"/>
        <v>Junio</v>
      </c>
      <c r="E2087" t="str">
        <f t="shared" si="259"/>
        <v>T2</v>
      </c>
      <c r="F2087" t="s">
        <v>2214</v>
      </c>
      <c r="G2087" t="s">
        <v>74</v>
      </c>
      <c r="H2087" t="s">
        <v>75</v>
      </c>
      <c r="I2087" t="s">
        <v>76</v>
      </c>
      <c r="J2087" t="s">
        <v>64</v>
      </c>
      <c r="K2087" t="s">
        <v>96</v>
      </c>
      <c r="L2087" t="s">
        <v>103</v>
      </c>
      <c r="M2087" s="24">
        <v>24</v>
      </c>
      <c r="N2087" s="25">
        <v>40216.06</v>
      </c>
      <c r="O2087" s="25">
        <f t="shared" si="260"/>
        <v>965185.44</v>
      </c>
      <c r="P2087" s="25">
        <v>28537.69</v>
      </c>
      <c r="Q2087" s="25">
        <f t="shared" si="261"/>
        <v>684904.55999999994</v>
      </c>
      <c r="R2087" s="25">
        <f t="shared" si="262"/>
        <v>280280.88</v>
      </c>
      <c r="S2087" s="26">
        <f t="shared" si="263"/>
        <v>0.2903907046090542</v>
      </c>
    </row>
    <row r="2088" spans="1:19" ht="15" x14ac:dyDescent="0.2">
      <c r="A2088" s="23">
        <v>46201</v>
      </c>
      <c r="B2088">
        <f t="shared" si="256"/>
        <v>2026</v>
      </c>
      <c r="C2088">
        <f t="shared" si="257"/>
        <v>6</v>
      </c>
      <c r="D2088" t="str">
        <f t="shared" si="258"/>
        <v>Junio</v>
      </c>
      <c r="E2088" t="str">
        <f t="shared" si="259"/>
        <v>T2</v>
      </c>
      <c r="F2088" t="s">
        <v>2215</v>
      </c>
      <c r="G2088" t="s">
        <v>114</v>
      </c>
      <c r="H2088" t="s">
        <v>75</v>
      </c>
      <c r="I2088" t="s">
        <v>115</v>
      </c>
      <c r="J2088" t="s">
        <v>57</v>
      </c>
      <c r="K2088" t="s">
        <v>81</v>
      </c>
      <c r="L2088" t="s">
        <v>82</v>
      </c>
      <c r="M2088" s="24">
        <v>7</v>
      </c>
      <c r="N2088" s="25">
        <v>93767.59</v>
      </c>
      <c r="O2088" s="25">
        <f t="shared" si="260"/>
        <v>656373.13</v>
      </c>
      <c r="P2088" s="25">
        <v>65148.77</v>
      </c>
      <c r="Q2088" s="25">
        <f t="shared" si="261"/>
        <v>456041.38999999996</v>
      </c>
      <c r="R2088" s="25">
        <f t="shared" si="262"/>
        <v>200331.74000000005</v>
      </c>
      <c r="S2088" s="26">
        <f t="shared" si="263"/>
        <v>0.30521014777067434</v>
      </c>
    </row>
    <row r="2089" spans="1:19" ht="15" x14ac:dyDescent="0.2">
      <c r="A2089" s="23">
        <v>46201</v>
      </c>
      <c r="B2089">
        <f t="shared" si="256"/>
        <v>2026</v>
      </c>
      <c r="C2089">
        <f t="shared" si="257"/>
        <v>6</v>
      </c>
      <c r="D2089" t="str">
        <f t="shared" si="258"/>
        <v>Junio</v>
      </c>
      <c r="E2089" t="str">
        <f t="shared" si="259"/>
        <v>T2</v>
      </c>
      <c r="F2089" t="s">
        <v>2216</v>
      </c>
      <c r="G2089" t="s">
        <v>188</v>
      </c>
      <c r="H2089" t="s">
        <v>88</v>
      </c>
      <c r="I2089" t="s">
        <v>189</v>
      </c>
      <c r="J2089" t="s">
        <v>70</v>
      </c>
      <c r="K2089" t="s">
        <v>84</v>
      </c>
      <c r="L2089" t="s">
        <v>85</v>
      </c>
      <c r="M2089" s="24">
        <v>2</v>
      </c>
      <c r="N2089" s="25">
        <v>90101.29</v>
      </c>
      <c r="O2089" s="25">
        <f t="shared" si="260"/>
        <v>180202.58</v>
      </c>
      <c r="P2089" s="25">
        <v>52349.09</v>
      </c>
      <c r="Q2089" s="25">
        <f t="shared" si="261"/>
        <v>104698.18</v>
      </c>
      <c r="R2089" s="25">
        <f t="shared" si="262"/>
        <v>75504.399999999994</v>
      </c>
      <c r="S2089" s="26">
        <f t="shared" si="263"/>
        <v>0.41899733067084832</v>
      </c>
    </row>
  </sheetData>
  <autoFilter ref="A1:S208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6FB2"/>
  </sheetPr>
  <dimension ref="B2:M123"/>
  <sheetViews>
    <sheetView showGridLines="0" zoomScaleNormal="100" workbookViewId="0"/>
  </sheetViews>
  <sheetFormatPr baseColWidth="10" defaultColWidth="8.6640625" defaultRowHeight="13" x14ac:dyDescent="0.15"/>
  <cols>
    <col min="1" max="1" width="2" customWidth="1"/>
    <col min="2" max="2" width="40" customWidth="1"/>
    <col min="3" max="11" width="17" customWidth="1"/>
  </cols>
  <sheetData>
    <row r="2" spans="2:11" ht="21.75" customHeight="1" x14ac:dyDescent="0.15">
      <c r="B2" s="60" t="s">
        <v>2217</v>
      </c>
      <c r="C2" s="60"/>
      <c r="D2" s="60"/>
      <c r="E2" s="60"/>
      <c r="F2" s="60"/>
      <c r="G2" s="60"/>
      <c r="H2" s="60"/>
      <c r="I2" s="60"/>
      <c r="J2" s="60"/>
      <c r="K2" s="60"/>
    </row>
    <row r="3" spans="2:11" x14ac:dyDescent="0.15">
      <c r="B3" s="27" t="s">
        <v>2218</v>
      </c>
      <c r="C3" s="28">
        <f>MAX(Datos!$B$2:$B$2089)</f>
        <v>2026</v>
      </c>
    </row>
    <row r="4" spans="2:11" x14ac:dyDescent="0.15">
      <c r="B4" s="27" t="s">
        <v>2219</v>
      </c>
      <c r="C4" s="28">
        <f>$C$3-1</f>
        <v>2025</v>
      </c>
    </row>
    <row r="5" spans="2:11" x14ac:dyDescent="0.15">
      <c r="B5" s="27" t="s">
        <v>2220</v>
      </c>
      <c r="C5" s="28">
        <f>SUMPRODUCT(MAX((Datos!$B$2:$B$2089=$C$3)*Datos!$C$2:$C$2089))</f>
        <v>6</v>
      </c>
    </row>
    <row r="6" spans="2:11" x14ac:dyDescent="0.15">
      <c r="B6" s="27" t="s">
        <v>2221</v>
      </c>
      <c r="C6" s="29" t="str">
        <f>INDEX(lst_Meses,$C$5)</f>
        <v>Junio</v>
      </c>
    </row>
    <row r="7" spans="2:11" x14ac:dyDescent="0.15">
      <c r="B7" s="27" t="s">
        <v>2222</v>
      </c>
      <c r="C7" s="29" t="str">
        <f>Dashboard!$C$5</f>
        <v>Todas</v>
      </c>
      <c r="D7" s="30" t="s">
        <v>2223</v>
      </c>
      <c r="E7" t="str">
        <f>IF($C$7="Todas","*",$C$7)</f>
        <v>*</v>
      </c>
    </row>
    <row r="8" spans="2:11" x14ac:dyDescent="0.15">
      <c r="B8" s="27" t="s">
        <v>2224</v>
      </c>
      <c r="C8" s="29" t="str">
        <f>Dashboard!$F$5</f>
        <v>Todas</v>
      </c>
      <c r="D8" s="30" t="s">
        <v>2223</v>
      </c>
      <c r="E8" t="str">
        <f>IF($C$8="Todas","*",$C$8)</f>
        <v>*</v>
      </c>
    </row>
    <row r="9" spans="2:11" x14ac:dyDescent="0.15">
      <c r="B9" s="27" t="s">
        <v>2225</v>
      </c>
      <c r="C9" s="29" t="str">
        <f>Dashboard!$I$5</f>
        <v>Todas</v>
      </c>
      <c r="D9" s="30" t="s">
        <v>2223</v>
      </c>
      <c r="E9" t="str">
        <f>IF($C$9="Todas","*",$C$9)</f>
        <v>*</v>
      </c>
    </row>
    <row r="11" spans="2:11" ht="21.75" customHeight="1" x14ac:dyDescent="0.15">
      <c r="B11" s="60" t="s">
        <v>2226</v>
      </c>
      <c r="C11" s="60"/>
      <c r="D11" s="60"/>
      <c r="E11" s="60"/>
      <c r="F11" s="60"/>
      <c r="G11" s="60"/>
      <c r="H11" s="60"/>
      <c r="I11" s="60"/>
      <c r="J11" s="60"/>
      <c r="K11" s="60"/>
    </row>
    <row r="12" spans="2:11" x14ac:dyDescent="0.15">
      <c r="B12" s="27" t="s">
        <v>2227</v>
      </c>
      <c r="C12" s="31">
        <f>SUMIFS(Datos!$O$2:$O$2089,Datos!$B$2:$B$2089,$C$3,Datos!$C$2:$C$2089,"&lt;="&amp;$C$5,Datos!$H$2:$H$2089,$E$7,Datos!$J$2:$J$2089,$E$8,Datos!$K$2:$K$2089,$E$9)</f>
        <v>309738016.56000024</v>
      </c>
    </row>
    <row r="13" spans="2:11" x14ac:dyDescent="0.15">
      <c r="B13" s="27" t="s">
        <v>2228</v>
      </c>
      <c r="C13" s="31">
        <f>SUMIFS(Datos!$O$2:$O$2089,Datos!$B$2:$B$2089,$C$4,Datos!$C$2:$C$2089,"&lt;="&amp;$C$5,Datos!$H$2:$H$2089,$E$7,Datos!$J$2:$J$2089,$E$8,Datos!$K$2:$K$2089,$E$9)</f>
        <v>278772665.34000009</v>
      </c>
    </row>
    <row r="14" spans="2:11" x14ac:dyDescent="0.15">
      <c r="B14" s="27" t="s">
        <v>2229</v>
      </c>
      <c r="C14" s="32">
        <f>IFERROR($C$12/$C$13-1,0)</f>
        <v>0.11107742999922099</v>
      </c>
    </row>
    <row r="15" spans="2:11" x14ac:dyDescent="0.15">
      <c r="B15" s="27" t="s">
        <v>2230</v>
      </c>
      <c r="C15" s="31">
        <f>SUMIFS(Datos!$R$2:$R$2089,Datos!$B$2:$B$2089,$C$3,Datos!$C$2:$C$2089,"&lt;="&amp;$C$5,Datos!$H$2:$H$2089,$E$7,Datos!$J$2:$J$2089,$E$8,Datos!$K$2:$K$2089,$E$9)</f>
        <v>86527609.449999958</v>
      </c>
    </row>
    <row r="16" spans="2:11" x14ac:dyDescent="0.15">
      <c r="B16" s="27" t="s">
        <v>2231</v>
      </c>
      <c r="C16" s="31">
        <f>SUMIFS(Datos!$R$2:$R$2089,Datos!$B$2:$B$2089,$C$4,Datos!$C$2:$C$2089,"&lt;="&amp;$C$5,Datos!$H$2:$H$2089,$E$7,Datos!$J$2:$J$2089,$E$8,Datos!$K$2:$K$2089,$E$9)</f>
        <v>84769038.659999982</v>
      </c>
    </row>
    <row r="17" spans="2:11" x14ac:dyDescent="0.15">
      <c r="B17" s="27" t="s">
        <v>2232</v>
      </c>
      <c r="C17" s="32">
        <f>IFERROR($C$15/$C$12,0)</f>
        <v>0.27935740795072356</v>
      </c>
    </row>
    <row r="18" spans="2:11" x14ac:dyDescent="0.15">
      <c r="B18" s="27" t="s">
        <v>2233</v>
      </c>
      <c r="C18" s="32">
        <f>IFERROR($C$16/$C$13,0)</f>
        <v>0.30407944967134043</v>
      </c>
    </row>
    <row r="19" spans="2:11" x14ac:dyDescent="0.15">
      <c r="B19" s="27" t="s">
        <v>2234</v>
      </c>
      <c r="C19" s="33">
        <f>($C$17-$C$18)*100</f>
        <v>-2.4722041720616872</v>
      </c>
    </row>
    <row r="20" spans="2:11" x14ac:dyDescent="0.15">
      <c r="B20" s="27" t="s">
        <v>2235</v>
      </c>
      <c r="C20" s="32">
        <f>IFERROR($C$15/$C$16-1,0)</f>
        <v>2.0745437459228855E-2</v>
      </c>
    </row>
    <row r="21" spans="2:11" x14ac:dyDescent="0.15">
      <c r="B21" s="27" t="s">
        <v>2236</v>
      </c>
      <c r="C21" s="31">
        <f>SUMIFS(Configuración!$G$21:$G$1220,Configuración!$B$21:$B$1220,$C$3,Configuración!$C$21:$C$1220,"&lt;="&amp;$C$5,Configuración!$F$21:$F$1220,$E$7,Configuración!$D$21:$D$1220,$E$8,Configuración!$E$21:$E$1220,$E$9)</f>
        <v>317097000</v>
      </c>
    </row>
    <row r="22" spans="2:11" x14ac:dyDescent="0.15">
      <c r="B22" s="27" t="s">
        <v>2237</v>
      </c>
      <c r="C22" s="32">
        <f>IFERROR($C$12/$C$21,0)</f>
        <v>0.97679264250371411</v>
      </c>
    </row>
    <row r="23" spans="2:11" x14ac:dyDescent="0.15">
      <c r="B23" s="27" t="s">
        <v>2238</v>
      </c>
      <c r="C23" s="34">
        <f>SUMIFS(Datos!$M$2:$M$2089,Datos!$B$2:$B$2089,$C$3,Datos!$C$2:$C$2089,"&lt;="&amp;$C$5,Datos!$H$2:$H$2089,$E$7,Datos!$J$2:$J$2089,$E$8,Datos!$K$2:$K$2089,$E$9)</f>
        <v>26906</v>
      </c>
    </row>
    <row r="24" spans="2:11" x14ac:dyDescent="0.15">
      <c r="B24" s="27" t="s">
        <v>2239</v>
      </c>
      <c r="C24" s="34">
        <f>COUNTIFS(Datos!$B$2:$B$2089,$C$3,Datos!$C$2:$C$2089,"&lt;="&amp;$C$5,Datos!$H$2:$H$2089,$E$7,Datos!$J$2:$J$2089,$E$8,Datos!$K$2:$K$2089,$E$9)</f>
        <v>699</v>
      </c>
    </row>
    <row r="25" spans="2:11" x14ac:dyDescent="0.15">
      <c r="B25" s="27" t="s">
        <v>2240</v>
      </c>
      <c r="C25" s="31">
        <f>IFERROR($C$12/$C$24,0)</f>
        <v>443115.90351931367</v>
      </c>
    </row>
    <row r="26" spans="2:11" x14ac:dyDescent="0.15">
      <c r="B26" s="27" t="s">
        <v>2241</v>
      </c>
      <c r="C26" s="31">
        <f>SUM($D$85:$D$96)+SUM($E$85:$E$96)</f>
        <v>674840458.15541506</v>
      </c>
    </row>
    <row r="27" spans="2:11" x14ac:dyDescent="0.15">
      <c r="B27" s="27" t="s">
        <v>2242</v>
      </c>
      <c r="C27" s="31">
        <f>SUMIFS(Configuración!$G$21:$G$1220,Configuración!$B$21:$B$1220,$C$3,Configuración!$C$21:$C$1220,"&gt;0",Configuración!$F$21:$F$1220,$E$7,Configuración!$D$21:$D$1220,$E$8,Configuración!$E$21:$E$1220,$E$9)</f>
        <v>699598000</v>
      </c>
    </row>
    <row r="28" spans="2:11" x14ac:dyDescent="0.15">
      <c r="B28" s="27" t="s">
        <v>2243</v>
      </c>
      <c r="C28" s="32">
        <f>IFERROR($C$26/$C$27,0)</f>
        <v>0.96461176011854677</v>
      </c>
    </row>
    <row r="30" spans="2:11" ht="21.75" customHeight="1" x14ac:dyDescent="0.15">
      <c r="B30" s="60" t="s">
        <v>2244</v>
      </c>
      <c r="C30" s="60"/>
      <c r="D30" s="60"/>
      <c r="E30" s="60"/>
      <c r="F30" s="60"/>
      <c r="G30" s="60"/>
      <c r="H30" s="60"/>
      <c r="I30" s="60"/>
      <c r="J30" s="60"/>
      <c r="K30" s="60"/>
    </row>
    <row r="31" spans="2:11" ht="30" customHeight="1" x14ac:dyDescent="0.15">
      <c r="B31" s="35" t="s">
        <v>36</v>
      </c>
      <c r="C31" s="35" t="s">
        <v>37</v>
      </c>
      <c r="D31" s="35" t="s">
        <v>2245</v>
      </c>
      <c r="E31" s="35" t="s">
        <v>2246</v>
      </c>
      <c r="F31" s="35" t="s">
        <v>2247</v>
      </c>
      <c r="G31" s="35" t="s">
        <v>28</v>
      </c>
      <c r="H31" s="35" t="s">
        <v>2248</v>
      </c>
      <c r="I31" s="35" t="s">
        <v>2249</v>
      </c>
    </row>
    <row r="32" spans="2:11" ht="15" x14ac:dyDescent="0.2">
      <c r="B32" s="36">
        <v>2025</v>
      </c>
      <c r="C32" s="36">
        <v>1</v>
      </c>
      <c r="D32" t="str">
        <f t="shared" ref="D32:D49" si="0">INDEX(lst_MesAb,$C32)&amp;"-"&amp;RIGHT($B32&amp;"",2)</f>
        <v>ene-25</v>
      </c>
      <c r="E32" s="25">
        <f>SUMIFS(Datos!$O$2:$O$2089,Datos!$B$2:$B$2089,$B32,Datos!$C$2:$C$2089,$C32,Datos!$H$2:$H$2089,$E$7,Datos!$J$2:$J$2089,$E$8,Datos!$K$2:$K$2089,$E$9)</f>
        <v>40141722.529999994</v>
      </c>
      <c r="F32" s="25">
        <f>SUMIFS(Datos!$R$2:$R$2089,Datos!$B$2:$B$2089,$B32,Datos!$C$2:$C$2089,$C32,Datos!$H$2:$H$2089,$E$7,Datos!$J$2:$J$2089,$E$8,Datos!$K$2:$K$2089,$E$9)</f>
        <v>12424103.83</v>
      </c>
      <c r="G32" s="26">
        <f t="shared" ref="G32:G49" si="1">IFERROR($F32/$E32,0)</f>
        <v>0.30950599642839993</v>
      </c>
      <c r="H32" s="25">
        <f>SUMIFS(Configuración!$G$21:$G$1220,Configuración!$B$21:$B$1220,$B32,Configuración!$C$21:$C$1220,$C32,Configuración!$F$21:$F$1220,$E$7,Configuración!$D$21:$D$1220,$E$8,Configuración!$E$21:$E$1220,$E$9)</f>
        <v>40668000</v>
      </c>
      <c r="I32" s="26">
        <f t="shared" ref="I32:I49" si="2">IFERROR($E32/$H32,0)</f>
        <v>0.9870591750270481</v>
      </c>
    </row>
    <row r="33" spans="2:9" ht="15" x14ac:dyDescent="0.2">
      <c r="B33" s="36">
        <v>2025</v>
      </c>
      <c r="C33" s="36">
        <v>2</v>
      </c>
      <c r="D33" t="str">
        <f t="shared" si="0"/>
        <v>feb-25</v>
      </c>
      <c r="E33" s="25">
        <f>SUMIFS(Datos!$O$2:$O$2089,Datos!$B$2:$B$2089,$B33,Datos!$C$2:$C$2089,$C33,Datos!$H$2:$H$2089,$E$7,Datos!$J$2:$J$2089,$E$8,Datos!$K$2:$K$2089,$E$9)</f>
        <v>38958355.169999979</v>
      </c>
      <c r="F33" s="25">
        <f>SUMIFS(Datos!$R$2:$R$2089,Datos!$B$2:$B$2089,$B33,Datos!$C$2:$C$2089,$C33,Datos!$H$2:$H$2089,$E$7,Datos!$J$2:$J$2089,$E$8,Datos!$K$2:$K$2089,$E$9)</f>
        <v>11908749.289999999</v>
      </c>
      <c r="G33" s="26">
        <f t="shared" si="1"/>
        <v>0.30567895482328716</v>
      </c>
      <c r="H33" s="25">
        <f>SUMIFS(Configuración!$G$21:$G$1220,Configuración!$B$21:$B$1220,$B33,Configuración!$C$21:$C$1220,$C33,Configuración!$F$21:$F$1220,$E$7,Configuración!$D$21:$D$1220,$E$8,Configuración!$E$21:$E$1220,$E$9)</f>
        <v>39114000</v>
      </c>
      <c r="I33" s="26">
        <f t="shared" si="2"/>
        <v>0.99602073861021578</v>
      </c>
    </row>
    <row r="34" spans="2:9" ht="15" x14ac:dyDescent="0.2">
      <c r="B34" s="36">
        <v>2025</v>
      </c>
      <c r="C34" s="36">
        <v>3</v>
      </c>
      <c r="D34" t="str">
        <f t="shared" si="0"/>
        <v>mar-25</v>
      </c>
      <c r="E34" s="25">
        <f>SUMIFS(Datos!$O$2:$O$2089,Datos!$B$2:$B$2089,$B34,Datos!$C$2:$C$2089,$C34,Datos!$H$2:$H$2089,$E$7,Datos!$J$2:$J$2089,$E$8,Datos!$K$2:$K$2089,$E$9)</f>
        <v>46545185.300000004</v>
      </c>
      <c r="F34" s="25">
        <f>SUMIFS(Datos!$R$2:$R$2089,Datos!$B$2:$B$2089,$B34,Datos!$C$2:$C$2089,$C34,Datos!$H$2:$H$2089,$E$7,Datos!$J$2:$J$2089,$E$8,Datos!$K$2:$K$2089,$E$9)</f>
        <v>14106191.27</v>
      </c>
      <c r="G34" s="26">
        <f t="shared" si="1"/>
        <v>0.30306445616406213</v>
      </c>
      <c r="H34" s="25">
        <f>SUMIFS(Configuración!$G$21:$G$1220,Configuración!$B$21:$B$1220,$B34,Configuración!$C$21:$C$1220,$C34,Configuración!$F$21:$F$1220,$E$7,Configuración!$D$21:$D$1220,$E$8,Configuración!$E$21:$E$1220,$E$9)</f>
        <v>46596000</v>
      </c>
      <c r="I34" s="26">
        <f t="shared" si="2"/>
        <v>0.9989094621855954</v>
      </c>
    </row>
    <row r="35" spans="2:9" ht="15" x14ac:dyDescent="0.2">
      <c r="B35" s="36">
        <v>2025</v>
      </c>
      <c r="C35" s="36">
        <v>4</v>
      </c>
      <c r="D35" t="str">
        <f t="shared" si="0"/>
        <v>abr-25</v>
      </c>
      <c r="E35" s="25">
        <f>SUMIFS(Datos!$O$2:$O$2089,Datos!$B$2:$B$2089,$B35,Datos!$C$2:$C$2089,$C35,Datos!$H$2:$H$2089,$E$7,Datos!$J$2:$J$2089,$E$8,Datos!$K$2:$K$2089,$E$9)</f>
        <v>45970046.729999997</v>
      </c>
      <c r="F35" s="25">
        <f>SUMIFS(Datos!$R$2:$R$2089,Datos!$B$2:$B$2089,$B35,Datos!$C$2:$C$2089,$C35,Datos!$H$2:$H$2089,$E$7,Datos!$J$2:$J$2089,$E$8,Datos!$K$2:$K$2089,$E$9)</f>
        <v>13811249.929999998</v>
      </c>
      <c r="G35" s="26">
        <f t="shared" si="1"/>
        <v>0.30044019774699932</v>
      </c>
      <c r="H35" s="25">
        <f>SUMIFS(Configuración!$G$21:$G$1220,Configuración!$B$21:$B$1220,$B35,Configuración!$C$21:$C$1220,$C35,Configuración!$F$21:$F$1220,$E$7,Configuración!$D$21:$D$1220,$E$8,Configuración!$E$21:$E$1220,$E$9)</f>
        <v>45448000</v>
      </c>
      <c r="I35" s="26">
        <f t="shared" si="2"/>
        <v>1.0114866821422284</v>
      </c>
    </row>
    <row r="36" spans="2:9" ht="15" x14ac:dyDescent="0.2">
      <c r="B36" s="36">
        <v>2025</v>
      </c>
      <c r="C36" s="36">
        <v>5</v>
      </c>
      <c r="D36" t="str">
        <f t="shared" si="0"/>
        <v>may-25</v>
      </c>
      <c r="E36" s="25">
        <f>SUMIFS(Datos!$O$2:$O$2089,Datos!$B$2:$B$2089,$B36,Datos!$C$2:$C$2089,$C36,Datos!$H$2:$H$2089,$E$7,Datos!$J$2:$J$2089,$E$8,Datos!$K$2:$K$2089,$E$9)</f>
        <v>50093019.020000003</v>
      </c>
      <c r="F36" s="25">
        <f>SUMIFS(Datos!$R$2:$R$2089,Datos!$B$2:$B$2089,$B36,Datos!$C$2:$C$2089,$C36,Datos!$H$2:$H$2089,$E$7,Datos!$J$2:$J$2089,$E$8,Datos!$K$2:$K$2089,$E$9)</f>
        <v>15240599.659999996</v>
      </c>
      <c r="G36" s="26">
        <f t="shared" si="1"/>
        <v>0.30424597994213676</v>
      </c>
      <c r="H36" s="25">
        <f>SUMIFS(Configuración!$G$21:$G$1220,Configuración!$B$21:$B$1220,$B36,Configuración!$C$21:$C$1220,$C36,Configuración!$F$21:$F$1220,$E$7,Configuración!$D$21:$D$1220,$E$8,Configuración!$E$21:$E$1220,$E$9)</f>
        <v>51315000</v>
      </c>
      <c r="I36" s="26">
        <f t="shared" si="2"/>
        <v>0.97618667095391221</v>
      </c>
    </row>
    <row r="37" spans="2:9" ht="15" x14ac:dyDescent="0.2">
      <c r="B37" s="36">
        <v>2025</v>
      </c>
      <c r="C37" s="36">
        <v>6</v>
      </c>
      <c r="D37" t="str">
        <f t="shared" si="0"/>
        <v>jun-25</v>
      </c>
      <c r="E37" s="25">
        <f>SUMIFS(Datos!$O$2:$O$2089,Datos!$B$2:$B$2089,$B37,Datos!$C$2:$C$2089,$C37,Datos!$H$2:$H$2089,$E$7,Datos!$J$2:$J$2089,$E$8,Datos!$K$2:$K$2089,$E$9)</f>
        <v>57064336.589999989</v>
      </c>
      <c r="F37" s="25">
        <f>SUMIFS(Datos!$R$2:$R$2089,Datos!$B$2:$B$2089,$B37,Datos!$C$2:$C$2089,$C37,Datos!$H$2:$H$2089,$E$7,Datos!$J$2:$J$2089,$E$8,Datos!$K$2:$K$2089,$E$9)</f>
        <v>17278144.679999992</v>
      </c>
      <c r="G37" s="26">
        <f t="shared" si="1"/>
        <v>0.30278358976012054</v>
      </c>
      <c r="H37" s="25">
        <f>SUMIFS(Configuración!$G$21:$G$1220,Configuración!$B$21:$B$1220,$B37,Configuración!$C$21:$C$1220,$C37,Configuración!$F$21:$F$1220,$E$7,Configuración!$D$21:$D$1220,$E$8,Configuración!$E$21:$E$1220,$E$9)</f>
        <v>55488000</v>
      </c>
      <c r="I37" s="26">
        <f t="shared" si="2"/>
        <v>1.0284086034818336</v>
      </c>
    </row>
    <row r="38" spans="2:9" ht="15" x14ac:dyDescent="0.2">
      <c r="B38" s="36">
        <v>2025</v>
      </c>
      <c r="C38" s="36">
        <v>7</v>
      </c>
      <c r="D38" t="str">
        <f t="shared" si="0"/>
        <v>jul-25</v>
      </c>
      <c r="E38" s="25">
        <f>SUMIFS(Datos!$O$2:$O$2089,Datos!$B$2:$B$2089,$B38,Datos!$C$2:$C$2089,$C38,Datos!$H$2:$H$2089,$E$7,Datos!$J$2:$J$2089,$E$8,Datos!$K$2:$K$2089,$E$9)</f>
        <v>55403382.07</v>
      </c>
      <c r="F38" s="25">
        <f>SUMIFS(Datos!$R$2:$R$2089,Datos!$B$2:$B$2089,$B38,Datos!$C$2:$C$2089,$C38,Datos!$H$2:$H$2089,$E$7,Datos!$J$2:$J$2089,$E$8,Datos!$K$2:$K$2089,$E$9)</f>
        <v>16709708.170000002</v>
      </c>
      <c r="G38" s="26">
        <f t="shared" si="1"/>
        <v>0.30160086885829351</v>
      </c>
      <c r="H38" s="25">
        <f>SUMIFS(Configuración!$G$21:$G$1220,Configuración!$B$21:$B$1220,$B38,Configuración!$C$21:$C$1220,$C38,Configuración!$F$21:$F$1220,$E$7,Configuración!$D$21:$D$1220,$E$8,Configuración!$E$21:$E$1220,$E$9)</f>
        <v>55904000</v>
      </c>
      <c r="I38" s="26">
        <f t="shared" si="2"/>
        <v>0.99104504275186034</v>
      </c>
    </row>
    <row r="39" spans="2:9" ht="15" x14ac:dyDescent="0.2">
      <c r="B39" s="36">
        <v>2025</v>
      </c>
      <c r="C39" s="36">
        <v>8</v>
      </c>
      <c r="D39" t="str">
        <f t="shared" si="0"/>
        <v>ago-25</v>
      </c>
      <c r="E39" s="25">
        <f>SUMIFS(Datos!$O$2:$O$2089,Datos!$B$2:$B$2089,$B39,Datos!$C$2:$C$2089,$C39,Datos!$H$2:$H$2089,$E$7,Datos!$J$2:$J$2089,$E$8,Datos!$K$2:$K$2089,$E$9)</f>
        <v>47189516.519999981</v>
      </c>
      <c r="F39" s="25">
        <f>SUMIFS(Datos!$R$2:$R$2089,Datos!$B$2:$B$2089,$B39,Datos!$C$2:$C$2089,$C39,Datos!$H$2:$H$2089,$E$7,Datos!$J$2:$J$2089,$E$8,Datos!$K$2:$K$2089,$E$9)</f>
        <v>13885823.569999997</v>
      </c>
      <c r="G39" s="26">
        <f t="shared" si="1"/>
        <v>0.29425653395102852</v>
      </c>
      <c r="H39" s="25">
        <f>SUMIFS(Configuración!$G$21:$G$1220,Configuración!$B$21:$B$1220,$B39,Configuración!$C$21:$C$1220,$C39,Configuración!$F$21:$F$1220,$E$7,Configuración!$D$21:$D$1220,$E$8,Configuración!$E$21:$E$1220,$E$9)</f>
        <v>48442000</v>
      </c>
      <c r="I39" s="26">
        <f t="shared" si="2"/>
        <v>0.97414467858469889</v>
      </c>
    </row>
    <row r="40" spans="2:9" ht="15" x14ac:dyDescent="0.2">
      <c r="B40" s="36">
        <v>2025</v>
      </c>
      <c r="C40" s="36">
        <v>9</v>
      </c>
      <c r="D40" t="str">
        <f t="shared" si="0"/>
        <v>sep-25</v>
      </c>
      <c r="E40" s="25">
        <f>SUMIFS(Datos!$O$2:$O$2089,Datos!$B$2:$B$2089,$B40,Datos!$C$2:$C$2089,$C40,Datos!$H$2:$H$2089,$E$7,Datos!$J$2:$J$2089,$E$8,Datos!$K$2:$K$2089,$E$9)</f>
        <v>48017663.230000004</v>
      </c>
      <c r="F40" s="25">
        <f>SUMIFS(Datos!$R$2:$R$2089,Datos!$B$2:$B$2089,$B40,Datos!$C$2:$C$2089,$C40,Datos!$H$2:$H$2089,$E$7,Datos!$J$2:$J$2089,$E$8,Datos!$K$2:$K$2089,$E$9)</f>
        <v>14077373.569999997</v>
      </c>
      <c r="G40" s="26">
        <f t="shared" si="1"/>
        <v>0.29317073391453319</v>
      </c>
      <c r="H40" s="25">
        <f>SUMIFS(Configuración!$G$21:$G$1220,Configuración!$B$21:$B$1220,$B40,Configuración!$C$21:$C$1220,$C40,Configuración!$F$21:$F$1220,$E$7,Configuración!$D$21:$D$1220,$E$8,Configuración!$E$21:$E$1220,$E$9)</f>
        <v>47804000</v>
      </c>
      <c r="I40" s="26">
        <f t="shared" si="2"/>
        <v>1.0044695680277802</v>
      </c>
    </row>
    <row r="41" spans="2:9" ht="15" x14ac:dyDescent="0.2">
      <c r="B41" s="36">
        <v>2025</v>
      </c>
      <c r="C41" s="36">
        <v>10</v>
      </c>
      <c r="D41" t="str">
        <f t="shared" si="0"/>
        <v>oct-25</v>
      </c>
      <c r="E41" s="25">
        <f>SUMIFS(Datos!$O$2:$O$2089,Datos!$B$2:$B$2089,$B41,Datos!$C$2:$C$2089,$C41,Datos!$H$2:$H$2089,$E$7,Datos!$J$2:$J$2089,$E$8,Datos!$K$2:$K$2089,$E$9)</f>
        <v>50818732.430000022</v>
      </c>
      <c r="F41" s="25">
        <f>SUMIFS(Datos!$R$2:$R$2089,Datos!$B$2:$B$2089,$B41,Datos!$C$2:$C$2089,$C41,Datos!$H$2:$H$2089,$E$7,Datos!$J$2:$J$2089,$E$8,Datos!$K$2:$K$2089,$E$9)</f>
        <v>14708618.33</v>
      </c>
      <c r="G41" s="26">
        <f t="shared" si="1"/>
        <v>0.28943300288452301</v>
      </c>
      <c r="H41" s="25">
        <f>SUMIFS(Configuración!$G$21:$G$1220,Configuración!$B$21:$B$1220,$B41,Configuración!$C$21:$C$1220,$C41,Configuración!$F$21:$F$1220,$E$7,Configuración!$D$21:$D$1220,$E$8,Configuración!$E$21:$E$1220,$E$9)</f>
        <v>51547000</v>
      </c>
      <c r="I41" s="26">
        <f t="shared" si="2"/>
        <v>0.98587177585504537</v>
      </c>
    </row>
    <row r="42" spans="2:9" ht="15" x14ac:dyDescent="0.2">
      <c r="B42" s="36">
        <v>2025</v>
      </c>
      <c r="C42" s="36">
        <v>11</v>
      </c>
      <c r="D42" t="str">
        <f t="shared" si="0"/>
        <v>nov-25</v>
      </c>
      <c r="E42" s="25">
        <f>SUMIFS(Datos!$O$2:$O$2089,Datos!$B$2:$B$2089,$B42,Datos!$C$2:$C$2089,$C42,Datos!$H$2:$H$2089,$E$7,Datos!$J$2:$J$2089,$E$8,Datos!$K$2:$K$2089,$E$9)</f>
        <v>53634855.719999999</v>
      </c>
      <c r="F42" s="25">
        <f>SUMIFS(Datos!$R$2:$R$2089,Datos!$B$2:$B$2089,$B42,Datos!$C$2:$C$2089,$C42,Datos!$H$2:$H$2089,$E$7,Datos!$J$2:$J$2089,$E$8,Datos!$K$2:$K$2089,$E$9)</f>
        <v>15497222.550000001</v>
      </c>
      <c r="G42" s="26">
        <f t="shared" si="1"/>
        <v>0.28893939103524452</v>
      </c>
      <c r="H42" s="25">
        <f>SUMIFS(Configuración!$G$21:$G$1220,Configuración!$B$21:$B$1220,$B42,Configuración!$C$21:$C$1220,$C42,Configuración!$F$21:$F$1220,$E$7,Configuración!$D$21:$D$1220,$E$8,Configuración!$E$21:$E$1220,$E$9)</f>
        <v>53934000</v>
      </c>
      <c r="I42" s="26">
        <f t="shared" si="2"/>
        <v>0.99445351207030819</v>
      </c>
    </row>
    <row r="43" spans="2:9" ht="15" x14ac:dyDescent="0.2">
      <c r="B43" s="36">
        <v>2025</v>
      </c>
      <c r="C43" s="36">
        <v>12</v>
      </c>
      <c r="D43" t="str">
        <f t="shared" si="0"/>
        <v>dic-25</v>
      </c>
      <c r="E43" s="25">
        <f>SUMIFS(Datos!$O$2:$O$2089,Datos!$B$2:$B$2089,$B43,Datos!$C$2:$C$2089,$C43,Datos!$H$2:$H$2089,$E$7,Datos!$J$2:$J$2089,$E$8,Datos!$K$2:$K$2089,$E$9)</f>
        <v>77250515.510000005</v>
      </c>
      <c r="F43" s="25">
        <f>SUMIFS(Datos!$R$2:$R$2089,Datos!$B$2:$B$2089,$B43,Datos!$C$2:$C$2089,$C43,Datos!$H$2:$H$2089,$E$7,Datos!$J$2:$J$2089,$E$8,Datos!$K$2:$K$2089,$E$9)</f>
        <v>22330669.400000006</v>
      </c>
      <c r="G43" s="26">
        <f t="shared" si="1"/>
        <v>0.28906822501539581</v>
      </c>
      <c r="H43" s="25">
        <f>SUMIFS(Configuración!$G$21:$G$1220,Configuración!$B$21:$B$1220,$B43,Configuración!$C$21:$C$1220,$C43,Configuración!$F$21:$F$1220,$E$7,Configuración!$D$21:$D$1220,$E$8,Configuración!$E$21:$E$1220,$E$9)</f>
        <v>76445000</v>
      </c>
      <c r="I43" s="26">
        <f t="shared" si="2"/>
        <v>1.0105371902675127</v>
      </c>
    </row>
    <row r="44" spans="2:9" ht="15" x14ac:dyDescent="0.2">
      <c r="B44" s="36">
        <v>2026</v>
      </c>
      <c r="C44" s="36">
        <v>1</v>
      </c>
      <c r="D44" t="str">
        <f t="shared" si="0"/>
        <v>ene-26</v>
      </c>
      <c r="E44" s="25">
        <f>SUMIFS(Datos!$O$2:$O$2089,Datos!$B$2:$B$2089,$B44,Datos!$C$2:$C$2089,$C44,Datos!$H$2:$H$2089,$E$7,Datos!$J$2:$J$2089,$E$8,Datos!$K$2:$K$2089,$E$9)</f>
        <v>45463782.949999988</v>
      </c>
      <c r="F44" s="25">
        <f>SUMIFS(Datos!$R$2:$R$2089,Datos!$B$2:$B$2089,$B44,Datos!$C$2:$C$2089,$C44,Datos!$H$2:$H$2089,$E$7,Datos!$J$2:$J$2089,$E$8,Datos!$K$2:$K$2089,$E$9)</f>
        <v>12862469.18</v>
      </c>
      <c r="G44" s="26">
        <f t="shared" si="1"/>
        <v>0.28291682621628395</v>
      </c>
      <c r="H44" s="25">
        <f>SUMIFS(Configuración!$G$21:$G$1220,Configuración!$B$21:$B$1220,$B44,Configuración!$C$21:$C$1220,$C44,Configuración!$F$21:$F$1220,$E$7,Configuración!$D$21:$D$1220,$E$8,Configuración!$E$21:$E$1220,$E$9)</f>
        <v>46038000</v>
      </c>
      <c r="I44" s="26">
        <f t="shared" si="2"/>
        <v>0.98752732416699218</v>
      </c>
    </row>
    <row r="45" spans="2:9" ht="15" x14ac:dyDescent="0.2">
      <c r="B45" s="36">
        <v>2026</v>
      </c>
      <c r="C45" s="36">
        <v>2</v>
      </c>
      <c r="D45" t="str">
        <f t="shared" si="0"/>
        <v>feb-26</v>
      </c>
      <c r="E45" s="25">
        <f>SUMIFS(Datos!$O$2:$O$2089,Datos!$B$2:$B$2089,$B45,Datos!$C$2:$C$2089,$C45,Datos!$H$2:$H$2089,$E$7,Datos!$J$2:$J$2089,$E$8,Datos!$K$2:$K$2089,$E$9)</f>
        <v>44785024.029999971</v>
      </c>
      <c r="F45" s="25">
        <f>SUMIFS(Datos!$R$2:$R$2089,Datos!$B$2:$B$2089,$B45,Datos!$C$2:$C$2089,$C45,Datos!$H$2:$H$2089,$E$7,Datos!$J$2:$J$2089,$E$8,Datos!$K$2:$K$2089,$E$9)</f>
        <v>12538135.710000001</v>
      </c>
      <c r="G45" s="26">
        <f t="shared" si="1"/>
        <v>0.27996268800930257</v>
      </c>
      <c r="H45" s="25">
        <f>SUMIFS(Configuración!$G$21:$G$1220,Configuración!$B$21:$B$1220,$B45,Configuración!$C$21:$C$1220,$C45,Configuración!$F$21:$F$1220,$E$7,Configuración!$D$21:$D$1220,$E$8,Configuración!$E$21:$E$1220,$E$9)</f>
        <v>44451000</v>
      </c>
      <c r="I45" s="26">
        <f t="shared" si="2"/>
        <v>1.0075144322962357</v>
      </c>
    </row>
    <row r="46" spans="2:9" ht="15" x14ac:dyDescent="0.2">
      <c r="B46" s="36">
        <v>2026</v>
      </c>
      <c r="C46" s="36">
        <v>3</v>
      </c>
      <c r="D46" t="str">
        <f t="shared" si="0"/>
        <v>mar-26</v>
      </c>
      <c r="E46" s="25">
        <f>SUMIFS(Datos!$O$2:$O$2089,Datos!$B$2:$B$2089,$B46,Datos!$C$2:$C$2089,$C46,Datos!$H$2:$H$2089,$E$7,Datos!$J$2:$J$2089,$E$8,Datos!$K$2:$K$2089,$E$9)</f>
        <v>51644167.150000021</v>
      </c>
      <c r="F46" s="25">
        <f>SUMIFS(Datos!$R$2:$R$2089,Datos!$B$2:$B$2089,$B46,Datos!$C$2:$C$2089,$C46,Datos!$H$2:$H$2089,$E$7,Datos!$J$2:$J$2089,$E$8,Datos!$K$2:$K$2089,$E$9)</f>
        <v>14279624.710000001</v>
      </c>
      <c r="G46" s="26">
        <f t="shared" si="1"/>
        <v>0.27650024190582762</v>
      </c>
      <c r="H46" s="25">
        <f>SUMIFS(Configuración!$G$21:$G$1220,Configuración!$B$21:$B$1220,$B46,Configuración!$C$21:$C$1220,$C46,Configuración!$F$21:$F$1220,$E$7,Configuración!$D$21:$D$1220,$E$8,Configuración!$E$21:$E$1220,$E$9)</f>
        <v>53348000</v>
      </c>
      <c r="I46" s="26">
        <f t="shared" si="2"/>
        <v>0.96806191703531563</v>
      </c>
    </row>
    <row r="47" spans="2:9" ht="15" x14ac:dyDescent="0.2">
      <c r="B47" s="36">
        <v>2026</v>
      </c>
      <c r="C47" s="36">
        <v>4</v>
      </c>
      <c r="D47" t="str">
        <f t="shared" si="0"/>
        <v>abr-26</v>
      </c>
      <c r="E47" s="25">
        <f>SUMIFS(Datos!$O$2:$O$2089,Datos!$B$2:$B$2089,$B47,Datos!$C$2:$C$2089,$C47,Datos!$H$2:$H$2089,$E$7,Datos!$J$2:$J$2089,$E$8,Datos!$K$2:$K$2089,$E$9)</f>
        <v>49979880.410000019</v>
      </c>
      <c r="F47" s="25">
        <f>SUMIFS(Datos!$R$2:$R$2089,Datos!$B$2:$B$2089,$B47,Datos!$C$2:$C$2089,$C47,Datos!$H$2:$H$2089,$E$7,Datos!$J$2:$J$2089,$E$8,Datos!$K$2:$K$2089,$E$9)</f>
        <v>13859682.779999994</v>
      </c>
      <c r="G47" s="26">
        <f t="shared" si="1"/>
        <v>0.2773052409550571</v>
      </c>
      <c r="H47" s="25">
        <f>SUMIFS(Configuración!$G$21:$G$1220,Configuración!$B$21:$B$1220,$B47,Configuración!$C$21:$C$1220,$C47,Configuración!$F$21:$F$1220,$E$7,Configuración!$D$21:$D$1220,$E$8,Configuración!$E$21:$E$1220,$E$9)</f>
        <v>51814000</v>
      </c>
      <c r="I47" s="26">
        <f t="shared" si="2"/>
        <v>0.96460185297410006</v>
      </c>
    </row>
    <row r="48" spans="2:9" ht="15" x14ac:dyDescent="0.2">
      <c r="B48" s="36">
        <v>2026</v>
      </c>
      <c r="C48" s="36">
        <v>5</v>
      </c>
      <c r="D48" t="str">
        <f t="shared" si="0"/>
        <v>may-26</v>
      </c>
      <c r="E48" s="25">
        <f>SUMIFS(Datos!$O$2:$O$2089,Datos!$B$2:$B$2089,$B48,Datos!$C$2:$C$2089,$C48,Datos!$H$2:$H$2089,$E$7,Datos!$J$2:$J$2089,$E$8,Datos!$K$2:$K$2089,$E$9)</f>
        <v>57345670.140000001</v>
      </c>
      <c r="F48" s="25">
        <f>SUMIFS(Datos!$R$2:$R$2089,Datos!$B$2:$B$2089,$B48,Datos!$C$2:$C$2089,$C48,Datos!$H$2:$H$2089,$E$7,Datos!$J$2:$J$2089,$E$8,Datos!$K$2:$K$2089,$E$9)</f>
        <v>15988216.589999994</v>
      </c>
      <c r="G48" s="26">
        <f t="shared" si="1"/>
        <v>0.27880425062550318</v>
      </c>
      <c r="H48" s="25">
        <f>SUMIFS(Configuración!$G$21:$G$1220,Configuración!$B$21:$B$1220,$B48,Configuración!$C$21:$C$1220,$C48,Configuración!$F$21:$F$1220,$E$7,Configuración!$D$21:$D$1220,$E$8,Configuración!$E$21:$E$1220,$E$9)</f>
        <v>58358000</v>
      </c>
      <c r="I48" s="26">
        <f t="shared" si="2"/>
        <v>0.98265310908530112</v>
      </c>
    </row>
    <row r="49" spans="2:13" ht="15" x14ac:dyDescent="0.2">
      <c r="B49" s="36">
        <v>2026</v>
      </c>
      <c r="C49" s="36">
        <v>6</v>
      </c>
      <c r="D49" t="str">
        <f t="shared" si="0"/>
        <v>jun-26</v>
      </c>
      <c r="E49" s="25">
        <f>SUMIFS(Datos!$O$2:$O$2089,Datos!$B$2:$B$2089,$B49,Datos!$C$2:$C$2089,$C49,Datos!$H$2:$H$2089,$E$7,Datos!$J$2:$J$2089,$E$8,Datos!$K$2:$K$2089,$E$9)</f>
        <v>60519491.879999988</v>
      </c>
      <c r="F49" s="25">
        <f>SUMIFS(Datos!$R$2:$R$2089,Datos!$B$2:$B$2089,$B49,Datos!$C$2:$C$2089,$C49,Datos!$H$2:$H$2089,$E$7,Datos!$J$2:$J$2089,$E$8,Datos!$K$2:$K$2089,$E$9)</f>
        <v>16999480.479999997</v>
      </c>
      <c r="G49" s="26">
        <f t="shared" si="1"/>
        <v>0.28089265048204831</v>
      </c>
      <c r="H49" s="25">
        <f>SUMIFS(Configuración!$G$21:$G$1220,Configuración!$B$21:$B$1220,$B49,Configuración!$C$21:$C$1220,$C49,Configuración!$F$21:$F$1220,$E$7,Configuración!$D$21:$D$1220,$E$8,Configuración!$E$21:$E$1220,$E$9)</f>
        <v>63088000</v>
      </c>
      <c r="I49" s="26">
        <f t="shared" si="2"/>
        <v>0.959286898934821</v>
      </c>
    </row>
    <row r="51" spans="2:13" ht="21.75" customHeight="1" x14ac:dyDescent="0.15">
      <c r="B51" s="60" t="s">
        <v>2250</v>
      </c>
      <c r="C51" s="60"/>
      <c r="D51" s="60"/>
      <c r="E51" s="60"/>
      <c r="F51" s="60"/>
      <c r="G51" s="60"/>
      <c r="H51" s="60"/>
      <c r="I51" s="60"/>
      <c r="J51" s="60"/>
      <c r="K51" s="60"/>
    </row>
    <row r="52" spans="2:13" ht="30" customHeight="1" x14ac:dyDescent="0.15">
      <c r="B52" s="35" t="s">
        <v>42</v>
      </c>
      <c r="C52" s="35" t="s">
        <v>27</v>
      </c>
      <c r="D52" s="35" t="s">
        <v>2251</v>
      </c>
      <c r="E52" s="35" t="s">
        <v>2252</v>
      </c>
      <c r="F52" s="35" t="s">
        <v>2253</v>
      </c>
      <c r="G52" s="35" t="s">
        <v>2254</v>
      </c>
      <c r="H52" s="35" t="s">
        <v>2255</v>
      </c>
      <c r="I52" s="35" t="s">
        <v>2256</v>
      </c>
      <c r="J52" s="35" t="s">
        <v>2257</v>
      </c>
      <c r="K52" s="35" t="s">
        <v>2258</v>
      </c>
      <c r="L52" s="35" t="s">
        <v>2259</v>
      </c>
      <c r="M52" s="35" t="s">
        <v>2260</v>
      </c>
    </row>
    <row r="53" spans="2:13" ht="15" x14ac:dyDescent="0.2">
      <c r="B53" t="s">
        <v>55</v>
      </c>
      <c r="C53" s="25">
        <f>SUMIFS(Datos!$O$2:$O$2089,Datos!$B$2:$B$2089,$C$3,Datos!$C$2:$C$2089,"&lt;="&amp;$C$5,Datos!$H$2:$H$2089,$B53,Datos!$H$2:$H$2089,$E$7,Datos!$J$2:$J$2089,$E$8,Datos!$K$2:$K$2089,$E$9)</f>
        <v>110452696.22</v>
      </c>
      <c r="D53" s="25">
        <f>SUMIFS(Datos!$O$2:$O$2089,Datos!$B$2:$B$2089,$C$4,Datos!$C$2:$C$2089,"&lt;="&amp;$C$5,Datos!$H$2:$H$2089,$B53,Datos!$H$2:$H$2089,$E$7,Datos!$J$2:$J$2089,$E$8,Datos!$K$2:$K$2089,$E$9)</f>
        <v>88958244.990000024</v>
      </c>
      <c r="E53" s="26">
        <f>IFERROR($C53/$D53-1,0)</f>
        <v>0.24162404769132095</v>
      </c>
      <c r="F53" s="26">
        <f>IFERROR($J53/$C53,0)</f>
        <v>0.21395869859916397</v>
      </c>
      <c r="G53" s="26">
        <f>IFERROR($K53/$D53,0)</f>
        <v>0.28564724487152893</v>
      </c>
      <c r="H53" s="37">
        <f>($F53-$G53)*100</f>
        <v>-7.1688546272364952</v>
      </c>
      <c r="I53" s="26">
        <f>IFERROR(($C53-$D53)/($C$12-$C$13),0)</f>
        <v>0.69414524244494813</v>
      </c>
      <c r="J53" s="25">
        <f>SUMIFS(Datos!$R$2:$R$2089,Datos!$B$2:$B$2089,$C$3,Datos!$C$2:$C$2089,"&lt;="&amp;$C$5,Datos!$H$2:$H$2089,$B53,Datos!$H$2:$H$2089,$E$7,Datos!$J$2:$J$2089,$E$8,Datos!$K$2:$K$2089,$E$9)</f>
        <v>23632315.139999997</v>
      </c>
      <c r="K53" s="25">
        <f>SUMIFS(Datos!$R$2:$R$2089,Datos!$B$2:$B$2089,$C$4,Datos!$C$2:$C$2089,"&lt;="&amp;$C$5,Datos!$H$2:$H$2089,$B53,Datos!$H$2:$H$2089,$E$7,Datos!$J$2:$J$2089,$E$8,Datos!$K$2:$K$2089,$E$9)</f>
        <v>25410677.589999996</v>
      </c>
      <c r="L53" s="26">
        <f>IF($C53&gt;0,$E53,99)</f>
        <v>0.24162404769132095</v>
      </c>
      <c r="M53" s="37">
        <f>IF($C53&gt;0,$H53,99)</f>
        <v>-7.1688546272364952</v>
      </c>
    </row>
    <row r="54" spans="2:13" ht="15" x14ac:dyDescent="0.2">
      <c r="B54" t="s">
        <v>62</v>
      </c>
      <c r="C54" s="25">
        <f>SUMIFS(Datos!$O$2:$O$2089,Datos!$B$2:$B$2089,$C$3,Datos!$C$2:$C$2089,"&lt;="&amp;$C$5,Datos!$H$2:$H$2089,$B54,Datos!$H$2:$H$2089,$E$7,Datos!$J$2:$J$2089,$E$8,Datos!$K$2:$K$2089,$E$9)</f>
        <v>69686783.219999999</v>
      </c>
      <c r="D54" s="25">
        <f>SUMIFS(Datos!$O$2:$O$2089,Datos!$B$2:$B$2089,$C$4,Datos!$C$2:$C$2089,"&lt;="&amp;$C$5,Datos!$H$2:$H$2089,$B54,Datos!$H$2:$H$2089,$E$7,Datos!$J$2:$J$2089,$E$8,Datos!$K$2:$K$2089,$E$9)</f>
        <v>64214716.579999998</v>
      </c>
      <c r="E54" s="26">
        <f>IFERROR($C54/$D54-1,0)</f>
        <v>8.52151489788604E-2</v>
      </c>
      <c r="F54" s="26">
        <f>IFERROR($J54/$C54,0)</f>
        <v>0.1799762323711403</v>
      </c>
      <c r="G54" s="26">
        <f>IFERROR($K54/$D54,0)</f>
        <v>0.177359723698402</v>
      </c>
      <c r="H54" s="37">
        <f>($F54-$G54)*100</f>
        <v>0.26165086727382991</v>
      </c>
      <c r="I54" s="26">
        <f>IFERROR(($C54-$D54)/($C$12-$C$13),0)</f>
        <v>0.17671579440912843</v>
      </c>
      <c r="J54" s="25">
        <f>SUMIFS(Datos!$R$2:$R$2089,Datos!$B$2:$B$2089,$C$3,Datos!$C$2:$C$2089,"&lt;="&amp;$C$5,Datos!$H$2:$H$2089,$B54,Datos!$H$2:$H$2089,$E$7,Datos!$J$2:$J$2089,$E$8,Datos!$K$2:$K$2089,$E$9)</f>
        <v>12541964.689999999</v>
      </c>
      <c r="K54" s="25">
        <f>SUMIFS(Datos!$R$2:$R$2089,Datos!$B$2:$B$2089,$C$4,Datos!$C$2:$C$2089,"&lt;="&amp;$C$5,Datos!$H$2:$H$2089,$B54,Datos!$H$2:$H$2089,$E$7,Datos!$J$2:$J$2089,$E$8,Datos!$K$2:$K$2089,$E$9)</f>
        <v>11389104.389999993</v>
      </c>
      <c r="L54" s="26">
        <f>IF($C54&gt;0,$E54,99)</f>
        <v>8.52151489788604E-2</v>
      </c>
      <c r="M54" s="37">
        <f>IF($C54&gt;0,$H54,99)</f>
        <v>0.26165086727382991</v>
      </c>
    </row>
    <row r="55" spans="2:13" ht="15" x14ac:dyDescent="0.2">
      <c r="B55" t="s">
        <v>75</v>
      </c>
      <c r="C55" s="25">
        <f>SUMIFS(Datos!$O$2:$O$2089,Datos!$B$2:$B$2089,$C$3,Datos!$C$2:$C$2089,"&lt;="&amp;$C$5,Datos!$H$2:$H$2089,$B55,Datos!$H$2:$H$2089,$E$7,Datos!$J$2:$J$2089,$E$8,Datos!$K$2:$K$2089,$E$9)</f>
        <v>52063658.620000012</v>
      </c>
      <c r="D55" s="25">
        <f>SUMIFS(Datos!$O$2:$O$2089,Datos!$B$2:$B$2089,$C$4,Datos!$C$2:$C$2089,"&lt;="&amp;$C$5,Datos!$H$2:$H$2089,$B55,Datos!$H$2:$H$2089,$E$7,Datos!$J$2:$J$2089,$E$8,Datos!$K$2:$K$2089,$E$9)</f>
        <v>54938153.679999962</v>
      </c>
      <c r="E55" s="26">
        <f>IFERROR($C55/$D55-1,0)</f>
        <v>-5.2322381941393825E-2</v>
      </c>
      <c r="F55" s="26">
        <f>IFERROR($J55/$C55,0)</f>
        <v>0.31525990383808317</v>
      </c>
      <c r="G55" s="26">
        <f>IFERROR($K55/$D55,0)</f>
        <v>0.32085918636208532</v>
      </c>
      <c r="H55" s="37">
        <f>($F55-$G55)*100</f>
        <v>-0.55992825240021582</v>
      </c>
      <c r="I55" s="26">
        <f>IFERROR(($C55-$D55)/($C$12-$C$13),0)</f>
        <v>-9.2829402759796523E-2</v>
      </c>
      <c r="J55" s="25">
        <f>SUMIFS(Datos!$R$2:$R$2089,Datos!$B$2:$B$2089,$C$3,Datos!$C$2:$C$2089,"&lt;="&amp;$C$5,Datos!$H$2:$H$2089,$B55,Datos!$H$2:$H$2089,$E$7,Datos!$J$2:$J$2089,$E$8,Datos!$K$2:$K$2089,$E$9)</f>
        <v>16413584.009999992</v>
      </c>
      <c r="K55" s="25">
        <f>SUMIFS(Datos!$R$2:$R$2089,Datos!$B$2:$B$2089,$C$4,Datos!$C$2:$C$2089,"&lt;="&amp;$C$5,Datos!$H$2:$H$2089,$B55,Datos!$H$2:$H$2089,$E$7,Datos!$J$2:$J$2089,$E$8,Datos!$K$2:$K$2089,$E$9)</f>
        <v>17627411.289999992</v>
      </c>
      <c r="L55" s="26">
        <f>IF($C55&gt;0,$E55,99)</f>
        <v>-5.2322381941393825E-2</v>
      </c>
      <c r="M55" s="37">
        <f>IF($C55&gt;0,$H55,99)</f>
        <v>-0.55992825240021582</v>
      </c>
    </row>
    <row r="56" spans="2:13" ht="15" x14ac:dyDescent="0.2">
      <c r="B56" t="s">
        <v>88</v>
      </c>
      <c r="C56" s="25">
        <f>SUMIFS(Datos!$O$2:$O$2089,Datos!$B$2:$B$2089,$C$3,Datos!$C$2:$C$2089,"&lt;="&amp;$C$5,Datos!$H$2:$H$2089,$B56,Datos!$H$2:$H$2089,$E$7,Datos!$J$2:$J$2089,$E$8,Datos!$K$2:$K$2089,$E$9)</f>
        <v>49151353.269999996</v>
      </c>
      <c r="D56" s="25">
        <f>SUMIFS(Datos!$O$2:$O$2089,Datos!$B$2:$B$2089,$C$4,Datos!$C$2:$C$2089,"&lt;="&amp;$C$5,Datos!$H$2:$H$2089,$B56,Datos!$H$2:$H$2089,$E$7,Datos!$J$2:$J$2089,$E$8,Datos!$K$2:$K$2089,$E$9)</f>
        <v>47092913.619999997</v>
      </c>
      <c r="E56" s="26">
        <f>IFERROR($C56/$D56-1,0)</f>
        <v>4.3710178278835388E-2</v>
      </c>
      <c r="F56" s="26">
        <f>IFERROR($J56/$C56,0)</f>
        <v>0.44778292103370199</v>
      </c>
      <c r="G56" s="26">
        <f>IFERROR($K56/$D56,0)</f>
        <v>0.4417877566013298</v>
      </c>
      <c r="H56" s="37">
        <f>($F56-$G56)*100</f>
        <v>0.59951644323721909</v>
      </c>
      <c r="I56" s="26">
        <f>IFERROR(($C56-$D56)/($C$12-$C$13),0)</f>
        <v>6.6475578958409401E-2</v>
      </c>
      <c r="J56" s="25">
        <f>SUMIFS(Datos!$R$2:$R$2089,Datos!$B$2:$B$2089,$C$3,Datos!$C$2:$C$2089,"&lt;="&amp;$C$5,Datos!$H$2:$H$2089,$B56,Datos!$H$2:$H$2089,$E$7,Datos!$J$2:$J$2089,$E$8,Datos!$K$2:$K$2089,$E$9)</f>
        <v>22009136.539999999</v>
      </c>
      <c r="K56" s="25">
        <f>SUMIFS(Datos!$R$2:$R$2089,Datos!$B$2:$B$2089,$C$4,Datos!$C$2:$C$2089,"&lt;="&amp;$C$5,Datos!$H$2:$H$2089,$B56,Datos!$H$2:$H$2089,$E$7,Datos!$J$2:$J$2089,$E$8,Datos!$K$2:$K$2089,$E$9)</f>
        <v>20805072.660000008</v>
      </c>
      <c r="L56" s="26">
        <f>IF($C56&gt;0,$E56,99)</f>
        <v>4.3710178278835388E-2</v>
      </c>
      <c r="M56" s="37">
        <f>IF($C56&gt;0,$H56,99)</f>
        <v>0.59951644323721909</v>
      </c>
    </row>
    <row r="57" spans="2:13" ht="15" x14ac:dyDescent="0.2">
      <c r="B57" t="s">
        <v>93</v>
      </c>
      <c r="C57" s="25">
        <f>SUMIFS(Datos!$O$2:$O$2089,Datos!$B$2:$B$2089,$C$3,Datos!$C$2:$C$2089,"&lt;="&amp;$C$5,Datos!$H$2:$H$2089,$B57,Datos!$H$2:$H$2089,$E$7,Datos!$J$2:$J$2089,$E$8,Datos!$K$2:$K$2089,$E$9)</f>
        <v>28383525.229999997</v>
      </c>
      <c r="D57" s="25">
        <f>SUMIFS(Datos!$O$2:$O$2089,Datos!$B$2:$B$2089,$C$4,Datos!$C$2:$C$2089,"&lt;="&amp;$C$5,Datos!$H$2:$H$2089,$B57,Datos!$H$2:$H$2089,$E$7,Datos!$J$2:$J$2089,$E$8,Datos!$K$2:$K$2089,$E$9)</f>
        <v>23568636.47000001</v>
      </c>
      <c r="E57" s="26">
        <f>IFERROR($C57/$D57-1,0)</f>
        <v>0.20429220698145811</v>
      </c>
      <c r="F57" s="26">
        <f>IFERROR($J57/$C57,0)</f>
        <v>0.42033570436803702</v>
      </c>
      <c r="G57" s="26">
        <f>IFERROR($K57/$D57,0)</f>
        <v>0.40463828877581193</v>
      </c>
      <c r="H57" s="37">
        <f>($F57-$G57)*100</f>
        <v>1.5697415592225095</v>
      </c>
      <c r="I57" s="26">
        <f>IFERROR(($C57-$D57)/($C$12-$C$13),0)</f>
        <v>0.15549278694730606</v>
      </c>
      <c r="J57" s="25">
        <f>SUMIFS(Datos!$R$2:$R$2089,Datos!$B$2:$B$2089,$C$3,Datos!$C$2:$C$2089,"&lt;="&amp;$C$5,Datos!$H$2:$H$2089,$B57,Datos!$H$2:$H$2089,$E$7,Datos!$J$2:$J$2089,$E$8,Datos!$K$2:$K$2089,$E$9)</f>
        <v>11930609.069999998</v>
      </c>
      <c r="K57" s="25">
        <f>SUMIFS(Datos!$R$2:$R$2089,Datos!$B$2:$B$2089,$C$4,Datos!$C$2:$C$2089,"&lt;="&amp;$C$5,Datos!$H$2:$H$2089,$B57,Datos!$H$2:$H$2089,$E$7,Datos!$J$2:$J$2089,$E$8,Datos!$K$2:$K$2089,$E$9)</f>
        <v>9536772.7299999967</v>
      </c>
      <c r="L57" s="26">
        <f>IF($C57&gt;0,$E57,99)</f>
        <v>0.20429220698145811</v>
      </c>
      <c r="M57" s="37">
        <f>IF($C57&gt;0,$H57,99)</f>
        <v>1.5697415592225095</v>
      </c>
    </row>
    <row r="58" spans="2:13" x14ac:dyDescent="0.15">
      <c r="B58" s="38" t="s">
        <v>2261</v>
      </c>
    </row>
    <row r="61" spans="2:13" ht="21.75" customHeight="1" x14ac:dyDescent="0.15">
      <c r="B61" s="60" t="s">
        <v>2262</v>
      </c>
      <c r="C61" s="60"/>
      <c r="D61" s="60"/>
      <c r="E61" s="60"/>
      <c r="F61" s="60"/>
      <c r="G61" s="60"/>
      <c r="H61" s="60"/>
      <c r="I61" s="60"/>
      <c r="J61" s="60"/>
      <c r="K61" s="60"/>
    </row>
    <row r="62" spans="2:13" ht="30" customHeight="1" x14ac:dyDescent="0.15">
      <c r="B62" s="35" t="s">
        <v>44</v>
      </c>
      <c r="C62" s="35" t="s">
        <v>27</v>
      </c>
      <c r="D62" s="35" t="s">
        <v>2263</v>
      </c>
      <c r="E62" s="35" t="s">
        <v>2249</v>
      </c>
      <c r="F62" s="35" t="s">
        <v>28</v>
      </c>
      <c r="G62" s="35" t="s">
        <v>2264</v>
      </c>
      <c r="H62" s="35" t="s">
        <v>2265</v>
      </c>
      <c r="I62" s="35" t="s">
        <v>2266</v>
      </c>
      <c r="J62" s="35" t="s">
        <v>2267</v>
      </c>
      <c r="K62" s="35" t="s">
        <v>2268</v>
      </c>
    </row>
    <row r="63" spans="2:13" ht="15" x14ac:dyDescent="0.2">
      <c r="B63" t="s">
        <v>64</v>
      </c>
      <c r="C63" s="25">
        <f>SUMIFS(Datos!$O$2:$O$2089,Datos!$B$2:$B$2089,$C$3,Datos!$C$2:$C$2089,"&lt;="&amp;$C$5,Datos!$J$2:$J$2089,$B63,Datos!$J$2:$J$2089,$E$8,Datos!$H$2:$H$2089,$E$7,Datos!$K$2:$K$2089,$E$9)</f>
        <v>112821030.08999997</v>
      </c>
      <c r="D63" s="25">
        <f>SUMIFS(Configuración!$G$21:$G$1220,Configuración!$B$21:$B$1220,$C$3,Configuración!$C$21:$C$1220,"&lt;="&amp;$C$5,Configuración!$D$21:$D$1220,$B63,Configuración!$D$21:$D$1220,$E$8,Configuración!$F$21:$F$1220,$E$7,Configuración!$E$21:$E$1220,$E$9)</f>
        <v>110154000</v>
      </c>
      <c r="E63" s="26">
        <f>IFERROR($C63/$D63,0)</f>
        <v>1.0242118315267714</v>
      </c>
      <c r="F63" s="26">
        <f>IFERROR($J63/$C63,0)</f>
        <v>0.26568669348337098</v>
      </c>
      <c r="G63" s="26">
        <f>IFERROR($C63/$K63-1,0)</f>
        <v>0.1086992345993818</v>
      </c>
      <c r="H63" s="25">
        <f>$C63-$D63</f>
        <v>2667030.0899999738</v>
      </c>
      <c r="J63" s="25">
        <f>SUMIFS(Datos!$R$2:$R$2089,Datos!$B$2:$B$2089,$C$3,Datos!$C$2:$C$2089,"&lt;="&amp;$C$5,Datos!$J$2:$J$2089,$B63,Datos!$J$2:$J$2089,$E$8,Datos!$H$2:$H$2089,$E$7,Datos!$K$2:$K$2089,$E$9)</f>
        <v>29975046.439999998</v>
      </c>
      <c r="K63" s="25">
        <f>SUMIFS(Datos!$O$2:$O$2089,Datos!$B$2:$B$2089,$C$4,Datos!$C$2:$C$2089,"&lt;="&amp;$C$5,Datos!$J$2:$J$2089,$B63,Datos!$J$2:$J$2089,$E$8,Datos!$H$2:$H$2089,$E$7,Datos!$K$2:$K$2089,$E$9)</f>
        <v>101759815.98000003</v>
      </c>
      <c r="L63" s="26">
        <f>IF($C63&gt;0,$E63,99)</f>
        <v>1.0242118315267714</v>
      </c>
    </row>
    <row r="64" spans="2:13" ht="15" x14ac:dyDescent="0.2">
      <c r="B64" t="s">
        <v>77</v>
      </c>
      <c r="C64" s="25">
        <f>SUMIFS(Datos!$O$2:$O$2089,Datos!$B$2:$B$2089,$C$3,Datos!$C$2:$C$2089,"&lt;="&amp;$C$5,Datos!$J$2:$J$2089,$B64,Datos!$J$2:$J$2089,$E$8,Datos!$H$2:$H$2089,$E$7,Datos!$K$2:$K$2089,$E$9)</f>
        <v>70015759.230000034</v>
      </c>
      <c r="D64" s="25">
        <f>SUMIFS(Configuración!$G$21:$G$1220,Configuración!$B$21:$B$1220,$C$3,Configuración!$C$21:$C$1220,"&lt;="&amp;$C$5,Configuración!$D$21:$D$1220,$B64,Configuración!$D$21:$D$1220,$E$8,Configuración!$F$21:$F$1220,$E$7,Configuración!$E$21:$E$1220,$E$9)</f>
        <v>70566000</v>
      </c>
      <c r="E64" s="26">
        <f>IFERROR($C64/$D64,0)</f>
        <v>0.99220246620185404</v>
      </c>
      <c r="F64" s="26">
        <f>IFERROR($J64/$C64,0)</f>
        <v>0.31275102706616731</v>
      </c>
      <c r="G64" s="26">
        <f>IFERROR($C64/$K64-1,0)</f>
        <v>0.13961591360687464</v>
      </c>
      <c r="H64" s="25">
        <f>$C64-$D64</f>
        <v>-550240.76999996603</v>
      </c>
      <c r="J64" s="25">
        <f>SUMIFS(Datos!$R$2:$R$2089,Datos!$B$2:$B$2089,$C$3,Datos!$C$2:$C$2089,"&lt;="&amp;$C$5,Datos!$J$2:$J$2089,$B64,Datos!$J$2:$J$2089,$E$8,Datos!$H$2:$H$2089,$E$7,Datos!$K$2:$K$2089,$E$9)</f>
        <v>21897500.609999996</v>
      </c>
      <c r="K64" s="25">
        <f>SUMIFS(Datos!$O$2:$O$2089,Datos!$B$2:$B$2089,$C$4,Datos!$C$2:$C$2089,"&lt;="&amp;$C$5,Datos!$J$2:$J$2089,$B64,Datos!$J$2:$J$2089,$E$8,Datos!$H$2:$H$2089,$E$7,Datos!$K$2:$K$2089,$E$9)</f>
        <v>61438032.229999974</v>
      </c>
      <c r="L64" s="26">
        <f>IF($C64&gt;0,$E64,99)</f>
        <v>0.99220246620185404</v>
      </c>
    </row>
    <row r="65" spans="2:12" ht="15" x14ac:dyDescent="0.2">
      <c r="B65" t="s">
        <v>57</v>
      </c>
      <c r="C65" s="25">
        <f>SUMIFS(Datos!$O$2:$O$2089,Datos!$B$2:$B$2089,$C$3,Datos!$C$2:$C$2089,"&lt;="&amp;$C$5,Datos!$J$2:$J$2089,$B65,Datos!$J$2:$J$2089,$E$8,Datos!$H$2:$H$2089,$E$7,Datos!$K$2:$K$2089,$E$9)</f>
        <v>56374306.990000002</v>
      </c>
      <c r="D65" s="25">
        <f>SUMIFS(Configuración!$G$21:$G$1220,Configuración!$B$21:$B$1220,$C$3,Configuración!$C$21:$C$1220,"&lt;="&amp;$C$5,Configuración!$D$21:$D$1220,$B65,Configuración!$D$21:$D$1220,$E$8,Configuración!$F$21:$F$1220,$E$7,Configuración!$E$21:$E$1220,$E$9)</f>
        <v>57816000</v>
      </c>
      <c r="E65" s="26">
        <f>IFERROR($C65/$D65,0)</f>
        <v>0.9750641170264287</v>
      </c>
      <c r="F65" s="26">
        <f>IFERROR($J65/$C65,0)</f>
        <v>0.28054114266638186</v>
      </c>
      <c r="G65" s="26">
        <f>IFERROR($C65/$K65-1,0)</f>
        <v>0.13039755239812267</v>
      </c>
      <c r="H65" s="25">
        <f>$C65-$D65</f>
        <v>-1441693.0099999979</v>
      </c>
      <c r="J65" s="25">
        <f>SUMIFS(Datos!$R$2:$R$2089,Datos!$B$2:$B$2089,$C$3,Datos!$C$2:$C$2089,"&lt;="&amp;$C$5,Datos!$J$2:$J$2089,$B65,Datos!$J$2:$J$2089,$E$8,Datos!$H$2:$H$2089,$E$7,Datos!$K$2:$K$2089,$E$9)</f>
        <v>15815312.499999998</v>
      </c>
      <c r="K65" s="25">
        <f>SUMIFS(Datos!$O$2:$O$2089,Datos!$B$2:$B$2089,$C$4,Datos!$C$2:$C$2089,"&lt;="&amp;$C$5,Datos!$J$2:$J$2089,$B65,Datos!$J$2:$J$2089,$E$8,Datos!$H$2:$H$2089,$E$7,Datos!$K$2:$K$2089,$E$9)</f>
        <v>49871221.739999965</v>
      </c>
      <c r="L65" s="26">
        <f>IF($C65&gt;0,$E65,99)</f>
        <v>0.9750641170264287</v>
      </c>
    </row>
    <row r="66" spans="2:12" ht="15" x14ac:dyDescent="0.2">
      <c r="B66" t="s">
        <v>125</v>
      </c>
      <c r="C66" s="25">
        <f>SUMIFS(Datos!$O$2:$O$2089,Datos!$B$2:$B$2089,$C$3,Datos!$C$2:$C$2089,"&lt;="&amp;$C$5,Datos!$J$2:$J$2089,$B66,Datos!$J$2:$J$2089,$E$8,Datos!$H$2:$H$2089,$E$7,Datos!$K$2:$K$2089,$E$9)</f>
        <v>39741925.450000003</v>
      </c>
      <c r="D66" s="25">
        <f>SUMIFS(Configuración!$G$21:$G$1220,Configuración!$B$21:$B$1220,$C$3,Configuración!$C$21:$C$1220,"&lt;="&amp;$C$5,Configuración!$D$21:$D$1220,$B66,Configuración!$D$21:$D$1220,$E$8,Configuración!$F$21:$F$1220,$E$7,Configuración!$E$21:$E$1220,$E$9)</f>
        <v>40394000</v>
      </c>
      <c r="E66" s="26">
        <f>IFERROR($C66/$D66,0)</f>
        <v>0.98385714338763186</v>
      </c>
      <c r="F66" s="26">
        <f>IFERROR($J66/$C66,0)</f>
        <v>0.28727869902438241</v>
      </c>
      <c r="G66" s="26">
        <f>IFERROR($C66/$K66-1,0)</f>
        <v>0.10771564757660701</v>
      </c>
      <c r="H66" s="25">
        <f>$C66-$D66</f>
        <v>-652074.54999999702</v>
      </c>
      <c r="J66" s="25">
        <f>SUMIFS(Datos!$R$2:$R$2089,Datos!$B$2:$B$2089,$C$3,Datos!$C$2:$C$2089,"&lt;="&amp;$C$5,Datos!$J$2:$J$2089,$B66,Datos!$J$2:$J$2089,$E$8,Datos!$H$2:$H$2089,$E$7,Datos!$K$2:$K$2089,$E$9)</f>
        <v>11417008.639999995</v>
      </c>
      <c r="K66" s="25">
        <f>SUMIFS(Datos!$O$2:$O$2089,Datos!$B$2:$B$2089,$C$4,Datos!$C$2:$C$2089,"&lt;="&amp;$C$5,Datos!$J$2:$J$2089,$B66,Datos!$J$2:$J$2089,$E$8,Datos!$H$2:$H$2089,$E$7,Datos!$K$2:$K$2089,$E$9)</f>
        <v>35877371.180000007</v>
      </c>
      <c r="L66" s="26">
        <f>IF($C66&gt;0,$E66,99)</f>
        <v>0.98385714338763186</v>
      </c>
    </row>
    <row r="67" spans="2:12" ht="15" x14ac:dyDescent="0.2">
      <c r="B67" t="s">
        <v>70</v>
      </c>
      <c r="C67" s="25">
        <f>SUMIFS(Datos!$O$2:$O$2089,Datos!$B$2:$B$2089,$C$3,Datos!$C$2:$C$2089,"&lt;="&amp;$C$5,Datos!$J$2:$J$2089,$B67,Datos!$J$2:$J$2089,$E$8,Datos!$H$2:$H$2089,$E$7,Datos!$K$2:$K$2089,$E$9)</f>
        <v>30784994.800000008</v>
      </c>
      <c r="D67" s="25">
        <f>SUMIFS(Configuración!$G$21:$G$1220,Configuración!$B$21:$B$1220,$C$3,Configuración!$C$21:$C$1220,"&lt;="&amp;$C$5,Configuración!$D$21:$D$1220,$B67,Configuración!$D$21:$D$1220,$E$8,Configuración!$F$21:$F$1220,$E$7,Configuración!$E$21:$E$1220,$E$9)</f>
        <v>38167000</v>
      </c>
      <c r="E67" s="26">
        <f>IFERROR($C67/$D67,0)</f>
        <v>0.80658670579296277</v>
      </c>
      <c r="F67" s="26">
        <f>IFERROR($J67/$C67,0)</f>
        <v>0.24111555997404294</v>
      </c>
      <c r="G67" s="26">
        <f>IFERROR($C67/$K67-1,0)</f>
        <v>3.2145221709912075E-2</v>
      </c>
      <c r="H67" s="25">
        <f>$C67-$D67</f>
        <v>-7382005.1999999918</v>
      </c>
      <c r="J67" s="25">
        <f>SUMIFS(Datos!$R$2:$R$2089,Datos!$B$2:$B$2089,$C$3,Datos!$C$2:$C$2089,"&lt;="&amp;$C$5,Datos!$J$2:$J$2089,$B67,Datos!$J$2:$J$2089,$E$8,Datos!$H$2:$H$2089,$E$7,Datos!$K$2:$K$2089,$E$9)</f>
        <v>7422741.2600000016</v>
      </c>
      <c r="K67" s="25">
        <f>SUMIFS(Datos!$O$2:$O$2089,Datos!$B$2:$B$2089,$C$4,Datos!$C$2:$C$2089,"&lt;="&amp;$C$5,Datos!$J$2:$J$2089,$B67,Datos!$J$2:$J$2089,$E$8,Datos!$H$2:$H$2089,$E$7,Datos!$K$2:$K$2089,$E$9)</f>
        <v>29826224.210000012</v>
      </c>
      <c r="L67" s="26">
        <f>IF($C67&gt;0,$E67,99)</f>
        <v>0.80658670579296277</v>
      </c>
    </row>
    <row r="70" spans="2:12" ht="21.75" customHeight="1" x14ac:dyDescent="0.15">
      <c r="B70" s="60" t="s">
        <v>2269</v>
      </c>
      <c r="C70" s="60"/>
      <c r="D70" s="60"/>
      <c r="E70" s="60"/>
      <c r="F70" s="60"/>
      <c r="G70" s="60"/>
      <c r="H70" s="60"/>
      <c r="I70" s="60"/>
      <c r="J70" s="60"/>
      <c r="K70" s="60"/>
    </row>
    <row r="71" spans="2:12" ht="30" customHeight="1" x14ac:dyDescent="0.15">
      <c r="B71" s="35" t="s">
        <v>26</v>
      </c>
      <c r="C71" s="35" t="s">
        <v>44</v>
      </c>
      <c r="D71" s="35" t="s">
        <v>27</v>
      </c>
      <c r="E71" s="35" t="s">
        <v>28</v>
      </c>
      <c r="F71" s="35" t="s">
        <v>2249</v>
      </c>
      <c r="G71" s="35" t="s">
        <v>2270</v>
      </c>
      <c r="H71" s="35"/>
      <c r="I71" s="35" t="s">
        <v>2266</v>
      </c>
      <c r="J71" s="35" t="s">
        <v>2271</v>
      </c>
    </row>
    <row r="72" spans="2:12" ht="15" x14ac:dyDescent="0.2">
      <c r="B72" t="s">
        <v>65</v>
      </c>
      <c r="C72" t="s">
        <v>64</v>
      </c>
      <c r="D72" s="25">
        <f>SUMIFS(Datos!$O$2:$O$2089,Datos!$B$2:$B$2089,$C$3,Datos!$C$2:$C$2089,"&lt;="&amp;$C$5,Datos!$K$2:$K$2089,$B72,Datos!$K$2:$K$2089,$E$9,Datos!$H$2:$H$2089,$E$7,Datos!$J$2:$J$2089,$E$8)</f>
        <v>62409453.329999991</v>
      </c>
      <c r="E72" s="26">
        <f t="shared" ref="E72:E81" si="3">IFERROR($J72/$D72,0)</f>
        <v>0.26782356531178408</v>
      </c>
      <c r="F72" s="26">
        <f t="shared" ref="F72:F81" si="4">IFERROR($D72/$K72,0)</f>
        <v>1.0311351231722428</v>
      </c>
      <c r="G72" s="25">
        <f t="shared" ref="G72:G81" si="5">$D72+ROW()/1000000</f>
        <v>62409453.330071993</v>
      </c>
      <c r="J72" s="25">
        <f>SUMIFS(Datos!$R$2:$R$2089,Datos!$B$2:$B$2089,$C$3,Datos!$C$2:$C$2089,"&lt;="&amp;$C$5,Datos!$K$2:$K$2089,$B72,Datos!$K$2:$K$2089,$E$9,Datos!$H$2:$H$2089,$E$7,Datos!$J$2:$J$2089,$E$8)</f>
        <v>16714722.299999993</v>
      </c>
      <c r="K72" s="25">
        <f>SUMIFS(Configuración!$G$21:$G$1220,Configuración!$B$21:$B$1220,$C$3,Configuración!$C$21:$C$1220,"&lt;="&amp;$C$5,Configuración!$E$21:$E$1220,$B72,Configuración!$E$21:$E$1220,$E$9,Configuración!$F$21:$F$1220,$E$7,Configuración!$D$21:$D$1220,$E$8)</f>
        <v>60525000</v>
      </c>
    </row>
    <row r="73" spans="2:12" ht="15" x14ac:dyDescent="0.2">
      <c r="B73" t="s">
        <v>96</v>
      </c>
      <c r="C73" t="s">
        <v>64</v>
      </c>
      <c r="D73" s="25">
        <f>SUMIFS(Datos!$O$2:$O$2089,Datos!$B$2:$B$2089,$C$3,Datos!$C$2:$C$2089,"&lt;="&amp;$C$5,Datos!$K$2:$K$2089,$B73,Datos!$K$2:$K$2089,$E$9,Datos!$H$2:$H$2089,$E$7,Datos!$J$2:$J$2089,$E$8)</f>
        <v>50411576.759999998</v>
      </c>
      <c r="E73" s="26">
        <f t="shared" si="3"/>
        <v>0.26304124949572394</v>
      </c>
      <c r="F73" s="26">
        <f t="shared" si="4"/>
        <v>1.0157685377501058</v>
      </c>
      <c r="G73" s="25">
        <f t="shared" si="5"/>
        <v>50411576.760072999</v>
      </c>
      <c r="J73" s="25">
        <f>SUMIFS(Datos!$R$2:$R$2089,Datos!$B$2:$B$2089,$C$3,Datos!$C$2:$C$2089,"&lt;="&amp;$C$5,Datos!$K$2:$K$2089,$B73,Datos!$K$2:$K$2089,$E$9,Datos!$H$2:$H$2089,$E$7,Datos!$J$2:$J$2089,$E$8)</f>
        <v>13260324.139999997</v>
      </c>
      <c r="K73" s="25">
        <f>SUMIFS(Configuración!$G$21:$G$1220,Configuración!$B$21:$B$1220,$C$3,Configuración!$C$21:$C$1220,"&lt;="&amp;$C$5,Configuración!$E$21:$E$1220,$B73,Configuración!$E$21:$E$1220,$E$9,Configuración!$F$21:$F$1220,$E$7,Configuración!$D$21:$D$1220,$E$8)</f>
        <v>49629000</v>
      </c>
    </row>
    <row r="74" spans="2:12" ht="15" x14ac:dyDescent="0.2">
      <c r="B74" t="s">
        <v>107</v>
      </c>
      <c r="C74" t="s">
        <v>77</v>
      </c>
      <c r="D74" s="25">
        <f>SUMIFS(Datos!$O$2:$O$2089,Datos!$B$2:$B$2089,$C$3,Datos!$C$2:$C$2089,"&lt;="&amp;$C$5,Datos!$K$2:$K$2089,$B74,Datos!$K$2:$K$2089,$E$9,Datos!$H$2:$H$2089,$E$7,Datos!$J$2:$J$2089,$E$8)</f>
        <v>42066081.780000016</v>
      </c>
      <c r="E74" s="26">
        <f t="shared" si="3"/>
        <v>0.32152400503415729</v>
      </c>
      <c r="F74" s="26">
        <f t="shared" si="4"/>
        <v>0.99247568196295899</v>
      </c>
      <c r="G74" s="25">
        <f t="shared" si="5"/>
        <v>42066081.780074015</v>
      </c>
      <c r="J74" s="25">
        <f>SUMIFS(Datos!$R$2:$R$2089,Datos!$B$2:$B$2089,$C$3,Datos!$C$2:$C$2089,"&lt;="&amp;$C$5,Datos!$K$2:$K$2089,$B74,Datos!$K$2:$K$2089,$E$9,Datos!$H$2:$H$2089,$E$7,Datos!$J$2:$J$2089,$E$8)</f>
        <v>13525255.089999998</v>
      </c>
      <c r="K74" s="25">
        <f>SUMIFS(Configuración!$G$21:$G$1220,Configuración!$B$21:$B$1220,$C$3,Configuración!$C$21:$C$1220,"&lt;="&amp;$C$5,Configuración!$E$21:$E$1220,$B74,Configuración!$E$21:$E$1220,$E$9,Configuración!$F$21:$F$1220,$E$7,Configuración!$D$21:$D$1220,$E$8)</f>
        <v>42385000</v>
      </c>
    </row>
    <row r="75" spans="2:12" ht="15" x14ac:dyDescent="0.2">
      <c r="B75" t="s">
        <v>78</v>
      </c>
      <c r="C75" t="s">
        <v>77</v>
      </c>
      <c r="D75" s="25">
        <f>SUMIFS(Datos!$O$2:$O$2089,Datos!$B$2:$B$2089,$C$3,Datos!$C$2:$C$2089,"&lt;="&amp;$C$5,Datos!$K$2:$K$2089,$B75,Datos!$K$2:$K$2089,$E$9,Datos!$H$2:$H$2089,$E$7,Datos!$J$2:$J$2089,$E$8)</f>
        <v>27949677.449999999</v>
      </c>
      <c r="E75" s="26">
        <f t="shared" si="3"/>
        <v>0.29954712482737439</v>
      </c>
      <c r="F75" s="26">
        <f t="shared" si="4"/>
        <v>0.99179154217380505</v>
      </c>
      <c r="G75" s="25">
        <f t="shared" si="5"/>
        <v>27949677.450075001</v>
      </c>
      <c r="J75" s="25">
        <f>SUMIFS(Datos!$R$2:$R$2089,Datos!$B$2:$B$2089,$C$3,Datos!$C$2:$C$2089,"&lt;="&amp;$C$5,Datos!$K$2:$K$2089,$B75,Datos!$K$2:$K$2089,$E$9,Datos!$H$2:$H$2089,$E$7,Datos!$J$2:$J$2089,$E$8)</f>
        <v>8372245.5200000014</v>
      </c>
      <c r="K75" s="25">
        <f>SUMIFS(Configuración!$G$21:$G$1220,Configuración!$B$21:$B$1220,$C$3,Configuración!$C$21:$C$1220,"&lt;="&amp;$C$5,Configuración!$E$21:$E$1220,$B75,Configuración!$E$21:$E$1220,$E$9,Configuración!$F$21:$F$1220,$E$7,Configuración!$D$21:$D$1220,$E$8)</f>
        <v>28181000</v>
      </c>
    </row>
    <row r="76" spans="2:12" ht="15" x14ac:dyDescent="0.2">
      <c r="B76" t="s">
        <v>81</v>
      </c>
      <c r="C76" t="s">
        <v>57</v>
      </c>
      <c r="D76" s="25">
        <f>SUMIFS(Datos!$O$2:$O$2089,Datos!$B$2:$B$2089,$C$3,Datos!$C$2:$C$2089,"&lt;="&amp;$C$5,Datos!$K$2:$K$2089,$B76,Datos!$K$2:$K$2089,$E$9,Datos!$H$2:$H$2089,$E$7,Datos!$J$2:$J$2089,$E$8)</f>
        <v>34866518.589999996</v>
      </c>
      <c r="E76" s="26">
        <f t="shared" si="3"/>
        <v>0.28300208305942037</v>
      </c>
      <c r="F76" s="26">
        <f t="shared" si="4"/>
        <v>0.97378909621561227</v>
      </c>
      <c r="G76" s="25">
        <f t="shared" si="5"/>
        <v>34866518.590075999</v>
      </c>
      <c r="J76" s="25">
        <f>SUMIFS(Datos!$R$2:$R$2089,Datos!$B$2:$B$2089,$C$3,Datos!$C$2:$C$2089,"&lt;="&amp;$C$5,Datos!$K$2:$K$2089,$B76,Datos!$K$2:$K$2089,$E$9,Datos!$H$2:$H$2089,$E$7,Datos!$J$2:$J$2089,$E$8)</f>
        <v>9867297.3900000043</v>
      </c>
      <c r="K76" s="25">
        <f>SUMIFS(Configuración!$G$21:$G$1220,Configuración!$B$21:$B$1220,$C$3,Configuración!$C$21:$C$1220,"&lt;="&amp;$C$5,Configuración!$E$21:$E$1220,$B76,Configuración!$E$21:$E$1220,$E$9,Configuración!$F$21:$F$1220,$E$7,Configuración!$D$21:$D$1220,$E$8)</f>
        <v>35805000</v>
      </c>
    </row>
    <row r="77" spans="2:12" ht="15" x14ac:dyDescent="0.2">
      <c r="B77" t="s">
        <v>58</v>
      </c>
      <c r="C77" t="s">
        <v>57</v>
      </c>
      <c r="D77" s="25">
        <f>SUMIFS(Datos!$O$2:$O$2089,Datos!$B$2:$B$2089,$C$3,Datos!$C$2:$C$2089,"&lt;="&amp;$C$5,Datos!$K$2:$K$2089,$B77,Datos!$K$2:$K$2089,$E$9,Datos!$H$2:$H$2089,$E$7,Datos!$J$2:$J$2089,$E$8)</f>
        <v>21507788.400000006</v>
      </c>
      <c r="E77" s="26">
        <f t="shared" si="3"/>
        <v>0.27655168441214523</v>
      </c>
      <c r="F77" s="26">
        <f t="shared" si="4"/>
        <v>0.97713817636636258</v>
      </c>
      <c r="G77" s="25">
        <f t="shared" si="5"/>
        <v>21507788.400077008</v>
      </c>
      <c r="J77" s="25">
        <f>SUMIFS(Datos!$R$2:$R$2089,Datos!$B$2:$B$2089,$C$3,Datos!$C$2:$C$2089,"&lt;="&amp;$C$5,Datos!$K$2:$K$2089,$B77,Datos!$K$2:$K$2089,$E$9,Datos!$H$2:$H$2089,$E$7,Datos!$J$2:$J$2089,$E$8)</f>
        <v>5948015.1099999994</v>
      </c>
      <c r="K77" s="25">
        <f>SUMIFS(Configuración!$G$21:$G$1220,Configuración!$B$21:$B$1220,$C$3,Configuración!$C$21:$C$1220,"&lt;="&amp;$C$5,Configuración!$E$21:$E$1220,$B77,Configuración!$E$21:$E$1220,$E$9,Configuración!$F$21:$F$1220,$E$7,Configuración!$D$21:$D$1220,$E$8)</f>
        <v>22011000</v>
      </c>
    </row>
    <row r="78" spans="2:12" ht="15" x14ac:dyDescent="0.2">
      <c r="B78" t="s">
        <v>138</v>
      </c>
      <c r="C78" t="s">
        <v>125</v>
      </c>
      <c r="D78" s="25">
        <f>SUMIFS(Datos!$O$2:$O$2089,Datos!$B$2:$B$2089,$C$3,Datos!$C$2:$C$2089,"&lt;="&amp;$C$5,Datos!$K$2:$K$2089,$B78,Datos!$K$2:$K$2089,$E$9,Datos!$H$2:$H$2089,$E$7,Datos!$J$2:$J$2089,$E$8)</f>
        <v>25829034.550000012</v>
      </c>
      <c r="E78" s="26">
        <f t="shared" si="3"/>
        <v>0.29064212080664065</v>
      </c>
      <c r="F78" s="26">
        <f t="shared" si="4"/>
        <v>0.98168197902018217</v>
      </c>
      <c r="G78" s="25">
        <f t="shared" si="5"/>
        <v>25829034.550078012</v>
      </c>
      <c r="J78" s="25">
        <f>SUMIFS(Datos!$R$2:$R$2089,Datos!$B$2:$B$2089,$C$3,Datos!$C$2:$C$2089,"&lt;="&amp;$C$5,Datos!$K$2:$K$2089,$B78,Datos!$K$2:$K$2089,$E$9,Datos!$H$2:$H$2089,$E$7,Datos!$J$2:$J$2089,$E$8)</f>
        <v>7507005.379999999</v>
      </c>
      <c r="K78" s="25">
        <f>SUMIFS(Configuración!$G$21:$G$1220,Configuración!$B$21:$B$1220,$C$3,Configuración!$C$21:$C$1220,"&lt;="&amp;$C$5,Configuración!$E$21:$E$1220,$B78,Configuración!$E$21:$E$1220,$E$9,Configuración!$F$21:$F$1220,$E$7,Configuración!$D$21:$D$1220,$E$8)</f>
        <v>26311000</v>
      </c>
    </row>
    <row r="79" spans="2:12" ht="15" x14ac:dyDescent="0.2">
      <c r="B79" t="s">
        <v>126</v>
      </c>
      <c r="C79" t="s">
        <v>125</v>
      </c>
      <c r="D79" s="25">
        <f>SUMIFS(Datos!$O$2:$O$2089,Datos!$B$2:$B$2089,$C$3,Datos!$C$2:$C$2089,"&lt;="&amp;$C$5,Datos!$K$2:$K$2089,$B79,Datos!$K$2:$K$2089,$E$9,Datos!$H$2:$H$2089,$E$7,Datos!$J$2:$J$2089,$E$8)</f>
        <v>13912890.899999997</v>
      </c>
      <c r="E79" s="26">
        <f t="shared" si="3"/>
        <v>0.28103456629563595</v>
      </c>
      <c r="F79" s="26">
        <f t="shared" si="4"/>
        <v>0.98792096144287411</v>
      </c>
      <c r="G79" s="25">
        <f t="shared" si="5"/>
        <v>13912890.900078997</v>
      </c>
      <c r="J79" s="25">
        <f>SUMIFS(Datos!$R$2:$R$2089,Datos!$B$2:$B$2089,$C$3,Datos!$C$2:$C$2089,"&lt;="&amp;$C$5,Datos!$K$2:$K$2089,$B79,Datos!$K$2:$K$2089,$E$9,Datos!$H$2:$H$2089,$E$7,Datos!$J$2:$J$2089,$E$8)</f>
        <v>3910003.2599999988</v>
      </c>
      <c r="K79" s="25">
        <f>SUMIFS(Configuración!$G$21:$G$1220,Configuración!$B$21:$B$1220,$C$3,Configuración!$C$21:$C$1220,"&lt;="&amp;$C$5,Configuración!$E$21:$E$1220,$B79,Configuración!$E$21:$E$1220,$E$9,Configuración!$F$21:$F$1220,$E$7,Configuración!$D$21:$D$1220,$E$8)</f>
        <v>14083000</v>
      </c>
    </row>
    <row r="80" spans="2:12" ht="15" x14ac:dyDescent="0.2">
      <c r="B80" t="s">
        <v>84</v>
      </c>
      <c r="C80" t="s">
        <v>70</v>
      </c>
      <c r="D80" s="25">
        <f>SUMIFS(Datos!$O$2:$O$2089,Datos!$B$2:$B$2089,$C$3,Datos!$C$2:$C$2089,"&lt;="&amp;$C$5,Datos!$K$2:$K$2089,$B80,Datos!$K$2:$K$2089,$E$9,Datos!$H$2:$H$2089,$E$7,Datos!$J$2:$J$2089,$E$8)</f>
        <v>17918836.000000004</v>
      </c>
      <c r="E80" s="26">
        <f t="shared" si="3"/>
        <v>0.24456258152036209</v>
      </c>
      <c r="F80" s="26">
        <f t="shared" si="4"/>
        <v>0.81176207302709091</v>
      </c>
      <c r="G80" s="25">
        <f t="shared" si="5"/>
        <v>17918836.000080004</v>
      </c>
      <c r="J80" s="25">
        <f>SUMIFS(Datos!$R$2:$R$2089,Datos!$B$2:$B$2089,$C$3,Datos!$C$2:$C$2089,"&lt;="&amp;$C$5,Datos!$K$2:$K$2089,$B80,Datos!$K$2:$K$2089,$E$9,Datos!$H$2:$H$2089,$E$7,Datos!$J$2:$J$2089,$E$8)</f>
        <v>4382276.79</v>
      </c>
      <c r="K80" s="25">
        <f>SUMIFS(Configuración!$G$21:$G$1220,Configuración!$B$21:$B$1220,$C$3,Configuración!$C$21:$C$1220,"&lt;="&amp;$C$5,Configuración!$E$21:$E$1220,$B80,Configuración!$E$21:$E$1220,$E$9,Configuración!$F$21:$F$1220,$E$7,Configuración!$D$21:$D$1220,$E$8)</f>
        <v>22074000</v>
      </c>
    </row>
    <row r="81" spans="2:11" ht="15" x14ac:dyDescent="0.2">
      <c r="B81" t="s">
        <v>71</v>
      </c>
      <c r="C81" t="s">
        <v>70</v>
      </c>
      <c r="D81" s="25">
        <f>SUMIFS(Datos!$O$2:$O$2089,Datos!$B$2:$B$2089,$C$3,Datos!$C$2:$C$2089,"&lt;="&amp;$C$5,Datos!$K$2:$K$2089,$B81,Datos!$K$2:$K$2089,$E$9,Datos!$H$2:$H$2089,$E$7,Datos!$J$2:$J$2089,$E$8)</f>
        <v>12866158.799999997</v>
      </c>
      <c r="E81" s="26">
        <f t="shared" si="3"/>
        <v>0.23631485645894565</v>
      </c>
      <c r="F81" s="26">
        <f t="shared" si="4"/>
        <v>0.79948790157211191</v>
      </c>
      <c r="G81" s="25">
        <f t="shared" si="5"/>
        <v>12866158.800080998</v>
      </c>
      <c r="J81" s="25">
        <f>SUMIFS(Datos!$R$2:$R$2089,Datos!$B$2:$B$2089,$C$3,Datos!$C$2:$C$2089,"&lt;="&amp;$C$5,Datos!$K$2:$K$2089,$B81,Datos!$K$2:$K$2089,$E$9,Datos!$H$2:$H$2089,$E$7,Datos!$J$2:$J$2089,$E$8)</f>
        <v>3040464.4699999997</v>
      </c>
      <c r="K81" s="25">
        <f>SUMIFS(Configuración!$G$21:$G$1220,Configuración!$B$21:$B$1220,$C$3,Configuración!$C$21:$C$1220,"&lt;="&amp;$C$5,Configuración!$E$21:$E$1220,$B81,Configuración!$E$21:$E$1220,$E$9,Configuración!$F$21:$F$1220,$E$7,Configuración!$D$21:$D$1220,$E$8)</f>
        <v>16093000</v>
      </c>
    </row>
    <row r="82" spans="2:11" x14ac:dyDescent="0.15">
      <c r="B82" s="38" t="s">
        <v>2272</v>
      </c>
    </row>
    <row r="83" spans="2:11" ht="21.75" customHeight="1" x14ac:dyDescent="0.15">
      <c r="B83" s="60" t="s">
        <v>2273</v>
      </c>
      <c r="C83" s="60"/>
      <c r="D83" s="60"/>
      <c r="E83" s="60"/>
      <c r="F83" s="60"/>
      <c r="G83" s="60"/>
      <c r="H83" s="60"/>
      <c r="I83" s="60"/>
      <c r="J83" s="60"/>
      <c r="K83" s="60"/>
    </row>
    <row r="84" spans="2:11" ht="30" customHeight="1" x14ac:dyDescent="0.15">
      <c r="B84" s="35" t="s">
        <v>37</v>
      </c>
      <c r="C84" s="35" t="s">
        <v>2245</v>
      </c>
      <c r="D84" s="35" t="s">
        <v>2274</v>
      </c>
      <c r="E84" s="35" t="s">
        <v>2275</v>
      </c>
      <c r="F84" s="35" t="s">
        <v>2248</v>
      </c>
      <c r="G84" s="35" t="s">
        <v>2276</v>
      </c>
    </row>
    <row r="85" spans="2:11" ht="15" x14ac:dyDescent="0.2">
      <c r="B85" s="36">
        <v>1</v>
      </c>
      <c r="C85" t="str">
        <f t="shared" ref="C85:C96" si="6">INDEX(lst_MesAb,$B85)&amp;"-"&amp;RIGHT($C$3&amp;"",2)</f>
        <v>ene-26</v>
      </c>
      <c r="D85" s="25">
        <f>IF($B85&lt;=$C$5,SUMIFS(Datos!$O$2:$O$2089,Datos!$B$2:$B$2089,$C$3,Datos!$C$2:$C$2089,$B85,Datos!$H$2:$H$2089,$E$7,Datos!$J$2:$J$2089,$E$8,Datos!$K$2:$K$2089,$E$9),0)</f>
        <v>45463782.949999988</v>
      </c>
      <c r="E85" s="25">
        <f t="shared" ref="E85:E96" si="7">IF($B85&lt;=$C$5,0,$C$98*$G85)</f>
        <v>0</v>
      </c>
      <c r="F85" s="25">
        <f>SUMIFS(Configuración!$G$21:$G$1220,Configuración!$B$21:$B$1220,$C$3,Configuración!$C$21:$C$1220,$B85,Configuración!$F$21:$F$1220,$E$7,Configuración!$D$21:$D$1220,$E$8,Configuración!$E$21:$E$1220,$E$9)</f>
        <v>46038000</v>
      </c>
      <c r="G85" s="39">
        <f>IFERROR(SUMIFS(Datos!$O$2:$O$2089,Datos!$B$2:$B$2089,$C$4,Datos!$C$2:$C$2089,$B85,Datos!$H$2:$H$2089,$E$7,Datos!$J$2:$J$2089,$E$8,Datos!$K$2:$K$2089,$E$9)/($C$99/12),1)</f>
        <v>0.78826813462753242</v>
      </c>
    </row>
    <row r="86" spans="2:11" ht="15" x14ac:dyDescent="0.2">
      <c r="B86" s="36">
        <v>2</v>
      </c>
      <c r="C86" t="str">
        <f t="shared" si="6"/>
        <v>feb-26</v>
      </c>
      <c r="D86" s="25">
        <f>IF($B86&lt;=$C$5,SUMIFS(Datos!$O$2:$O$2089,Datos!$B$2:$B$2089,$C$3,Datos!$C$2:$C$2089,$B86,Datos!$H$2:$H$2089,$E$7,Datos!$J$2:$J$2089,$E$8,Datos!$K$2:$K$2089,$E$9),0)</f>
        <v>44785024.029999971</v>
      </c>
      <c r="E86" s="25">
        <f t="shared" si="7"/>
        <v>0</v>
      </c>
      <c r="F86" s="25">
        <f>SUMIFS(Configuración!$G$21:$G$1220,Configuración!$B$21:$B$1220,$C$3,Configuración!$C$21:$C$1220,$B86,Configuración!$F$21:$F$1220,$E$7,Configuración!$D$21:$D$1220,$E$8,Configuración!$E$21:$E$1220,$E$9)</f>
        <v>44451000</v>
      </c>
      <c r="G86" s="39">
        <f>IFERROR(SUMIFS(Datos!$O$2:$O$2089,Datos!$B$2:$B$2089,$C$4,Datos!$C$2:$C$2089,$B86,Datos!$H$2:$H$2089,$E$7,Datos!$J$2:$J$2089,$E$8,Datos!$K$2:$K$2089,$E$9)/($C$99/12),1)</f>
        <v>0.76503019856863064</v>
      </c>
    </row>
    <row r="87" spans="2:11" ht="15" x14ac:dyDescent="0.2">
      <c r="B87" s="36">
        <v>3</v>
      </c>
      <c r="C87" t="str">
        <f t="shared" si="6"/>
        <v>mar-26</v>
      </c>
      <c r="D87" s="25">
        <f>IF($B87&lt;=$C$5,SUMIFS(Datos!$O$2:$O$2089,Datos!$B$2:$B$2089,$C$3,Datos!$C$2:$C$2089,$B87,Datos!$H$2:$H$2089,$E$7,Datos!$J$2:$J$2089,$E$8,Datos!$K$2:$K$2089,$E$9),0)</f>
        <v>51644167.150000021</v>
      </c>
      <c r="E87" s="25">
        <f t="shared" si="7"/>
        <v>0</v>
      </c>
      <c r="F87" s="25">
        <f>SUMIFS(Configuración!$G$21:$G$1220,Configuración!$B$21:$B$1220,$C$3,Configuración!$C$21:$C$1220,$B87,Configuración!$F$21:$F$1220,$E$7,Configuración!$D$21:$D$1220,$E$8,Configuración!$E$21:$E$1220,$E$9)</f>
        <v>53348000</v>
      </c>
      <c r="G87" s="39">
        <f>IFERROR(SUMIFS(Datos!$O$2:$O$2089,Datos!$B$2:$B$2089,$C$4,Datos!$C$2:$C$2089,$B87,Datos!$H$2:$H$2089,$E$7,Datos!$J$2:$J$2089,$E$8,Datos!$K$2:$K$2089,$E$9)/($C$99/12),1)</f>
        <v>0.91401375127595585</v>
      </c>
    </row>
    <row r="88" spans="2:11" ht="15" x14ac:dyDescent="0.2">
      <c r="B88" s="36">
        <v>4</v>
      </c>
      <c r="C88" t="str">
        <f t="shared" si="6"/>
        <v>abr-26</v>
      </c>
      <c r="D88" s="25">
        <f>IF($B88&lt;=$C$5,SUMIFS(Datos!$O$2:$O$2089,Datos!$B$2:$B$2089,$C$3,Datos!$C$2:$C$2089,$B88,Datos!$H$2:$H$2089,$E$7,Datos!$J$2:$J$2089,$E$8,Datos!$K$2:$K$2089,$E$9),0)</f>
        <v>49979880.410000019</v>
      </c>
      <c r="E88" s="25">
        <f t="shared" si="7"/>
        <v>0</v>
      </c>
      <c r="F88" s="25">
        <f>SUMIFS(Configuración!$G$21:$G$1220,Configuración!$B$21:$B$1220,$C$3,Configuración!$C$21:$C$1220,$B88,Configuración!$F$21:$F$1220,$E$7,Configuración!$D$21:$D$1220,$E$8,Configuración!$E$21:$E$1220,$E$9)</f>
        <v>51814000</v>
      </c>
      <c r="G88" s="39">
        <f>IFERROR(SUMIFS(Datos!$O$2:$O$2089,Datos!$B$2:$B$2089,$C$4,Datos!$C$2:$C$2089,$B88,Datos!$H$2:$H$2089,$E$7,Datos!$J$2:$J$2089,$E$8,Datos!$K$2:$K$2089,$E$9)/($C$99/12),1)</f>
        <v>0.90271968168570771</v>
      </c>
    </row>
    <row r="89" spans="2:11" ht="15" x14ac:dyDescent="0.2">
      <c r="B89" s="36">
        <v>5</v>
      </c>
      <c r="C89" t="str">
        <f t="shared" si="6"/>
        <v>may-26</v>
      </c>
      <c r="D89" s="25">
        <f>IF($B89&lt;=$C$5,SUMIFS(Datos!$O$2:$O$2089,Datos!$B$2:$B$2089,$C$3,Datos!$C$2:$C$2089,$B89,Datos!$H$2:$H$2089,$E$7,Datos!$J$2:$J$2089,$E$8,Datos!$K$2:$K$2089,$E$9),0)</f>
        <v>57345670.140000001</v>
      </c>
      <c r="E89" s="25">
        <f t="shared" si="7"/>
        <v>0</v>
      </c>
      <c r="F89" s="25">
        <f>SUMIFS(Configuración!$G$21:$G$1220,Configuración!$B$21:$B$1220,$C$3,Configuración!$C$21:$C$1220,$B89,Configuración!$F$21:$F$1220,$E$7,Configuración!$D$21:$D$1220,$E$8,Configuración!$E$21:$E$1220,$E$9)</f>
        <v>58358000</v>
      </c>
      <c r="G89" s="39">
        <f>IFERROR(SUMIFS(Datos!$O$2:$O$2089,Datos!$B$2:$B$2089,$C$4,Datos!$C$2:$C$2089,$B89,Datos!$H$2:$H$2089,$E$7,Datos!$J$2:$J$2089,$E$8,Datos!$K$2:$K$2089,$E$9)/($C$99/12),1)</f>
        <v>0.9836830153774897</v>
      </c>
    </row>
    <row r="90" spans="2:11" ht="15" x14ac:dyDescent="0.2">
      <c r="B90" s="36">
        <v>6</v>
      </c>
      <c r="C90" t="str">
        <f t="shared" si="6"/>
        <v>jun-26</v>
      </c>
      <c r="D90" s="25">
        <f>IF($B90&lt;=$C$5,SUMIFS(Datos!$O$2:$O$2089,Datos!$B$2:$B$2089,$C$3,Datos!$C$2:$C$2089,$B90,Datos!$H$2:$H$2089,$E$7,Datos!$J$2:$J$2089,$E$8,Datos!$K$2:$K$2089,$E$9),0)</f>
        <v>60519491.879999988</v>
      </c>
      <c r="E90" s="25">
        <f t="shared" si="7"/>
        <v>0</v>
      </c>
      <c r="F90" s="25">
        <f>SUMIFS(Configuración!$G$21:$G$1220,Configuración!$B$21:$B$1220,$C$3,Configuración!$C$21:$C$1220,$B90,Configuración!$F$21:$F$1220,$E$7,Configuración!$D$21:$D$1220,$E$8,Configuración!$E$21:$E$1220,$E$9)</f>
        <v>63088000</v>
      </c>
      <c r="G90" s="39">
        <f>IFERROR(SUMIFS(Datos!$O$2:$O$2089,Datos!$B$2:$B$2089,$C$4,Datos!$C$2:$C$2089,$B90,Datos!$H$2:$H$2089,$E$7,Datos!$J$2:$J$2089,$E$8,Datos!$K$2:$K$2089,$E$9)/($C$99/12),1)</f>
        <v>1.1205796692939511</v>
      </c>
    </row>
    <row r="91" spans="2:11" ht="15" x14ac:dyDescent="0.2">
      <c r="B91" s="36">
        <v>7</v>
      </c>
      <c r="C91" t="str">
        <f t="shared" si="6"/>
        <v>jul-26</v>
      </c>
      <c r="D91" s="25">
        <f>IF($B91&lt;=$C$5,SUMIFS(Datos!$O$2:$O$2089,Datos!$B$2:$B$2089,$C$3,Datos!$C$2:$C$2089,$B91,Datos!$H$2:$H$2089,$E$7,Datos!$J$2:$J$2089,$E$8,Datos!$K$2:$K$2089,$E$9),0)</f>
        <v>0</v>
      </c>
      <c r="E91" s="25">
        <f t="shared" si="7"/>
        <v>60869748.366907485</v>
      </c>
      <c r="F91" s="25">
        <f>SUMIFS(Configuración!$G$21:$G$1220,Configuración!$B$21:$B$1220,$C$3,Configuración!$C$21:$C$1220,$B91,Configuración!$F$21:$F$1220,$E$7,Configuración!$D$21:$D$1220,$E$8,Configuración!$E$21:$E$1220,$E$9)</f>
        <v>63519000</v>
      </c>
      <c r="G91" s="39">
        <f>IFERROR(SUMIFS(Datos!$O$2:$O$2089,Datos!$B$2:$B$2089,$C$4,Datos!$C$2:$C$2089,$B91,Datos!$H$2:$H$2089,$E$7,Datos!$J$2:$J$2089,$E$8,Datos!$K$2:$K$2089,$E$9)/($C$99/12),1)</f>
        <v>1.0879632931480827</v>
      </c>
    </row>
    <row r="92" spans="2:11" ht="15" x14ac:dyDescent="0.2">
      <c r="B92" s="36">
        <v>8</v>
      </c>
      <c r="C92" t="str">
        <f t="shared" si="6"/>
        <v>ago-26</v>
      </c>
      <c r="D92" s="25">
        <f>IF($B92&lt;=$C$5,SUMIFS(Datos!$O$2:$O$2089,Datos!$B$2:$B$2089,$C$3,Datos!$C$2:$C$2089,$B92,Datos!$H$2:$H$2089,$E$7,Datos!$J$2:$J$2089,$E$8,Datos!$K$2:$K$2089,$E$9),0)</f>
        <v>0</v>
      </c>
      <c r="E92" s="25">
        <f t="shared" si="7"/>
        <v>51845463.017027371</v>
      </c>
      <c r="F92" s="25">
        <f>SUMIFS(Configuración!$G$21:$G$1220,Configuración!$B$21:$B$1220,$C$3,Configuración!$C$21:$C$1220,$B92,Configuración!$F$21:$F$1220,$E$7,Configuración!$D$21:$D$1220,$E$8,Configuración!$E$21:$E$1220,$E$9)</f>
        <v>55273000</v>
      </c>
      <c r="G92" s="39">
        <f>IFERROR(SUMIFS(Datos!$O$2:$O$2089,Datos!$B$2:$B$2089,$C$4,Datos!$C$2:$C$2089,$B92,Datos!$H$2:$H$2089,$E$7,Datos!$J$2:$J$2089,$E$8,Datos!$K$2:$K$2089,$E$9)/($C$99/12),1)</f>
        <v>0.9266665657756844</v>
      </c>
    </row>
    <row r="93" spans="2:11" ht="15" x14ac:dyDescent="0.2">
      <c r="B93" s="36">
        <v>9</v>
      </c>
      <c r="C93" t="str">
        <f t="shared" si="6"/>
        <v>sep-26</v>
      </c>
      <c r="D93" s="25">
        <f>IF($B93&lt;=$C$5,SUMIFS(Datos!$O$2:$O$2089,Datos!$B$2:$B$2089,$C$3,Datos!$C$2:$C$2089,$B93,Datos!$H$2:$H$2089,$E$7,Datos!$J$2:$J$2089,$E$8,Datos!$K$2:$K$2089,$E$9),0)</f>
        <v>0</v>
      </c>
      <c r="E93" s="25">
        <f t="shared" si="7"/>
        <v>52755318.696684144</v>
      </c>
      <c r="F93" s="25">
        <f>SUMIFS(Configuración!$G$21:$G$1220,Configuración!$B$21:$B$1220,$C$3,Configuración!$C$21:$C$1220,$B93,Configuración!$F$21:$F$1220,$E$7,Configuración!$D$21:$D$1220,$E$8,Configuración!$E$21:$E$1220,$E$9)</f>
        <v>54916000</v>
      </c>
      <c r="G93" s="39">
        <f>IFERROR(SUMIFS(Datos!$O$2:$O$2089,Datos!$B$2:$B$2089,$C$4,Datos!$C$2:$C$2089,$B93,Datos!$H$2:$H$2089,$E$7,Datos!$J$2:$J$2089,$E$8,Datos!$K$2:$K$2089,$E$9)/($C$99/12),1)</f>
        <v>0.94292898854047169</v>
      </c>
    </row>
    <row r="94" spans="2:11" ht="15" x14ac:dyDescent="0.2">
      <c r="B94" s="36">
        <v>10</v>
      </c>
      <c r="C94" t="str">
        <f t="shared" si="6"/>
        <v>oct-26</v>
      </c>
      <c r="D94" s="25">
        <f>IF($B94&lt;=$C$5,SUMIFS(Datos!$O$2:$O$2089,Datos!$B$2:$B$2089,$C$3,Datos!$C$2:$C$2089,$B94,Datos!$H$2:$H$2089,$E$7,Datos!$J$2:$J$2089,$E$8,Datos!$K$2:$K$2089,$E$9),0)</f>
        <v>0</v>
      </c>
      <c r="E94" s="25">
        <f t="shared" si="7"/>
        <v>55832754.96486856</v>
      </c>
      <c r="F94" s="25">
        <f>SUMIFS(Configuración!$G$21:$G$1220,Configuración!$B$21:$B$1220,$C$3,Configuración!$C$21:$C$1220,$B94,Configuración!$F$21:$F$1220,$E$7,Configuración!$D$21:$D$1220,$E$8,Configuración!$E$21:$E$1220,$E$9)</f>
        <v>59133000</v>
      </c>
      <c r="G94" s="39">
        <f>IFERROR(SUMIFS(Datos!$O$2:$O$2089,Datos!$B$2:$B$2089,$C$4,Datos!$C$2:$C$2089,$B94,Datos!$H$2:$H$2089,$E$7,Datos!$J$2:$J$2089,$E$8,Datos!$K$2:$K$2089,$E$9)/($C$99/12),1)</f>
        <v>0.99793394234125843</v>
      </c>
    </row>
    <row r="95" spans="2:11" ht="15" x14ac:dyDescent="0.2">
      <c r="B95" s="36">
        <v>11</v>
      </c>
      <c r="C95" t="str">
        <f t="shared" si="6"/>
        <v>nov-26</v>
      </c>
      <c r="D95" s="25">
        <f>IF($B95&lt;=$C$5,SUMIFS(Datos!$O$2:$O$2089,Datos!$B$2:$B$2089,$C$3,Datos!$C$2:$C$2089,$B95,Datos!$H$2:$H$2089,$E$7,Datos!$J$2:$J$2089,$E$8,Datos!$K$2:$K$2089,$E$9),0)</f>
        <v>0</v>
      </c>
      <c r="E95" s="25">
        <f t="shared" si="7"/>
        <v>58926730.632561699</v>
      </c>
      <c r="F95" s="25">
        <f>SUMIFS(Configuración!$G$21:$G$1220,Configuración!$B$21:$B$1220,$C$3,Configuración!$C$21:$C$1220,$B95,Configuración!$F$21:$F$1220,$E$7,Configuración!$D$21:$D$1220,$E$8,Configuración!$E$21:$E$1220,$E$9)</f>
        <v>61730000</v>
      </c>
      <c r="G95" s="39">
        <f>IFERROR(SUMIFS(Datos!$O$2:$O$2089,Datos!$B$2:$B$2089,$C$4,Datos!$C$2:$C$2089,$B95,Datos!$H$2:$H$2089,$E$7,Datos!$J$2:$J$2089,$E$8,Datos!$K$2:$K$2089,$E$9)/($C$99/12),1)</f>
        <v>1.0532345152309848</v>
      </c>
    </row>
    <row r="96" spans="2:11" ht="15" x14ac:dyDescent="0.2">
      <c r="B96" s="36">
        <v>12</v>
      </c>
      <c r="C96" t="str">
        <f t="shared" si="6"/>
        <v>dic-26</v>
      </c>
      <c r="D96" s="25">
        <f>IF($B96&lt;=$C$5,SUMIFS(Datos!$O$2:$O$2089,Datos!$B$2:$B$2089,$C$3,Datos!$C$2:$C$2089,$B96,Datos!$H$2:$H$2089,$E$7,Datos!$J$2:$J$2089,$E$8,Datos!$K$2:$K$2089,$E$9),0)</f>
        <v>0</v>
      </c>
      <c r="E96" s="25">
        <f t="shared" si="7"/>
        <v>84872425.91736573</v>
      </c>
      <c r="F96" s="25">
        <f>SUMIFS(Configuración!$G$21:$G$1220,Configuración!$B$21:$B$1220,$C$3,Configuración!$C$21:$C$1220,$B96,Configuración!$F$21:$F$1220,$E$7,Configuración!$D$21:$D$1220,$E$8,Configuración!$E$21:$E$1220,$E$9)</f>
        <v>87930000</v>
      </c>
      <c r="G96" s="39">
        <f>IFERROR(SUMIFS(Datos!$O$2:$O$2089,Datos!$B$2:$B$2089,$C$4,Datos!$C$2:$C$2089,$B96,Datos!$H$2:$H$2089,$E$7,Datos!$J$2:$J$2089,$E$8,Datos!$K$2:$K$2089,$E$9)/($C$99/12),1)</f>
        <v>1.516978244134233</v>
      </c>
    </row>
    <row r="98" spans="2:11" x14ac:dyDescent="0.15">
      <c r="B98" s="27" t="s">
        <v>2277</v>
      </c>
      <c r="C98" s="31">
        <f>IFERROR(SUMIFS(Datos!$O$2:$O$2089,Datos!$B$2:$B$2089,$C$3,Datos!$C$2:$C$2089,"&gt;="&amp;MAX(1,$C$5-2),Datos!$C$2:$C$2089,"&lt;="&amp;$C$5,Datos!$H$2:$H$2089,$E$7,Datos!$J$2:$J$2089,$E$8,Datos!$K$2:$K$2089,$E$9)/MIN(3,$C$5),0)</f>
        <v>55948347.476666659</v>
      </c>
    </row>
    <row r="99" spans="2:11" x14ac:dyDescent="0.15">
      <c r="B99" s="27" t="s">
        <v>2278</v>
      </c>
      <c r="C99" s="31">
        <f>SUMIFS(Datos!$O$2:$O$2089,Datos!$B$2:$B$2089,$C$4,Datos!$C$2:$C$2089,"&gt;0",Datos!$H$2:$H$2089,$E$7,Datos!$J$2:$J$2089,$E$8,Datos!$K$2:$K$2089,$E$9)</f>
        <v>611087330.82000089</v>
      </c>
    </row>
    <row r="102" spans="2:11" ht="21.75" customHeight="1" x14ac:dyDescent="0.15">
      <c r="B102" s="60" t="s">
        <v>2279</v>
      </c>
      <c r="C102" s="60"/>
      <c r="D102" s="60"/>
      <c r="E102" s="60"/>
      <c r="F102" s="60"/>
      <c r="G102" s="60"/>
      <c r="H102" s="60"/>
      <c r="I102" s="60"/>
      <c r="J102" s="60"/>
      <c r="K102" s="60"/>
    </row>
    <row r="104" spans="2:11" x14ac:dyDescent="0.15">
      <c r="B104" s="38" t="s">
        <v>2280</v>
      </c>
      <c r="C104" s="40" t="str">
        <f>IF($C$12=0,"Sin datos para los filtros seleccionados",IF($C$14&gt;=0,"Las ventas crecen","Las ventas caen")&amp;IF($C$19&lt;0,", pero el margen cae"," y el margen acompaña"))</f>
        <v>Las ventas crecen, pero el margen cae</v>
      </c>
    </row>
    <row r="105" spans="2:11" x14ac:dyDescent="0.15">
      <c r="B105" s="38" t="s">
        <v>2281</v>
      </c>
      <c r="C105" s="40" t="str">
        <f>IF($C$12=0,"Sin datos para los filtros seleccionados",$C$113&amp;" impulsa el crecimiento de ventas")</f>
        <v>Tecnología impulsa el crecimiento de ventas</v>
      </c>
    </row>
    <row r="106" spans="2:11" x14ac:dyDescent="0.15">
      <c r="B106" s="38" t="s">
        <v>2282</v>
      </c>
      <c r="C106" s="40" t="str">
        <f>IF($C$12=0,"Sin datos para los filtros seleccionados",IF($C$118&lt;0,$C$117&amp;" es la categoría que más margen pierde","Ninguna categoría pierde margen este año"))</f>
        <v>Tecnología es la categoría que más margen pierde</v>
      </c>
    </row>
    <row r="107" spans="2:11" x14ac:dyDescent="0.15">
      <c r="B107" s="38" t="s">
        <v>2283</v>
      </c>
      <c r="C107" s="40" t="str">
        <f>IF($C$12=0,"Sin datos para los filtros seleccionados",$C$119&amp;" es la región más lejos del objetivo")</f>
        <v>Patagonia es la región más lejos del objetivo</v>
      </c>
    </row>
    <row r="108" spans="2:11" x14ac:dyDescent="0.15">
      <c r="B108" s="38" t="s">
        <v>2284</v>
      </c>
      <c r="C108" s="40" t="str">
        <f>IF($C$12=0,"Sin datos para los filtros seleccionados","El año cerraría cerca del "&amp;ROUND($C$28*100,0)&amp;"% del objetivo")</f>
        <v>El año cerraría cerca del 96% del objetivo</v>
      </c>
    </row>
    <row r="109" spans="2:11" x14ac:dyDescent="0.15">
      <c r="B109" s="38" t="s">
        <v>2285</v>
      </c>
      <c r="C109" s="40" t="str">
        <f>"Período de análisis: enero a "&amp;$C$6&amp;" "&amp;$C$3&amp;"   |   Comparativo contra el mismo período de "&amp;$C$4&amp;"   |   Moneda: pesos ($)"</f>
        <v>Período de análisis: enero a Junio 2026   |   Comparativo contra el mismo período de 2025   |   Moneda: pesos ($)</v>
      </c>
    </row>
    <row r="110" spans="2:11" x14ac:dyDescent="0.15">
      <c r="B110" s="38" t="s">
        <v>2286</v>
      </c>
      <c r="C110" s="40" t="str">
        <f>IF($C$12=0,"⚠ No hay datos para la combinación de filtros seleccionada. Revisá que la sucursal pertenezca a la región elegida.","")</f>
        <v/>
      </c>
    </row>
    <row r="112" spans="2:11" ht="21.75" customHeight="1" x14ac:dyDescent="0.15">
      <c r="B112" s="60" t="s">
        <v>2287</v>
      </c>
      <c r="C112" s="60"/>
      <c r="D112" s="60"/>
      <c r="E112" s="60"/>
      <c r="F112" s="60"/>
      <c r="G112" s="60"/>
      <c r="H112" s="60"/>
      <c r="I112" s="60"/>
      <c r="J112" s="60"/>
      <c r="K112" s="60"/>
    </row>
    <row r="113" spans="2:3" x14ac:dyDescent="0.15">
      <c r="B113" s="27" t="s">
        <v>2288</v>
      </c>
      <c r="C113" s="29" t="str">
        <f>INDEX($B$53:$B$57,MATCH(MAX($I$53:$I$57),$I$53:$I$57,0))</f>
        <v>Tecnología</v>
      </c>
    </row>
    <row r="114" spans="2:3" x14ac:dyDescent="0.15">
      <c r="B114" s="27" t="s">
        <v>2289</v>
      </c>
      <c r="C114" s="41">
        <f>MAX($I$53:$I$57)</f>
        <v>0.69414524244494813</v>
      </c>
    </row>
    <row r="115" spans="2:3" x14ac:dyDescent="0.15">
      <c r="B115" s="27" t="s">
        <v>2290</v>
      </c>
      <c r="C115" s="29" t="str">
        <f>INDEX($B$53:$B$57,MATCH(MIN($L$53:$L$57),$L$53:$L$57,0))</f>
        <v>Hogar</v>
      </c>
    </row>
    <row r="116" spans="2:3" x14ac:dyDescent="0.15">
      <c r="B116" s="27" t="s">
        <v>2291</v>
      </c>
      <c r="C116" s="41">
        <f>IF(MIN($L$53:$L$57)&gt;90,0,MIN($L$53:$L$57))</f>
        <v>-5.2322381941393825E-2</v>
      </c>
    </row>
    <row r="117" spans="2:3" x14ac:dyDescent="0.15">
      <c r="B117" s="27" t="s">
        <v>2292</v>
      </c>
      <c r="C117" s="29" t="str">
        <f>INDEX($B$53:$B$57,MATCH(MIN($M$53:$M$57),$M$53:$M$57,0))</f>
        <v>Tecnología</v>
      </c>
    </row>
    <row r="118" spans="2:3" x14ac:dyDescent="0.15">
      <c r="B118" s="27" t="s">
        <v>2293</v>
      </c>
      <c r="C118" s="42">
        <f>IF(MIN($M$53:$M$57)&gt;90,0,MIN($M$53:$M$57))</f>
        <v>-7.1688546272364952</v>
      </c>
    </row>
    <row r="119" spans="2:3" x14ac:dyDescent="0.15">
      <c r="B119" s="27" t="s">
        <v>2294</v>
      </c>
      <c r="C119" s="29" t="str">
        <f>INDEX($B$63:$B$67,MATCH(MIN($L$63:$L$67),$L$63:$L$67,0))</f>
        <v>Patagonia</v>
      </c>
    </row>
    <row r="120" spans="2:3" x14ac:dyDescent="0.15">
      <c r="B120" s="27" t="s">
        <v>2295</v>
      </c>
      <c r="C120" s="41">
        <f>IF(MIN($L$63:$L$67)&gt;90,0,MIN($L$63:$L$67))</f>
        <v>0.80658670579296277</v>
      </c>
    </row>
    <row r="121" spans="2:3" x14ac:dyDescent="0.15">
      <c r="B121" s="27" t="s">
        <v>2296</v>
      </c>
      <c r="C121" s="43">
        <f>COUNTIFS(Datos!$B$2:$B$2089,$C$4,Datos!$C$2:$C$2089,"&lt;="&amp;$C$5,Datos!$H$2:$H$2089,$E$7,Datos!$J$2:$J$2089,$E$8,Datos!$K$2:$K$2089,$E$9)</f>
        <v>701</v>
      </c>
    </row>
    <row r="122" spans="2:3" x14ac:dyDescent="0.15">
      <c r="B122" s="27" t="s">
        <v>2297</v>
      </c>
      <c r="C122" s="44">
        <f>IFERROR($C$13/$C$121,0)</f>
        <v>397678.55255349516</v>
      </c>
    </row>
    <row r="123" spans="2:3" x14ac:dyDescent="0.15">
      <c r="B123" s="27" t="s">
        <v>2298</v>
      </c>
      <c r="C123" s="41">
        <f>IFERROR($C$25/$C$122-1,0)</f>
        <v>0.11425647843984832</v>
      </c>
    </row>
  </sheetData>
  <mergeCells count="9">
    <mergeCell ref="B70:K70"/>
    <mergeCell ref="B83:K83"/>
    <mergeCell ref="B102:K102"/>
    <mergeCell ref="B112:K112"/>
    <mergeCell ref="B2:K2"/>
    <mergeCell ref="B11:K11"/>
    <mergeCell ref="B30:K30"/>
    <mergeCell ref="B51:K51"/>
    <mergeCell ref="B61:K6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08E30"/>
    <pageSetUpPr fitToPage="1"/>
  </sheetPr>
  <dimension ref="B2:G36"/>
  <sheetViews>
    <sheetView showGridLines="0" zoomScaleNormal="100" workbookViewId="0">
      <selection activeCell="B4" sqref="B4"/>
    </sheetView>
  </sheetViews>
  <sheetFormatPr baseColWidth="10" defaultColWidth="8.6640625" defaultRowHeight="13" x14ac:dyDescent="0.15"/>
  <cols>
    <col min="1" max="1" width="2.1640625" customWidth="1"/>
    <col min="2" max="2" width="4" customWidth="1"/>
    <col min="3" max="3" width="30" customWidth="1"/>
    <col min="4" max="4" width="34" customWidth="1"/>
    <col min="5" max="5" width="32" customWidth="1"/>
    <col min="6" max="6" width="28" customWidth="1"/>
    <col min="7" max="7" width="74.83203125" customWidth="1"/>
  </cols>
  <sheetData>
    <row r="2" spans="2:7" ht="27.75" customHeight="1" x14ac:dyDescent="0.15">
      <c r="B2" s="61" t="s">
        <v>2299</v>
      </c>
      <c r="C2" s="61"/>
      <c r="D2" s="61"/>
      <c r="E2" s="61"/>
      <c r="F2" s="61"/>
      <c r="G2" s="61"/>
    </row>
    <row r="3" spans="2:7" ht="15.75" customHeight="1" x14ac:dyDescent="0.15">
      <c r="B3" s="62" t="s">
        <v>2405</v>
      </c>
      <c r="C3" s="62"/>
      <c r="D3" s="62"/>
      <c r="E3" s="62"/>
      <c r="F3" s="62"/>
      <c r="G3" s="62"/>
    </row>
    <row r="5" spans="2:7" ht="19.5" customHeight="1" x14ac:dyDescent="0.15">
      <c r="B5" s="63" t="s">
        <v>2300</v>
      </c>
      <c r="C5" s="63"/>
      <c r="D5" s="63"/>
      <c r="E5" s="63"/>
      <c r="F5" s="63"/>
      <c r="G5" s="63"/>
    </row>
    <row r="6" spans="2:7" ht="15" customHeight="1" x14ac:dyDescent="0.15">
      <c r="B6" s="62" t="s">
        <v>2301</v>
      </c>
      <c r="C6" s="62"/>
      <c r="D6" s="62"/>
      <c r="E6" s="62"/>
      <c r="F6" s="62"/>
      <c r="G6" s="62"/>
    </row>
    <row r="7" spans="2:7" ht="21.75" customHeight="1" x14ac:dyDescent="0.15">
      <c r="B7" s="45" t="s">
        <v>25</v>
      </c>
      <c r="C7" s="64" t="s">
        <v>2302</v>
      </c>
      <c r="D7" s="64"/>
      <c r="E7" s="64"/>
      <c r="F7" s="64" t="s">
        <v>2303</v>
      </c>
      <c r="G7" s="64"/>
    </row>
    <row r="8" spans="2:7" ht="43.5" customHeight="1" x14ac:dyDescent="0.15">
      <c r="B8" s="46">
        <v>1</v>
      </c>
      <c r="C8" s="65" t="s">
        <v>2304</v>
      </c>
      <c r="D8" s="65"/>
      <c r="E8" s="65"/>
      <c r="F8" s="66" t="s">
        <v>2305</v>
      </c>
      <c r="G8" s="66"/>
    </row>
    <row r="9" spans="2:7" ht="43.5" customHeight="1" x14ac:dyDescent="0.15">
      <c r="B9" s="48">
        <v>2</v>
      </c>
      <c r="C9" s="67" t="s">
        <v>2306</v>
      </c>
      <c r="D9" s="67"/>
      <c r="E9" s="67"/>
      <c r="F9" s="68" t="s">
        <v>2307</v>
      </c>
      <c r="G9" s="68"/>
    </row>
    <row r="10" spans="2:7" ht="43.5" customHeight="1" x14ac:dyDescent="0.15">
      <c r="B10" s="46">
        <v>3</v>
      </c>
      <c r="C10" s="65" t="s">
        <v>2308</v>
      </c>
      <c r="D10" s="65"/>
      <c r="E10" s="65"/>
      <c r="F10" s="66" t="s">
        <v>2309</v>
      </c>
      <c r="G10" s="66"/>
    </row>
    <row r="13" spans="2:7" ht="19.5" customHeight="1" x14ac:dyDescent="0.15">
      <c r="B13" s="63" t="s">
        <v>2310</v>
      </c>
      <c r="C13" s="63"/>
      <c r="D13" s="63"/>
      <c r="E13" s="63"/>
      <c r="F13" s="63"/>
      <c r="G13" s="63"/>
    </row>
    <row r="14" spans="2:7" ht="15" customHeight="1" x14ac:dyDescent="0.15">
      <c r="B14" s="62" t="s">
        <v>2311</v>
      </c>
      <c r="C14" s="62"/>
      <c r="D14" s="62"/>
      <c r="E14" s="62"/>
      <c r="F14" s="62"/>
      <c r="G14" s="62"/>
    </row>
    <row r="15" spans="2:7" ht="21.75" customHeight="1" x14ac:dyDescent="0.15">
      <c r="B15" s="45" t="s">
        <v>25</v>
      </c>
      <c r="C15" s="45" t="s">
        <v>2312</v>
      </c>
      <c r="D15" s="45" t="s">
        <v>2313</v>
      </c>
      <c r="E15" s="45" t="s">
        <v>2314</v>
      </c>
      <c r="F15" s="45" t="s">
        <v>2315</v>
      </c>
      <c r="G15" s="45" t="s">
        <v>2316</v>
      </c>
    </row>
    <row r="16" spans="2:7" ht="73.5" customHeight="1" x14ac:dyDescent="0.15">
      <c r="B16" s="46">
        <v>1</v>
      </c>
      <c r="C16" s="50" t="s">
        <v>2317</v>
      </c>
      <c r="D16" s="47" t="s">
        <v>2318</v>
      </c>
      <c r="E16" s="47" t="s">
        <v>2319</v>
      </c>
      <c r="F16" s="47" t="s">
        <v>2320</v>
      </c>
      <c r="G16" s="47" t="s">
        <v>2321</v>
      </c>
    </row>
    <row r="17" spans="2:7" ht="73.5" customHeight="1" x14ac:dyDescent="0.15">
      <c r="B17" s="48">
        <v>2</v>
      </c>
      <c r="C17" s="51" t="s">
        <v>2322</v>
      </c>
      <c r="D17" s="49" t="s">
        <v>2323</v>
      </c>
      <c r="E17" s="49" t="s">
        <v>2324</v>
      </c>
      <c r="F17" s="49" t="s">
        <v>2325</v>
      </c>
      <c r="G17" s="49" t="s">
        <v>2326</v>
      </c>
    </row>
    <row r="18" spans="2:7" ht="73.5" customHeight="1" x14ac:dyDescent="0.15">
      <c r="B18" s="46">
        <v>3</v>
      </c>
      <c r="C18" s="50" t="s">
        <v>2327</v>
      </c>
      <c r="D18" s="47" t="s">
        <v>2328</v>
      </c>
      <c r="E18" s="47" t="s">
        <v>2329</v>
      </c>
      <c r="F18" s="47" t="s">
        <v>2330</v>
      </c>
      <c r="G18" s="47" t="s">
        <v>2331</v>
      </c>
    </row>
    <row r="21" spans="2:7" ht="19.5" customHeight="1" x14ac:dyDescent="0.15">
      <c r="B21" s="63" t="s">
        <v>2332</v>
      </c>
      <c r="C21" s="63"/>
      <c r="D21" s="63"/>
      <c r="E21" s="63"/>
      <c r="F21" s="63"/>
      <c r="G21" s="63"/>
    </row>
    <row r="23" spans="2:7" ht="25.5" customHeight="1" x14ac:dyDescent="0.15">
      <c r="B23" s="69" t="s">
        <v>2333</v>
      </c>
      <c r="C23" s="69"/>
      <c r="D23" s="69"/>
      <c r="E23" s="69"/>
      <c r="F23" s="69"/>
      <c r="G23" s="69"/>
    </row>
    <row r="24" spans="2:7" ht="25.5" customHeight="1" x14ac:dyDescent="0.15">
      <c r="B24" s="69" t="s">
        <v>2334</v>
      </c>
      <c r="C24" s="69"/>
      <c r="D24" s="69"/>
      <c r="E24" s="69"/>
      <c r="F24" s="69"/>
      <c r="G24" s="69"/>
    </row>
    <row r="25" spans="2:7" ht="25.5" customHeight="1" x14ac:dyDescent="0.15">
      <c r="B25" s="69" t="s">
        <v>2335</v>
      </c>
      <c r="C25" s="69"/>
      <c r="D25" s="69"/>
      <c r="E25" s="69"/>
      <c r="F25" s="69"/>
      <c r="G25" s="69"/>
    </row>
    <row r="26" spans="2:7" ht="25.5" customHeight="1" x14ac:dyDescent="0.15">
      <c r="B26" s="69" t="s">
        <v>2336</v>
      </c>
      <c r="C26" s="69"/>
      <c r="D26" s="69"/>
      <c r="E26" s="69"/>
      <c r="F26" s="69"/>
      <c r="G26" s="69"/>
    </row>
    <row r="27" spans="2:7" ht="25.5" customHeight="1" x14ac:dyDescent="0.15">
      <c r="B27" s="69" t="s">
        <v>2337</v>
      </c>
      <c r="C27" s="69"/>
      <c r="D27" s="69"/>
      <c r="E27" s="69"/>
      <c r="F27" s="69"/>
      <c r="G27" s="69"/>
    </row>
    <row r="29" spans="2:7" ht="19.5" customHeight="1" x14ac:dyDescent="0.15">
      <c r="B29" s="63" t="s">
        <v>2338</v>
      </c>
      <c r="C29" s="63"/>
      <c r="D29" s="63"/>
      <c r="E29" s="63"/>
      <c r="F29" s="63"/>
      <c r="G29" s="63"/>
    </row>
    <row r="31" spans="2:7" ht="25.5" customHeight="1" x14ac:dyDescent="0.15">
      <c r="B31" s="69" t="s">
        <v>2339</v>
      </c>
      <c r="C31" s="69"/>
      <c r="D31" s="69"/>
      <c r="E31" s="69"/>
      <c r="F31" s="69"/>
      <c r="G31" s="69"/>
    </row>
    <row r="32" spans="2:7" ht="25.5" customHeight="1" x14ac:dyDescent="0.15">
      <c r="B32" s="69" t="s">
        <v>2340</v>
      </c>
      <c r="C32" s="69"/>
      <c r="D32" s="69"/>
      <c r="E32" s="69"/>
      <c r="F32" s="69"/>
      <c r="G32" s="69"/>
    </row>
    <row r="33" spans="2:7" ht="25.5" customHeight="1" x14ac:dyDescent="0.15">
      <c r="B33" s="69" t="s">
        <v>2341</v>
      </c>
      <c r="C33" s="69"/>
      <c r="D33" s="69"/>
      <c r="E33" s="69"/>
      <c r="F33" s="69"/>
      <c r="G33" s="69"/>
    </row>
    <row r="34" spans="2:7" ht="25.5" customHeight="1" x14ac:dyDescent="0.15">
      <c r="B34" s="69" t="s">
        <v>2342</v>
      </c>
      <c r="C34" s="69"/>
      <c r="D34" s="69"/>
      <c r="E34" s="69"/>
      <c r="F34" s="69"/>
      <c r="G34" s="69"/>
    </row>
    <row r="35" spans="2:7" ht="25.5" customHeight="1" x14ac:dyDescent="0.15">
      <c r="B35" s="69" t="s">
        <v>2343</v>
      </c>
      <c r="C35" s="69"/>
      <c r="D35" s="69"/>
      <c r="E35" s="69"/>
      <c r="F35" s="69"/>
      <c r="G35" s="69"/>
    </row>
    <row r="36" spans="2:7" ht="25.5" customHeight="1" x14ac:dyDescent="0.15">
      <c r="B36" s="69" t="s">
        <v>2344</v>
      </c>
      <c r="C36" s="69"/>
      <c r="D36" s="69"/>
      <c r="E36" s="69"/>
      <c r="F36" s="69"/>
      <c r="G36" s="69"/>
    </row>
  </sheetData>
  <mergeCells count="27">
    <mergeCell ref="B32:G32"/>
    <mergeCell ref="B33:G33"/>
    <mergeCell ref="B34:G34"/>
    <mergeCell ref="B35:G35"/>
    <mergeCell ref="B36:G36"/>
    <mergeCell ref="B25:G25"/>
    <mergeCell ref="B26:G26"/>
    <mergeCell ref="B27:G27"/>
    <mergeCell ref="B29:G29"/>
    <mergeCell ref="B31:G31"/>
    <mergeCell ref="B13:G13"/>
    <mergeCell ref="B14:G14"/>
    <mergeCell ref="B21:G21"/>
    <mergeCell ref="B23:G23"/>
    <mergeCell ref="B24:G24"/>
    <mergeCell ref="C8:E8"/>
    <mergeCell ref="F8:G8"/>
    <mergeCell ref="C9:E9"/>
    <mergeCell ref="F9:G9"/>
    <mergeCell ref="C10:E10"/>
    <mergeCell ref="F10:G10"/>
    <mergeCell ref="B2:G2"/>
    <mergeCell ref="B3:G3"/>
    <mergeCell ref="B5:G5"/>
    <mergeCell ref="B6:G6"/>
    <mergeCell ref="C7:E7"/>
    <mergeCell ref="F7:G7"/>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7280"/>
  </sheetPr>
  <dimension ref="B2:P1220"/>
  <sheetViews>
    <sheetView showGridLines="0" zoomScaleNormal="100" workbookViewId="0">
      <pane ySplit="20" topLeftCell="A21" activePane="bottomLeft" state="frozen"/>
      <selection pane="bottomLeft"/>
    </sheetView>
  </sheetViews>
  <sheetFormatPr baseColWidth="10" defaultColWidth="8.6640625" defaultRowHeight="13" x14ac:dyDescent="0.15"/>
  <cols>
    <col min="1" max="1" width="2" customWidth="1"/>
    <col min="2" max="2" width="30" customWidth="1"/>
    <col min="3" max="3" width="26" customWidth="1"/>
    <col min="4" max="4" width="24" customWidth="1"/>
    <col min="5" max="5" width="20" customWidth="1"/>
    <col min="6" max="6" width="14" customWidth="1"/>
    <col min="7" max="7" width="21" customWidth="1"/>
    <col min="8" max="16" width="20" customWidth="1"/>
  </cols>
  <sheetData>
    <row r="2" spans="2:16" ht="25.5" customHeight="1" x14ac:dyDescent="0.15">
      <c r="B2" s="61" t="s">
        <v>2345</v>
      </c>
      <c r="C2" s="61"/>
      <c r="D2" s="61"/>
      <c r="E2" s="61"/>
      <c r="F2" s="61"/>
      <c r="G2" s="61"/>
      <c r="H2" s="61"/>
      <c r="I2" s="61"/>
      <c r="J2" s="61"/>
      <c r="K2" s="61"/>
      <c r="L2" s="61"/>
      <c r="M2" s="61"/>
      <c r="N2" s="61"/>
    </row>
    <row r="4" spans="2:16" x14ac:dyDescent="0.15">
      <c r="B4" s="52" t="s">
        <v>2346</v>
      </c>
      <c r="H4" s="52" t="s">
        <v>2347</v>
      </c>
    </row>
    <row r="5" spans="2:16" ht="27.75" customHeight="1" x14ac:dyDescent="0.15">
      <c r="B5" s="53" t="s">
        <v>2348</v>
      </c>
      <c r="C5" s="70" t="s">
        <v>2349</v>
      </c>
      <c r="D5" s="70"/>
      <c r="E5" s="70"/>
      <c r="F5" s="70"/>
      <c r="H5" s="54" t="s">
        <v>37</v>
      </c>
      <c r="I5" s="54" t="s">
        <v>2350</v>
      </c>
      <c r="J5" s="54" t="s">
        <v>2351</v>
      </c>
      <c r="K5" s="54" t="s">
        <v>2222</v>
      </c>
      <c r="L5" s="54" t="s">
        <v>2352</v>
      </c>
      <c r="M5" s="54" t="s">
        <v>2224</v>
      </c>
      <c r="N5" s="54" t="s">
        <v>2353</v>
      </c>
      <c r="O5" s="54" t="s">
        <v>2225</v>
      </c>
      <c r="P5" s="54" t="s">
        <v>2354</v>
      </c>
    </row>
    <row r="6" spans="2:16" ht="25.5" customHeight="1" x14ac:dyDescent="0.15">
      <c r="B6" s="53" t="s">
        <v>2355</v>
      </c>
      <c r="C6" s="70" t="s">
        <v>2356</v>
      </c>
      <c r="D6" s="70"/>
      <c r="E6" s="70"/>
      <c r="F6" s="70"/>
      <c r="H6" t="s">
        <v>2357</v>
      </c>
      <c r="I6" t="s">
        <v>2358</v>
      </c>
      <c r="J6" t="s">
        <v>55</v>
      </c>
      <c r="K6" t="s">
        <v>5</v>
      </c>
      <c r="L6" t="s">
        <v>64</v>
      </c>
      <c r="M6" t="s">
        <v>5</v>
      </c>
      <c r="N6" t="s">
        <v>65</v>
      </c>
      <c r="O6" t="s">
        <v>5</v>
      </c>
      <c r="P6" t="s">
        <v>64</v>
      </c>
    </row>
    <row r="7" spans="2:16" ht="25.5" customHeight="1" x14ac:dyDescent="0.15">
      <c r="B7" s="53" t="s">
        <v>2359</v>
      </c>
      <c r="C7" s="70" t="s">
        <v>2360</v>
      </c>
      <c r="D7" s="70"/>
      <c r="E7" s="70"/>
      <c r="F7" s="70"/>
      <c r="H7" t="s">
        <v>2361</v>
      </c>
      <c r="I7" t="s">
        <v>2362</v>
      </c>
      <c r="J7" t="s">
        <v>62</v>
      </c>
      <c r="K7" t="s">
        <v>55</v>
      </c>
      <c r="L7" t="s">
        <v>77</v>
      </c>
      <c r="M7" t="s">
        <v>64</v>
      </c>
      <c r="N7" t="s">
        <v>96</v>
      </c>
      <c r="O7" t="s">
        <v>65</v>
      </c>
      <c r="P7" t="s">
        <v>64</v>
      </c>
    </row>
    <row r="8" spans="2:16" ht="25.5" customHeight="1" x14ac:dyDescent="0.15">
      <c r="B8" s="53" t="s">
        <v>2363</v>
      </c>
      <c r="C8" s="70" t="s">
        <v>2364</v>
      </c>
      <c r="D8" s="70"/>
      <c r="E8" s="70"/>
      <c r="F8" s="70"/>
      <c r="H8" t="s">
        <v>2365</v>
      </c>
      <c r="I8" t="s">
        <v>2366</v>
      </c>
      <c r="J8" t="s">
        <v>75</v>
      </c>
      <c r="K8" t="s">
        <v>62</v>
      </c>
      <c r="L8" t="s">
        <v>57</v>
      </c>
      <c r="M8" t="s">
        <v>77</v>
      </c>
      <c r="N8" t="s">
        <v>107</v>
      </c>
      <c r="O8" t="s">
        <v>96</v>
      </c>
      <c r="P8" t="s">
        <v>77</v>
      </c>
    </row>
    <row r="9" spans="2:16" ht="25.5" customHeight="1" x14ac:dyDescent="0.15">
      <c r="B9" s="53" t="s">
        <v>2367</v>
      </c>
      <c r="C9" s="70" t="s">
        <v>2368</v>
      </c>
      <c r="D9" s="70"/>
      <c r="E9" s="70"/>
      <c r="F9" s="70"/>
      <c r="H9" t="s">
        <v>2369</v>
      </c>
      <c r="I9" t="s">
        <v>2370</v>
      </c>
      <c r="J9" t="s">
        <v>88</v>
      </c>
      <c r="K9" t="s">
        <v>75</v>
      </c>
      <c r="L9" t="s">
        <v>125</v>
      </c>
      <c r="M9" t="s">
        <v>57</v>
      </c>
      <c r="N9" t="s">
        <v>78</v>
      </c>
      <c r="O9" t="s">
        <v>107</v>
      </c>
      <c r="P9" t="s">
        <v>77</v>
      </c>
    </row>
    <row r="10" spans="2:16" ht="25.5" customHeight="1" x14ac:dyDescent="0.15">
      <c r="B10" s="53" t="s">
        <v>2371</v>
      </c>
      <c r="C10" s="70" t="s">
        <v>2372</v>
      </c>
      <c r="D10" s="70"/>
      <c r="E10" s="70"/>
      <c r="F10" s="70"/>
      <c r="H10" t="s">
        <v>2373</v>
      </c>
      <c r="I10" t="s">
        <v>2374</v>
      </c>
      <c r="J10" t="s">
        <v>93</v>
      </c>
      <c r="K10" t="s">
        <v>88</v>
      </c>
      <c r="L10" t="s">
        <v>70</v>
      </c>
      <c r="M10" t="s">
        <v>125</v>
      </c>
      <c r="N10" t="s">
        <v>81</v>
      </c>
      <c r="O10" t="s">
        <v>78</v>
      </c>
      <c r="P10" t="s">
        <v>57</v>
      </c>
    </row>
    <row r="11" spans="2:16" ht="25.5" customHeight="1" x14ac:dyDescent="0.15">
      <c r="B11" s="53" t="s">
        <v>2375</v>
      </c>
      <c r="C11" s="70" t="s">
        <v>2376</v>
      </c>
      <c r="D11" s="70"/>
      <c r="E11" s="70"/>
      <c r="F11" s="70"/>
      <c r="H11" t="s">
        <v>2377</v>
      </c>
      <c r="I11" t="s">
        <v>2378</v>
      </c>
      <c r="K11" t="s">
        <v>93</v>
      </c>
      <c r="M11" t="s">
        <v>70</v>
      </c>
      <c r="N11" t="s">
        <v>58</v>
      </c>
      <c r="O11" t="s">
        <v>81</v>
      </c>
      <c r="P11" t="s">
        <v>57</v>
      </c>
    </row>
    <row r="12" spans="2:16" ht="25.5" customHeight="1" x14ac:dyDescent="0.15">
      <c r="B12" s="53" t="s">
        <v>2379</v>
      </c>
      <c r="C12" s="70" t="s">
        <v>2380</v>
      </c>
      <c r="D12" s="70"/>
      <c r="E12" s="70"/>
      <c r="F12" s="70"/>
      <c r="H12" t="s">
        <v>2381</v>
      </c>
      <c r="I12" t="s">
        <v>2382</v>
      </c>
      <c r="N12" t="s">
        <v>138</v>
      </c>
      <c r="O12" t="s">
        <v>58</v>
      </c>
      <c r="P12" t="s">
        <v>125</v>
      </c>
    </row>
    <row r="13" spans="2:16" ht="25.5" customHeight="1" x14ac:dyDescent="0.15">
      <c r="B13" s="53" t="s">
        <v>2383</v>
      </c>
      <c r="C13" s="70" t="s">
        <v>2384</v>
      </c>
      <c r="D13" s="70"/>
      <c r="E13" s="70"/>
      <c r="F13" s="70"/>
      <c r="H13" t="s">
        <v>2385</v>
      </c>
      <c r="I13" t="s">
        <v>2386</v>
      </c>
      <c r="N13" t="s">
        <v>126</v>
      </c>
      <c r="O13" t="s">
        <v>138</v>
      </c>
      <c r="P13" t="s">
        <v>125</v>
      </c>
    </row>
    <row r="14" spans="2:16" ht="25.5" customHeight="1" x14ac:dyDescent="0.15">
      <c r="B14" s="53" t="s">
        <v>2387</v>
      </c>
      <c r="C14" s="70" t="s">
        <v>2388</v>
      </c>
      <c r="D14" s="70"/>
      <c r="E14" s="70"/>
      <c r="F14" s="70"/>
      <c r="H14" t="s">
        <v>2389</v>
      </c>
      <c r="I14" t="s">
        <v>2390</v>
      </c>
      <c r="N14" t="s">
        <v>84</v>
      </c>
      <c r="O14" t="s">
        <v>126</v>
      </c>
      <c r="P14" t="s">
        <v>70</v>
      </c>
    </row>
    <row r="15" spans="2:16" ht="25.5" customHeight="1" x14ac:dyDescent="0.15">
      <c r="B15" s="53" t="s">
        <v>2391</v>
      </c>
      <c r="C15" s="70" t="s">
        <v>2392</v>
      </c>
      <c r="D15" s="70"/>
      <c r="E15" s="70"/>
      <c r="F15" s="70"/>
      <c r="H15" t="s">
        <v>2393</v>
      </c>
      <c r="I15" t="s">
        <v>2394</v>
      </c>
      <c r="N15" t="s">
        <v>71</v>
      </c>
      <c r="O15" t="s">
        <v>84</v>
      </c>
      <c r="P15" t="s">
        <v>70</v>
      </c>
    </row>
    <row r="16" spans="2:16" ht="25.5" customHeight="1" x14ac:dyDescent="0.15">
      <c r="B16" s="53" t="s">
        <v>2395</v>
      </c>
      <c r="C16" s="70" t="s">
        <v>2396</v>
      </c>
      <c r="D16" s="70"/>
      <c r="E16" s="70"/>
      <c r="F16" s="70"/>
      <c r="H16" t="s">
        <v>2397</v>
      </c>
      <c r="I16" t="s">
        <v>2398</v>
      </c>
      <c r="O16" t="s">
        <v>71</v>
      </c>
    </row>
    <row r="17" spans="2:9" x14ac:dyDescent="0.15">
      <c r="H17" t="s">
        <v>2399</v>
      </c>
      <c r="I17" t="s">
        <v>2400</v>
      </c>
    </row>
    <row r="18" spans="2:9" ht="21.75" customHeight="1" x14ac:dyDescent="0.15">
      <c r="B18" s="71" t="s">
        <v>2401</v>
      </c>
      <c r="C18" s="71"/>
      <c r="D18" s="71"/>
      <c r="E18" s="71"/>
      <c r="F18" s="71"/>
      <c r="G18" s="71"/>
    </row>
    <row r="19" spans="2:9" x14ac:dyDescent="0.15">
      <c r="B19" s="38" t="s">
        <v>2402</v>
      </c>
    </row>
    <row r="20" spans="2:9" x14ac:dyDescent="0.15">
      <c r="B20" s="55" t="s">
        <v>36</v>
      </c>
      <c r="C20" s="55" t="s">
        <v>37</v>
      </c>
      <c r="D20" s="55" t="s">
        <v>44</v>
      </c>
      <c r="E20" s="55" t="s">
        <v>26</v>
      </c>
      <c r="F20" s="55" t="s">
        <v>42</v>
      </c>
      <c r="G20" s="55" t="s">
        <v>2403</v>
      </c>
    </row>
    <row r="21" spans="2:9" x14ac:dyDescent="0.15">
      <c r="B21">
        <v>2025</v>
      </c>
      <c r="C21">
        <v>1</v>
      </c>
      <c r="D21" t="s">
        <v>64</v>
      </c>
      <c r="E21" t="s">
        <v>65</v>
      </c>
      <c r="F21" t="s">
        <v>55</v>
      </c>
      <c r="G21" s="56">
        <v>2336000</v>
      </c>
    </row>
    <row r="22" spans="2:9" x14ac:dyDescent="0.15">
      <c r="B22">
        <v>2025</v>
      </c>
      <c r="C22">
        <v>1</v>
      </c>
      <c r="D22" t="s">
        <v>64</v>
      </c>
      <c r="E22" t="s">
        <v>65</v>
      </c>
      <c r="F22" t="s">
        <v>62</v>
      </c>
      <c r="G22" s="56">
        <v>1807000</v>
      </c>
    </row>
    <row r="23" spans="2:9" x14ac:dyDescent="0.15">
      <c r="B23">
        <v>2025</v>
      </c>
      <c r="C23">
        <v>1</v>
      </c>
      <c r="D23" t="s">
        <v>64</v>
      </c>
      <c r="E23" t="s">
        <v>65</v>
      </c>
      <c r="F23" t="s">
        <v>75</v>
      </c>
      <c r="G23" s="56">
        <v>1646000</v>
      </c>
    </row>
    <row r="24" spans="2:9" x14ac:dyDescent="0.15">
      <c r="B24">
        <v>2025</v>
      </c>
      <c r="C24">
        <v>1</v>
      </c>
      <c r="D24" t="s">
        <v>64</v>
      </c>
      <c r="E24" t="s">
        <v>65</v>
      </c>
      <c r="F24" t="s">
        <v>88</v>
      </c>
      <c r="G24" s="56">
        <v>1227000</v>
      </c>
    </row>
    <row r="25" spans="2:9" x14ac:dyDescent="0.15">
      <c r="B25">
        <v>2025</v>
      </c>
      <c r="C25">
        <v>1</v>
      </c>
      <c r="D25" t="s">
        <v>64</v>
      </c>
      <c r="E25" t="s">
        <v>65</v>
      </c>
      <c r="F25" t="s">
        <v>93</v>
      </c>
      <c r="G25" s="56">
        <v>660000</v>
      </c>
    </row>
    <row r="26" spans="2:9" x14ac:dyDescent="0.15">
      <c r="B26">
        <v>2025</v>
      </c>
      <c r="C26">
        <v>1</v>
      </c>
      <c r="D26" t="s">
        <v>64</v>
      </c>
      <c r="E26" t="s">
        <v>96</v>
      </c>
      <c r="F26" t="s">
        <v>55</v>
      </c>
      <c r="G26" s="56">
        <v>1894000</v>
      </c>
    </row>
    <row r="27" spans="2:9" x14ac:dyDescent="0.15">
      <c r="B27">
        <v>2025</v>
      </c>
      <c r="C27">
        <v>1</v>
      </c>
      <c r="D27" t="s">
        <v>64</v>
      </c>
      <c r="E27" t="s">
        <v>96</v>
      </c>
      <c r="F27" t="s">
        <v>62</v>
      </c>
      <c r="G27" s="56">
        <v>1499000</v>
      </c>
    </row>
    <row r="28" spans="2:9" x14ac:dyDescent="0.15">
      <c r="B28">
        <v>2025</v>
      </c>
      <c r="C28">
        <v>1</v>
      </c>
      <c r="D28" t="s">
        <v>64</v>
      </c>
      <c r="E28" t="s">
        <v>96</v>
      </c>
      <c r="F28" t="s">
        <v>75</v>
      </c>
      <c r="G28" s="56">
        <v>1315000</v>
      </c>
    </row>
    <row r="29" spans="2:9" x14ac:dyDescent="0.15">
      <c r="B29">
        <v>2025</v>
      </c>
      <c r="C29">
        <v>1</v>
      </c>
      <c r="D29" t="s">
        <v>64</v>
      </c>
      <c r="E29" t="s">
        <v>96</v>
      </c>
      <c r="F29" t="s">
        <v>88</v>
      </c>
      <c r="G29" s="56">
        <v>998000</v>
      </c>
    </row>
    <row r="30" spans="2:9" x14ac:dyDescent="0.15">
      <c r="B30">
        <v>2025</v>
      </c>
      <c r="C30">
        <v>1</v>
      </c>
      <c r="D30" t="s">
        <v>64</v>
      </c>
      <c r="E30" t="s">
        <v>96</v>
      </c>
      <c r="F30" t="s">
        <v>93</v>
      </c>
      <c r="G30" s="56">
        <v>539000</v>
      </c>
    </row>
    <row r="31" spans="2:9" x14ac:dyDescent="0.15">
      <c r="B31">
        <v>2025</v>
      </c>
      <c r="C31">
        <v>1</v>
      </c>
      <c r="D31" t="s">
        <v>77</v>
      </c>
      <c r="E31" t="s">
        <v>107</v>
      </c>
      <c r="F31" t="s">
        <v>55</v>
      </c>
      <c r="G31" s="56">
        <v>1600000</v>
      </c>
    </row>
    <row r="32" spans="2:9" x14ac:dyDescent="0.15">
      <c r="B32">
        <v>2025</v>
      </c>
      <c r="C32">
        <v>1</v>
      </c>
      <c r="D32" t="s">
        <v>77</v>
      </c>
      <c r="E32" t="s">
        <v>107</v>
      </c>
      <c r="F32" t="s">
        <v>62</v>
      </c>
      <c r="G32" s="56">
        <v>1242000</v>
      </c>
    </row>
    <row r="33" spans="2:7" x14ac:dyDescent="0.15">
      <c r="B33">
        <v>2025</v>
      </c>
      <c r="C33">
        <v>1</v>
      </c>
      <c r="D33" t="s">
        <v>77</v>
      </c>
      <c r="E33" t="s">
        <v>107</v>
      </c>
      <c r="F33" t="s">
        <v>75</v>
      </c>
      <c r="G33" s="56">
        <v>1088000</v>
      </c>
    </row>
    <row r="34" spans="2:7" x14ac:dyDescent="0.15">
      <c r="B34">
        <v>2025</v>
      </c>
      <c r="C34">
        <v>1</v>
      </c>
      <c r="D34" t="s">
        <v>77</v>
      </c>
      <c r="E34" t="s">
        <v>107</v>
      </c>
      <c r="F34" t="s">
        <v>88</v>
      </c>
      <c r="G34" s="56">
        <v>835000</v>
      </c>
    </row>
    <row r="35" spans="2:7" x14ac:dyDescent="0.15">
      <c r="B35">
        <v>2025</v>
      </c>
      <c r="C35">
        <v>1</v>
      </c>
      <c r="D35" t="s">
        <v>77</v>
      </c>
      <c r="E35" t="s">
        <v>107</v>
      </c>
      <c r="F35" t="s">
        <v>93</v>
      </c>
      <c r="G35" s="56">
        <v>453000</v>
      </c>
    </row>
    <row r="36" spans="2:7" x14ac:dyDescent="0.15">
      <c r="B36">
        <v>2025</v>
      </c>
      <c r="C36">
        <v>1</v>
      </c>
      <c r="D36" t="s">
        <v>77</v>
      </c>
      <c r="E36" t="s">
        <v>78</v>
      </c>
      <c r="F36" t="s">
        <v>55</v>
      </c>
      <c r="G36" s="56">
        <v>1070000</v>
      </c>
    </row>
    <row r="37" spans="2:7" x14ac:dyDescent="0.15">
      <c r="B37">
        <v>2025</v>
      </c>
      <c r="C37">
        <v>1</v>
      </c>
      <c r="D37" t="s">
        <v>77</v>
      </c>
      <c r="E37" t="s">
        <v>78</v>
      </c>
      <c r="F37" t="s">
        <v>62</v>
      </c>
      <c r="G37" s="56">
        <v>838000</v>
      </c>
    </row>
    <row r="38" spans="2:7" x14ac:dyDescent="0.15">
      <c r="B38">
        <v>2025</v>
      </c>
      <c r="C38">
        <v>1</v>
      </c>
      <c r="D38" t="s">
        <v>77</v>
      </c>
      <c r="E38" t="s">
        <v>78</v>
      </c>
      <c r="F38" t="s">
        <v>75</v>
      </c>
      <c r="G38" s="56">
        <v>728000</v>
      </c>
    </row>
    <row r="39" spans="2:7" x14ac:dyDescent="0.15">
      <c r="B39">
        <v>2025</v>
      </c>
      <c r="C39">
        <v>1</v>
      </c>
      <c r="D39" t="s">
        <v>77</v>
      </c>
      <c r="E39" t="s">
        <v>78</v>
      </c>
      <c r="F39" t="s">
        <v>88</v>
      </c>
      <c r="G39" s="56">
        <v>566000</v>
      </c>
    </row>
    <row r="40" spans="2:7" x14ac:dyDescent="0.15">
      <c r="B40">
        <v>2025</v>
      </c>
      <c r="C40">
        <v>1</v>
      </c>
      <c r="D40" t="s">
        <v>77</v>
      </c>
      <c r="E40" t="s">
        <v>78</v>
      </c>
      <c r="F40" t="s">
        <v>93</v>
      </c>
      <c r="G40" s="56">
        <v>295000</v>
      </c>
    </row>
    <row r="41" spans="2:7" x14ac:dyDescent="0.15">
      <c r="B41">
        <v>2025</v>
      </c>
      <c r="C41">
        <v>1</v>
      </c>
      <c r="D41" t="s">
        <v>57</v>
      </c>
      <c r="E41" t="s">
        <v>81</v>
      </c>
      <c r="F41" t="s">
        <v>55</v>
      </c>
      <c r="G41" s="56">
        <v>1358000</v>
      </c>
    </row>
    <row r="42" spans="2:7" x14ac:dyDescent="0.15">
      <c r="B42">
        <v>2025</v>
      </c>
      <c r="C42">
        <v>1</v>
      </c>
      <c r="D42" t="s">
        <v>57</v>
      </c>
      <c r="E42" t="s">
        <v>81</v>
      </c>
      <c r="F42" t="s">
        <v>62</v>
      </c>
      <c r="G42" s="56">
        <v>1097000</v>
      </c>
    </row>
    <row r="43" spans="2:7" x14ac:dyDescent="0.15">
      <c r="B43">
        <v>2025</v>
      </c>
      <c r="C43">
        <v>1</v>
      </c>
      <c r="D43" t="s">
        <v>57</v>
      </c>
      <c r="E43" t="s">
        <v>81</v>
      </c>
      <c r="F43" t="s">
        <v>75</v>
      </c>
      <c r="G43" s="56">
        <v>955000</v>
      </c>
    </row>
    <row r="44" spans="2:7" x14ac:dyDescent="0.15">
      <c r="B44">
        <v>2025</v>
      </c>
      <c r="C44">
        <v>1</v>
      </c>
      <c r="D44" t="s">
        <v>57</v>
      </c>
      <c r="E44" t="s">
        <v>81</v>
      </c>
      <c r="F44" t="s">
        <v>88</v>
      </c>
      <c r="G44" s="56">
        <v>740000</v>
      </c>
    </row>
    <row r="45" spans="2:7" x14ac:dyDescent="0.15">
      <c r="B45">
        <v>2025</v>
      </c>
      <c r="C45">
        <v>1</v>
      </c>
      <c r="D45" t="s">
        <v>57</v>
      </c>
      <c r="E45" t="s">
        <v>81</v>
      </c>
      <c r="F45" t="s">
        <v>93</v>
      </c>
      <c r="G45" s="56">
        <v>394000</v>
      </c>
    </row>
    <row r="46" spans="2:7" x14ac:dyDescent="0.15">
      <c r="B46">
        <v>2025</v>
      </c>
      <c r="C46">
        <v>1</v>
      </c>
      <c r="D46" t="s">
        <v>57</v>
      </c>
      <c r="E46" t="s">
        <v>58</v>
      </c>
      <c r="F46" t="s">
        <v>55</v>
      </c>
      <c r="G46" s="56">
        <v>859000</v>
      </c>
    </row>
    <row r="47" spans="2:7" x14ac:dyDescent="0.15">
      <c r="B47">
        <v>2025</v>
      </c>
      <c r="C47">
        <v>1</v>
      </c>
      <c r="D47" t="s">
        <v>57</v>
      </c>
      <c r="E47" t="s">
        <v>58</v>
      </c>
      <c r="F47" t="s">
        <v>62</v>
      </c>
      <c r="G47" s="56">
        <v>655000</v>
      </c>
    </row>
    <row r="48" spans="2:7" x14ac:dyDescent="0.15">
      <c r="B48">
        <v>2025</v>
      </c>
      <c r="C48">
        <v>1</v>
      </c>
      <c r="D48" t="s">
        <v>57</v>
      </c>
      <c r="E48" t="s">
        <v>58</v>
      </c>
      <c r="F48" t="s">
        <v>75</v>
      </c>
      <c r="G48" s="56">
        <v>591000</v>
      </c>
    </row>
    <row r="49" spans="2:7" x14ac:dyDescent="0.15">
      <c r="B49">
        <v>2025</v>
      </c>
      <c r="C49">
        <v>1</v>
      </c>
      <c r="D49" t="s">
        <v>57</v>
      </c>
      <c r="E49" t="s">
        <v>58</v>
      </c>
      <c r="F49" t="s">
        <v>88</v>
      </c>
      <c r="G49" s="56">
        <v>461000</v>
      </c>
    </row>
    <row r="50" spans="2:7" x14ac:dyDescent="0.15">
      <c r="B50">
        <v>2025</v>
      </c>
      <c r="C50">
        <v>1</v>
      </c>
      <c r="D50" t="s">
        <v>57</v>
      </c>
      <c r="E50" t="s">
        <v>58</v>
      </c>
      <c r="F50" t="s">
        <v>93</v>
      </c>
      <c r="G50" s="56">
        <v>243000</v>
      </c>
    </row>
    <row r="51" spans="2:7" x14ac:dyDescent="0.15">
      <c r="B51">
        <v>2025</v>
      </c>
      <c r="C51">
        <v>1</v>
      </c>
      <c r="D51" t="s">
        <v>125</v>
      </c>
      <c r="E51" t="s">
        <v>138</v>
      </c>
      <c r="F51" t="s">
        <v>55</v>
      </c>
      <c r="G51" s="56">
        <v>1022000</v>
      </c>
    </row>
    <row r="52" spans="2:7" x14ac:dyDescent="0.15">
      <c r="B52">
        <v>2025</v>
      </c>
      <c r="C52">
        <v>1</v>
      </c>
      <c r="D52" t="s">
        <v>125</v>
      </c>
      <c r="E52" t="s">
        <v>138</v>
      </c>
      <c r="F52" t="s">
        <v>62</v>
      </c>
      <c r="G52" s="56">
        <v>803000</v>
      </c>
    </row>
    <row r="53" spans="2:7" x14ac:dyDescent="0.15">
      <c r="B53">
        <v>2025</v>
      </c>
      <c r="C53">
        <v>1</v>
      </c>
      <c r="D53" t="s">
        <v>125</v>
      </c>
      <c r="E53" t="s">
        <v>138</v>
      </c>
      <c r="F53" t="s">
        <v>75</v>
      </c>
      <c r="G53" s="56">
        <v>724000</v>
      </c>
    </row>
    <row r="54" spans="2:7" x14ac:dyDescent="0.15">
      <c r="B54">
        <v>2025</v>
      </c>
      <c r="C54">
        <v>1</v>
      </c>
      <c r="D54" t="s">
        <v>125</v>
      </c>
      <c r="E54" t="s">
        <v>138</v>
      </c>
      <c r="F54" t="s">
        <v>88</v>
      </c>
      <c r="G54" s="56">
        <v>541000</v>
      </c>
    </row>
    <row r="55" spans="2:7" x14ac:dyDescent="0.15">
      <c r="B55">
        <v>2025</v>
      </c>
      <c r="C55">
        <v>1</v>
      </c>
      <c r="D55" t="s">
        <v>125</v>
      </c>
      <c r="E55" t="s">
        <v>138</v>
      </c>
      <c r="F55" t="s">
        <v>93</v>
      </c>
      <c r="G55" s="56">
        <v>289000</v>
      </c>
    </row>
    <row r="56" spans="2:7" x14ac:dyDescent="0.15">
      <c r="B56">
        <v>2025</v>
      </c>
      <c r="C56">
        <v>1</v>
      </c>
      <c r="D56" t="s">
        <v>125</v>
      </c>
      <c r="E56" t="s">
        <v>126</v>
      </c>
      <c r="F56" t="s">
        <v>55</v>
      </c>
      <c r="G56" s="56">
        <v>558000</v>
      </c>
    </row>
    <row r="57" spans="2:7" x14ac:dyDescent="0.15">
      <c r="B57">
        <v>2025</v>
      </c>
      <c r="C57">
        <v>1</v>
      </c>
      <c r="D57" t="s">
        <v>125</v>
      </c>
      <c r="E57" t="s">
        <v>126</v>
      </c>
      <c r="F57" t="s">
        <v>62</v>
      </c>
      <c r="G57" s="56">
        <v>434000</v>
      </c>
    </row>
    <row r="58" spans="2:7" x14ac:dyDescent="0.15">
      <c r="B58">
        <v>2025</v>
      </c>
      <c r="C58">
        <v>1</v>
      </c>
      <c r="D58" t="s">
        <v>125</v>
      </c>
      <c r="E58" t="s">
        <v>126</v>
      </c>
      <c r="F58" t="s">
        <v>75</v>
      </c>
      <c r="G58" s="56">
        <v>380000</v>
      </c>
    </row>
    <row r="59" spans="2:7" x14ac:dyDescent="0.15">
      <c r="B59">
        <v>2025</v>
      </c>
      <c r="C59">
        <v>1</v>
      </c>
      <c r="D59" t="s">
        <v>125</v>
      </c>
      <c r="E59" t="s">
        <v>126</v>
      </c>
      <c r="F59" t="s">
        <v>88</v>
      </c>
      <c r="G59" s="56">
        <v>295000</v>
      </c>
    </row>
    <row r="60" spans="2:7" x14ac:dyDescent="0.15">
      <c r="B60">
        <v>2025</v>
      </c>
      <c r="C60">
        <v>1</v>
      </c>
      <c r="D60" t="s">
        <v>125</v>
      </c>
      <c r="E60" t="s">
        <v>126</v>
      </c>
      <c r="F60" t="s">
        <v>93</v>
      </c>
      <c r="G60" s="56">
        <v>157000</v>
      </c>
    </row>
    <row r="61" spans="2:7" x14ac:dyDescent="0.15">
      <c r="B61">
        <v>2025</v>
      </c>
      <c r="C61">
        <v>1</v>
      </c>
      <c r="D61" t="s">
        <v>70</v>
      </c>
      <c r="E61" t="s">
        <v>84</v>
      </c>
      <c r="F61" t="s">
        <v>55</v>
      </c>
      <c r="G61" s="56">
        <v>972000</v>
      </c>
    </row>
    <row r="62" spans="2:7" x14ac:dyDescent="0.15">
      <c r="B62">
        <v>2025</v>
      </c>
      <c r="C62">
        <v>1</v>
      </c>
      <c r="D62" t="s">
        <v>70</v>
      </c>
      <c r="E62" t="s">
        <v>84</v>
      </c>
      <c r="F62" t="s">
        <v>62</v>
      </c>
      <c r="G62" s="56">
        <v>750000</v>
      </c>
    </row>
    <row r="63" spans="2:7" x14ac:dyDescent="0.15">
      <c r="B63">
        <v>2025</v>
      </c>
      <c r="C63">
        <v>1</v>
      </c>
      <c r="D63" t="s">
        <v>70</v>
      </c>
      <c r="E63" t="s">
        <v>84</v>
      </c>
      <c r="F63" t="s">
        <v>75</v>
      </c>
      <c r="G63" s="56">
        <v>675000</v>
      </c>
    </row>
    <row r="64" spans="2:7" x14ac:dyDescent="0.15">
      <c r="B64">
        <v>2025</v>
      </c>
      <c r="C64">
        <v>1</v>
      </c>
      <c r="D64" t="s">
        <v>70</v>
      </c>
      <c r="E64" t="s">
        <v>84</v>
      </c>
      <c r="F64" t="s">
        <v>88</v>
      </c>
      <c r="G64" s="56">
        <v>510000</v>
      </c>
    </row>
    <row r="65" spans="2:7" x14ac:dyDescent="0.15">
      <c r="B65">
        <v>2025</v>
      </c>
      <c r="C65">
        <v>1</v>
      </c>
      <c r="D65" t="s">
        <v>70</v>
      </c>
      <c r="E65" t="s">
        <v>84</v>
      </c>
      <c r="F65" t="s">
        <v>93</v>
      </c>
      <c r="G65" s="56">
        <v>266000</v>
      </c>
    </row>
    <row r="66" spans="2:7" x14ac:dyDescent="0.15">
      <c r="B66">
        <v>2025</v>
      </c>
      <c r="C66">
        <v>1</v>
      </c>
      <c r="D66" t="s">
        <v>70</v>
      </c>
      <c r="E66" t="s">
        <v>71</v>
      </c>
      <c r="F66" t="s">
        <v>55</v>
      </c>
      <c r="G66" s="56">
        <v>706000</v>
      </c>
    </row>
    <row r="67" spans="2:7" x14ac:dyDescent="0.15">
      <c r="B67">
        <v>2025</v>
      </c>
      <c r="C67">
        <v>1</v>
      </c>
      <c r="D67" t="s">
        <v>70</v>
      </c>
      <c r="E67" t="s">
        <v>71</v>
      </c>
      <c r="F67" t="s">
        <v>62</v>
      </c>
      <c r="G67" s="56">
        <v>542000</v>
      </c>
    </row>
    <row r="68" spans="2:7" x14ac:dyDescent="0.15">
      <c r="B68">
        <v>2025</v>
      </c>
      <c r="C68">
        <v>1</v>
      </c>
      <c r="D68" t="s">
        <v>70</v>
      </c>
      <c r="E68" t="s">
        <v>71</v>
      </c>
      <c r="F68" t="s">
        <v>75</v>
      </c>
      <c r="G68" s="56">
        <v>489000</v>
      </c>
    </row>
    <row r="69" spans="2:7" x14ac:dyDescent="0.15">
      <c r="B69">
        <v>2025</v>
      </c>
      <c r="C69">
        <v>1</v>
      </c>
      <c r="D69" t="s">
        <v>70</v>
      </c>
      <c r="E69" t="s">
        <v>71</v>
      </c>
      <c r="F69" t="s">
        <v>88</v>
      </c>
      <c r="G69" s="56">
        <v>371000</v>
      </c>
    </row>
    <row r="70" spans="2:7" x14ac:dyDescent="0.15">
      <c r="B70">
        <v>2025</v>
      </c>
      <c r="C70">
        <v>1</v>
      </c>
      <c r="D70" t="s">
        <v>70</v>
      </c>
      <c r="E70" t="s">
        <v>71</v>
      </c>
      <c r="F70" t="s">
        <v>93</v>
      </c>
      <c r="G70" s="56">
        <v>195000</v>
      </c>
    </row>
    <row r="71" spans="2:7" x14ac:dyDescent="0.15">
      <c r="B71">
        <v>2025</v>
      </c>
      <c r="C71">
        <v>2</v>
      </c>
      <c r="D71" t="s">
        <v>64</v>
      </c>
      <c r="E71" t="s">
        <v>65</v>
      </c>
      <c r="F71" t="s">
        <v>55</v>
      </c>
      <c r="G71" s="56">
        <v>2276000</v>
      </c>
    </row>
    <row r="72" spans="2:7" x14ac:dyDescent="0.15">
      <c r="B72">
        <v>2025</v>
      </c>
      <c r="C72">
        <v>2</v>
      </c>
      <c r="D72" t="s">
        <v>64</v>
      </c>
      <c r="E72" t="s">
        <v>65</v>
      </c>
      <c r="F72" t="s">
        <v>62</v>
      </c>
      <c r="G72" s="56">
        <v>1762000</v>
      </c>
    </row>
    <row r="73" spans="2:7" x14ac:dyDescent="0.15">
      <c r="B73">
        <v>2025</v>
      </c>
      <c r="C73">
        <v>2</v>
      </c>
      <c r="D73" t="s">
        <v>64</v>
      </c>
      <c r="E73" t="s">
        <v>65</v>
      </c>
      <c r="F73" t="s">
        <v>75</v>
      </c>
      <c r="G73" s="56">
        <v>1524000</v>
      </c>
    </row>
    <row r="74" spans="2:7" x14ac:dyDescent="0.15">
      <c r="B74">
        <v>2025</v>
      </c>
      <c r="C74">
        <v>2</v>
      </c>
      <c r="D74" t="s">
        <v>64</v>
      </c>
      <c r="E74" t="s">
        <v>65</v>
      </c>
      <c r="F74" t="s">
        <v>88</v>
      </c>
      <c r="G74" s="56">
        <v>1192000</v>
      </c>
    </row>
    <row r="75" spans="2:7" x14ac:dyDescent="0.15">
      <c r="B75">
        <v>2025</v>
      </c>
      <c r="C75">
        <v>2</v>
      </c>
      <c r="D75" t="s">
        <v>64</v>
      </c>
      <c r="E75" t="s">
        <v>65</v>
      </c>
      <c r="F75" t="s">
        <v>93</v>
      </c>
      <c r="G75" s="56">
        <v>630000</v>
      </c>
    </row>
    <row r="76" spans="2:7" x14ac:dyDescent="0.15">
      <c r="B76">
        <v>2025</v>
      </c>
      <c r="C76">
        <v>2</v>
      </c>
      <c r="D76" t="s">
        <v>64</v>
      </c>
      <c r="E76" t="s">
        <v>96</v>
      </c>
      <c r="F76" t="s">
        <v>55</v>
      </c>
      <c r="G76" s="56">
        <v>1870000</v>
      </c>
    </row>
    <row r="77" spans="2:7" x14ac:dyDescent="0.15">
      <c r="B77">
        <v>2025</v>
      </c>
      <c r="C77">
        <v>2</v>
      </c>
      <c r="D77" t="s">
        <v>64</v>
      </c>
      <c r="E77" t="s">
        <v>96</v>
      </c>
      <c r="F77" t="s">
        <v>62</v>
      </c>
      <c r="G77" s="56">
        <v>1439000</v>
      </c>
    </row>
    <row r="78" spans="2:7" x14ac:dyDescent="0.15">
      <c r="B78">
        <v>2025</v>
      </c>
      <c r="C78">
        <v>2</v>
      </c>
      <c r="D78" t="s">
        <v>64</v>
      </c>
      <c r="E78" t="s">
        <v>96</v>
      </c>
      <c r="F78" t="s">
        <v>75</v>
      </c>
      <c r="G78" s="56">
        <v>1270000</v>
      </c>
    </row>
    <row r="79" spans="2:7" x14ac:dyDescent="0.15">
      <c r="B79">
        <v>2025</v>
      </c>
      <c r="C79">
        <v>2</v>
      </c>
      <c r="D79" t="s">
        <v>64</v>
      </c>
      <c r="E79" t="s">
        <v>96</v>
      </c>
      <c r="F79" t="s">
        <v>88</v>
      </c>
      <c r="G79" s="56">
        <v>967000</v>
      </c>
    </row>
    <row r="80" spans="2:7" x14ac:dyDescent="0.15">
      <c r="B80">
        <v>2025</v>
      </c>
      <c r="C80">
        <v>2</v>
      </c>
      <c r="D80" t="s">
        <v>64</v>
      </c>
      <c r="E80" t="s">
        <v>96</v>
      </c>
      <c r="F80" t="s">
        <v>93</v>
      </c>
      <c r="G80" s="56">
        <v>520000</v>
      </c>
    </row>
    <row r="81" spans="2:7" x14ac:dyDescent="0.15">
      <c r="B81">
        <v>2025</v>
      </c>
      <c r="C81">
        <v>2</v>
      </c>
      <c r="D81" t="s">
        <v>77</v>
      </c>
      <c r="E81" t="s">
        <v>107</v>
      </c>
      <c r="F81" t="s">
        <v>55</v>
      </c>
      <c r="G81" s="56">
        <v>1537000</v>
      </c>
    </row>
    <row r="82" spans="2:7" x14ac:dyDescent="0.15">
      <c r="B82">
        <v>2025</v>
      </c>
      <c r="C82">
        <v>2</v>
      </c>
      <c r="D82" t="s">
        <v>77</v>
      </c>
      <c r="E82" t="s">
        <v>107</v>
      </c>
      <c r="F82" t="s">
        <v>62</v>
      </c>
      <c r="G82" s="56">
        <v>1188000</v>
      </c>
    </row>
    <row r="83" spans="2:7" x14ac:dyDescent="0.15">
      <c r="B83">
        <v>2025</v>
      </c>
      <c r="C83">
        <v>2</v>
      </c>
      <c r="D83" t="s">
        <v>77</v>
      </c>
      <c r="E83" t="s">
        <v>107</v>
      </c>
      <c r="F83" t="s">
        <v>75</v>
      </c>
      <c r="G83" s="56">
        <v>1065000</v>
      </c>
    </row>
    <row r="84" spans="2:7" x14ac:dyDescent="0.15">
      <c r="B84">
        <v>2025</v>
      </c>
      <c r="C84">
        <v>2</v>
      </c>
      <c r="D84" t="s">
        <v>77</v>
      </c>
      <c r="E84" t="s">
        <v>107</v>
      </c>
      <c r="F84" t="s">
        <v>88</v>
      </c>
      <c r="G84" s="56">
        <v>828000</v>
      </c>
    </row>
    <row r="85" spans="2:7" x14ac:dyDescent="0.15">
      <c r="B85">
        <v>2025</v>
      </c>
      <c r="C85">
        <v>2</v>
      </c>
      <c r="D85" t="s">
        <v>77</v>
      </c>
      <c r="E85" t="s">
        <v>107</v>
      </c>
      <c r="F85" t="s">
        <v>93</v>
      </c>
      <c r="G85" s="56">
        <v>432000</v>
      </c>
    </row>
    <row r="86" spans="2:7" x14ac:dyDescent="0.15">
      <c r="B86">
        <v>2025</v>
      </c>
      <c r="C86">
        <v>2</v>
      </c>
      <c r="D86" t="s">
        <v>77</v>
      </c>
      <c r="E86" t="s">
        <v>78</v>
      </c>
      <c r="F86" t="s">
        <v>55</v>
      </c>
      <c r="G86" s="56">
        <v>1025000</v>
      </c>
    </row>
    <row r="87" spans="2:7" x14ac:dyDescent="0.15">
      <c r="B87">
        <v>2025</v>
      </c>
      <c r="C87">
        <v>2</v>
      </c>
      <c r="D87" t="s">
        <v>77</v>
      </c>
      <c r="E87" t="s">
        <v>78</v>
      </c>
      <c r="F87" t="s">
        <v>62</v>
      </c>
      <c r="G87" s="56">
        <v>779000</v>
      </c>
    </row>
    <row r="88" spans="2:7" x14ac:dyDescent="0.15">
      <c r="B88">
        <v>2025</v>
      </c>
      <c r="C88">
        <v>2</v>
      </c>
      <c r="D88" t="s">
        <v>77</v>
      </c>
      <c r="E88" t="s">
        <v>78</v>
      </c>
      <c r="F88" t="s">
        <v>75</v>
      </c>
      <c r="G88" s="56">
        <v>693000</v>
      </c>
    </row>
    <row r="89" spans="2:7" x14ac:dyDescent="0.15">
      <c r="B89">
        <v>2025</v>
      </c>
      <c r="C89">
        <v>2</v>
      </c>
      <c r="D89" t="s">
        <v>77</v>
      </c>
      <c r="E89" t="s">
        <v>78</v>
      </c>
      <c r="F89" t="s">
        <v>88</v>
      </c>
      <c r="G89" s="56">
        <v>540000</v>
      </c>
    </row>
    <row r="90" spans="2:7" x14ac:dyDescent="0.15">
      <c r="B90">
        <v>2025</v>
      </c>
      <c r="C90">
        <v>2</v>
      </c>
      <c r="D90" t="s">
        <v>77</v>
      </c>
      <c r="E90" t="s">
        <v>78</v>
      </c>
      <c r="F90" t="s">
        <v>93</v>
      </c>
      <c r="G90" s="56">
        <v>296000</v>
      </c>
    </row>
    <row r="91" spans="2:7" x14ac:dyDescent="0.15">
      <c r="B91">
        <v>2025</v>
      </c>
      <c r="C91">
        <v>2</v>
      </c>
      <c r="D91" t="s">
        <v>57</v>
      </c>
      <c r="E91" t="s">
        <v>81</v>
      </c>
      <c r="F91" t="s">
        <v>55</v>
      </c>
      <c r="G91" s="56">
        <v>1340000</v>
      </c>
    </row>
    <row r="92" spans="2:7" x14ac:dyDescent="0.15">
      <c r="B92">
        <v>2025</v>
      </c>
      <c r="C92">
        <v>2</v>
      </c>
      <c r="D92" t="s">
        <v>57</v>
      </c>
      <c r="E92" t="s">
        <v>81</v>
      </c>
      <c r="F92" t="s">
        <v>62</v>
      </c>
      <c r="G92" s="56">
        <v>1035000</v>
      </c>
    </row>
    <row r="93" spans="2:7" x14ac:dyDescent="0.15">
      <c r="B93">
        <v>2025</v>
      </c>
      <c r="C93">
        <v>2</v>
      </c>
      <c r="D93" t="s">
        <v>57</v>
      </c>
      <c r="E93" t="s">
        <v>81</v>
      </c>
      <c r="F93" t="s">
        <v>75</v>
      </c>
      <c r="G93" s="56">
        <v>933000</v>
      </c>
    </row>
    <row r="94" spans="2:7" x14ac:dyDescent="0.15">
      <c r="B94">
        <v>2025</v>
      </c>
      <c r="C94">
        <v>2</v>
      </c>
      <c r="D94" t="s">
        <v>57</v>
      </c>
      <c r="E94" t="s">
        <v>81</v>
      </c>
      <c r="F94" t="s">
        <v>88</v>
      </c>
      <c r="G94" s="56">
        <v>706000</v>
      </c>
    </row>
    <row r="95" spans="2:7" x14ac:dyDescent="0.15">
      <c r="B95">
        <v>2025</v>
      </c>
      <c r="C95">
        <v>2</v>
      </c>
      <c r="D95" t="s">
        <v>57</v>
      </c>
      <c r="E95" t="s">
        <v>81</v>
      </c>
      <c r="F95" t="s">
        <v>93</v>
      </c>
      <c r="G95" s="56">
        <v>377000</v>
      </c>
    </row>
    <row r="96" spans="2:7" x14ac:dyDescent="0.15">
      <c r="B96">
        <v>2025</v>
      </c>
      <c r="C96">
        <v>2</v>
      </c>
      <c r="D96" t="s">
        <v>57</v>
      </c>
      <c r="E96" t="s">
        <v>58</v>
      </c>
      <c r="F96" t="s">
        <v>55</v>
      </c>
      <c r="G96" s="56">
        <v>833000</v>
      </c>
    </row>
    <row r="97" spans="2:7" x14ac:dyDescent="0.15">
      <c r="B97">
        <v>2025</v>
      </c>
      <c r="C97">
        <v>2</v>
      </c>
      <c r="D97" t="s">
        <v>57</v>
      </c>
      <c r="E97" t="s">
        <v>58</v>
      </c>
      <c r="F97" t="s">
        <v>62</v>
      </c>
      <c r="G97" s="56">
        <v>639000</v>
      </c>
    </row>
    <row r="98" spans="2:7" x14ac:dyDescent="0.15">
      <c r="B98">
        <v>2025</v>
      </c>
      <c r="C98">
        <v>2</v>
      </c>
      <c r="D98" t="s">
        <v>57</v>
      </c>
      <c r="E98" t="s">
        <v>58</v>
      </c>
      <c r="F98" t="s">
        <v>75</v>
      </c>
      <c r="G98" s="56">
        <v>561000</v>
      </c>
    </row>
    <row r="99" spans="2:7" x14ac:dyDescent="0.15">
      <c r="B99">
        <v>2025</v>
      </c>
      <c r="C99">
        <v>2</v>
      </c>
      <c r="D99" t="s">
        <v>57</v>
      </c>
      <c r="E99" t="s">
        <v>58</v>
      </c>
      <c r="F99" t="s">
        <v>88</v>
      </c>
      <c r="G99" s="56">
        <v>434000</v>
      </c>
    </row>
    <row r="100" spans="2:7" x14ac:dyDescent="0.15">
      <c r="B100">
        <v>2025</v>
      </c>
      <c r="C100">
        <v>2</v>
      </c>
      <c r="D100" t="s">
        <v>57</v>
      </c>
      <c r="E100" t="s">
        <v>58</v>
      </c>
      <c r="F100" t="s">
        <v>93</v>
      </c>
      <c r="G100" s="56">
        <v>228000</v>
      </c>
    </row>
    <row r="101" spans="2:7" x14ac:dyDescent="0.15">
      <c r="B101">
        <v>2025</v>
      </c>
      <c r="C101">
        <v>2</v>
      </c>
      <c r="D101" t="s">
        <v>125</v>
      </c>
      <c r="E101" t="s">
        <v>138</v>
      </c>
      <c r="F101" t="s">
        <v>55</v>
      </c>
      <c r="G101" s="56">
        <v>990000</v>
      </c>
    </row>
    <row r="102" spans="2:7" x14ac:dyDescent="0.15">
      <c r="B102">
        <v>2025</v>
      </c>
      <c r="C102">
        <v>2</v>
      </c>
      <c r="D102" t="s">
        <v>125</v>
      </c>
      <c r="E102" t="s">
        <v>138</v>
      </c>
      <c r="F102" t="s">
        <v>62</v>
      </c>
      <c r="G102" s="56">
        <v>756000</v>
      </c>
    </row>
    <row r="103" spans="2:7" x14ac:dyDescent="0.15">
      <c r="B103">
        <v>2025</v>
      </c>
      <c r="C103">
        <v>2</v>
      </c>
      <c r="D103" t="s">
        <v>125</v>
      </c>
      <c r="E103" t="s">
        <v>138</v>
      </c>
      <c r="F103" t="s">
        <v>75</v>
      </c>
      <c r="G103" s="56">
        <v>679000</v>
      </c>
    </row>
    <row r="104" spans="2:7" x14ac:dyDescent="0.15">
      <c r="B104">
        <v>2025</v>
      </c>
      <c r="C104">
        <v>2</v>
      </c>
      <c r="D104" t="s">
        <v>125</v>
      </c>
      <c r="E104" t="s">
        <v>138</v>
      </c>
      <c r="F104" t="s">
        <v>88</v>
      </c>
      <c r="G104" s="56">
        <v>533000</v>
      </c>
    </row>
    <row r="105" spans="2:7" x14ac:dyDescent="0.15">
      <c r="B105">
        <v>2025</v>
      </c>
      <c r="C105">
        <v>2</v>
      </c>
      <c r="D105" t="s">
        <v>125</v>
      </c>
      <c r="E105" t="s">
        <v>138</v>
      </c>
      <c r="F105" t="s">
        <v>93</v>
      </c>
      <c r="G105" s="56">
        <v>285000</v>
      </c>
    </row>
    <row r="106" spans="2:7" x14ac:dyDescent="0.15">
      <c r="B106">
        <v>2025</v>
      </c>
      <c r="C106">
        <v>2</v>
      </c>
      <c r="D106" t="s">
        <v>125</v>
      </c>
      <c r="E106" t="s">
        <v>126</v>
      </c>
      <c r="F106" t="s">
        <v>55</v>
      </c>
      <c r="G106" s="56">
        <v>548000</v>
      </c>
    </row>
    <row r="107" spans="2:7" x14ac:dyDescent="0.15">
      <c r="B107">
        <v>2025</v>
      </c>
      <c r="C107">
        <v>2</v>
      </c>
      <c r="D107" t="s">
        <v>125</v>
      </c>
      <c r="E107" t="s">
        <v>126</v>
      </c>
      <c r="F107" t="s">
        <v>62</v>
      </c>
      <c r="G107" s="56">
        <v>409000</v>
      </c>
    </row>
    <row r="108" spans="2:7" x14ac:dyDescent="0.15">
      <c r="B108">
        <v>2025</v>
      </c>
      <c r="C108">
        <v>2</v>
      </c>
      <c r="D108" t="s">
        <v>125</v>
      </c>
      <c r="E108" t="s">
        <v>126</v>
      </c>
      <c r="F108" t="s">
        <v>75</v>
      </c>
      <c r="G108" s="56">
        <v>364000</v>
      </c>
    </row>
    <row r="109" spans="2:7" x14ac:dyDescent="0.15">
      <c r="B109">
        <v>2025</v>
      </c>
      <c r="C109">
        <v>2</v>
      </c>
      <c r="D109" t="s">
        <v>125</v>
      </c>
      <c r="E109" t="s">
        <v>126</v>
      </c>
      <c r="F109" t="s">
        <v>88</v>
      </c>
      <c r="G109" s="56">
        <v>281000</v>
      </c>
    </row>
    <row r="110" spans="2:7" x14ac:dyDescent="0.15">
      <c r="B110">
        <v>2025</v>
      </c>
      <c r="C110">
        <v>2</v>
      </c>
      <c r="D110" t="s">
        <v>125</v>
      </c>
      <c r="E110" t="s">
        <v>126</v>
      </c>
      <c r="F110" t="s">
        <v>93</v>
      </c>
      <c r="G110" s="56">
        <v>149000</v>
      </c>
    </row>
    <row r="111" spans="2:7" x14ac:dyDescent="0.15">
      <c r="B111">
        <v>2025</v>
      </c>
      <c r="C111">
        <v>2</v>
      </c>
      <c r="D111" t="s">
        <v>70</v>
      </c>
      <c r="E111" t="s">
        <v>84</v>
      </c>
      <c r="F111" t="s">
        <v>55</v>
      </c>
      <c r="G111" s="56">
        <v>917000</v>
      </c>
    </row>
    <row r="112" spans="2:7" x14ac:dyDescent="0.15">
      <c r="B112">
        <v>2025</v>
      </c>
      <c r="C112">
        <v>2</v>
      </c>
      <c r="D112" t="s">
        <v>70</v>
      </c>
      <c r="E112" t="s">
        <v>84</v>
      </c>
      <c r="F112" t="s">
        <v>62</v>
      </c>
      <c r="G112" s="56">
        <v>704000</v>
      </c>
    </row>
    <row r="113" spans="2:7" x14ac:dyDescent="0.15">
      <c r="B113">
        <v>2025</v>
      </c>
      <c r="C113">
        <v>2</v>
      </c>
      <c r="D113" t="s">
        <v>70</v>
      </c>
      <c r="E113" t="s">
        <v>84</v>
      </c>
      <c r="F113" t="s">
        <v>75</v>
      </c>
      <c r="G113" s="56">
        <v>631000</v>
      </c>
    </row>
    <row r="114" spans="2:7" x14ac:dyDescent="0.15">
      <c r="B114">
        <v>2025</v>
      </c>
      <c r="C114">
        <v>2</v>
      </c>
      <c r="D114" t="s">
        <v>70</v>
      </c>
      <c r="E114" t="s">
        <v>84</v>
      </c>
      <c r="F114" t="s">
        <v>88</v>
      </c>
      <c r="G114" s="56">
        <v>484000</v>
      </c>
    </row>
    <row r="115" spans="2:7" x14ac:dyDescent="0.15">
      <c r="B115">
        <v>2025</v>
      </c>
      <c r="C115">
        <v>2</v>
      </c>
      <c r="D115" t="s">
        <v>70</v>
      </c>
      <c r="E115" t="s">
        <v>84</v>
      </c>
      <c r="F115" t="s">
        <v>93</v>
      </c>
      <c r="G115" s="56">
        <v>266000</v>
      </c>
    </row>
    <row r="116" spans="2:7" x14ac:dyDescent="0.15">
      <c r="B116">
        <v>2025</v>
      </c>
      <c r="C116">
        <v>2</v>
      </c>
      <c r="D116" t="s">
        <v>70</v>
      </c>
      <c r="E116" t="s">
        <v>71</v>
      </c>
      <c r="F116" t="s">
        <v>55</v>
      </c>
      <c r="G116" s="56">
        <v>669000</v>
      </c>
    </row>
    <row r="117" spans="2:7" x14ac:dyDescent="0.15">
      <c r="B117">
        <v>2025</v>
      </c>
      <c r="C117">
        <v>2</v>
      </c>
      <c r="D117" t="s">
        <v>70</v>
      </c>
      <c r="E117" t="s">
        <v>71</v>
      </c>
      <c r="F117" t="s">
        <v>62</v>
      </c>
      <c r="G117" s="56">
        <v>523000</v>
      </c>
    </row>
    <row r="118" spans="2:7" x14ac:dyDescent="0.15">
      <c r="B118">
        <v>2025</v>
      </c>
      <c r="C118">
        <v>2</v>
      </c>
      <c r="D118" t="s">
        <v>70</v>
      </c>
      <c r="E118" t="s">
        <v>71</v>
      </c>
      <c r="F118" t="s">
        <v>75</v>
      </c>
      <c r="G118" s="56">
        <v>458000</v>
      </c>
    </row>
    <row r="119" spans="2:7" x14ac:dyDescent="0.15">
      <c r="B119">
        <v>2025</v>
      </c>
      <c r="C119">
        <v>2</v>
      </c>
      <c r="D119" t="s">
        <v>70</v>
      </c>
      <c r="E119" t="s">
        <v>71</v>
      </c>
      <c r="F119" t="s">
        <v>88</v>
      </c>
      <c r="G119" s="56">
        <v>358000</v>
      </c>
    </row>
    <row r="120" spans="2:7" x14ac:dyDescent="0.15">
      <c r="B120">
        <v>2025</v>
      </c>
      <c r="C120">
        <v>2</v>
      </c>
      <c r="D120" t="s">
        <v>70</v>
      </c>
      <c r="E120" t="s">
        <v>71</v>
      </c>
      <c r="F120" t="s">
        <v>93</v>
      </c>
      <c r="G120" s="56">
        <v>191000</v>
      </c>
    </row>
    <row r="121" spans="2:7" x14ac:dyDescent="0.15">
      <c r="B121">
        <v>2025</v>
      </c>
      <c r="C121">
        <v>3</v>
      </c>
      <c r="D121" t="s">
        <v>64</v>
      </c>
      <c r="E121" t="s">
        <v>65</v>
      </c>
      <c r="F121" t="s">
        <v>55</v>
      </c>
      <c r="G121" s="56">
        <v>2713000</v>
      </c>
    </row>
    <row r="122" spans="2:7" x14ac:dyDescent="0.15">
      <c r="B122">
        <v>2025</v>
      </c>
      <c r="C122">
        <v>3</v>
      </c>
      <c r="D122" t="s">
        <v>64</v>
      </c>
      <c r="E122" t="s">
        <v>65</v>
      </c>
      <c r="F122" t="s">
        <v>62</v>
      </c>
      <c r="G122" s="56">
        <v>2059000</v>
      </c>
    </row>
    <row r="123" spans="2:7" x14ac:dyDescent="0.15">
      <c r="B123">
        <v>2025</v>
      </c>
      <c r="C123">
        <v>3</v>
      </c>
      <c r="D123" t="s">
        <v>64</v>
      </c>
      <c r="E123" t="s">
        <v>65</v>
      </c>
      <c r="F123" t="s">
        <v>75</v>
      </c>
      <c r="G123" s="56">
        <v>1802000</v>
      </c>
    </row>
    <row r="124" spans="2:7" x14ac:dyDescent="0.15">
      <c r="B124">
        <v>2025</v>
      </c>
      <c r="C124">
        <v>3</v>
      </c>
      <c r="D124" t="s">
        <v>64</v>
      </c>
      <c r="E124" t="s">
        <v>65</v>
      </c>
      <c r="F124" t="s">
        <v>88</v>
      </c>
      <c r="G124" s="56">
        <v>1390000</v>
      </c>
    </row>
    <row r="125" spans="2:7" x14ac:dyDescent="0.15">
      <c r="B125">
        <v>2025</v>
      </c>
      <c r="C125">
        <v>3</v>
      </c>
      <c r="D125" t="s">
        <v>64</v>
      </c>
      <c r="E125" t="s">
        <v>65</v>
      </c>
      <c r="F125" t="s">
        <v>93</v>
      </c>
      <c r="G125" s="56">
        <v>773000</v>
      </c>
    </row>
    <row r="126" spans="2:7" x14ac:dyDescent="0.15">
      <c r="B126">
        <v>2025</v>
      </c>
      <c r="C126">
        <v>3</v>
      </c>
      <c r="D126" t="s">
        <v>64</v>
      </c>
      <c r="E126" t="s">
        <v>96</v>
      </c>
      <c r="F126" t="s">
        <v>55</v>
      </c>
      <c r="G126" s="56">
        <v>2224000</v>
      </c>
    </row>
    <row r="127" spans="2:7" x14ac:dyDescent="0.15">
      <c r="B127">
        <v>2025</v>
      </c>
      <c r="C127">
        <v>3</v>
      </c>
      <c r="D127" t="s">
        <v>64</v>
      </c>
      <c r="E127" t="s">
        <v>96</v>
      </c>
      <c r="F127" t="s">
        <v>62</v>
      </c>
      <c r="G127" s="56">
        <v>1682000</v>
      </c>
    </row>
    <row r="128" spans="2:7" x14ac:dyDescent="0.15">
      <c r="B128">
        <v>2025</v>
      </c>
      <c r="C128">
        <v>3</v>
      </c>
      <c r="D128" t="s">
        <v>64</v>
      </c>
      <c r="E128" t="s">
        <v>96</v>
      </c>
      <c r="F128" t="s">
        <v>75</v>
      </c>
      <c r="G128" s="56">
        <v>1472000</v>
      </c>
    </row>
    <row r="129" spans="2:7" x14ac:dyDescent="0.15">
      <c r="B129">
        <v>2025</v>
      </c>
      <c r="C129">
        <v>3</v>
      </c>
      <c r="D129" t="s">
        <v>64</v>
      </c>
      <c r="E129" t="s">
        <v>96</v>
      </c>
      <c r="F129" t="s">
        <v>88</v>
      </c>
      <c r="G129" s="56">
        <v>1149000</v>
      </c>
    </row>
    <row r="130" spans="2:7" x14ac:dyDescent="0.15">
      <c r="B130">
        <v>2025</v>
      </c>
      <c r="C130">
        <v>3</v>
      </c>
      <c r="D130" t="s">
        <v>64</v>
      </c>
      <c r="E130" t="s">
        <v>96</v>
      </c>
      <c r="F130" t="s">
        <v>93</v>
      </c>
      <c r="G130" s="56">
        <v>632000</v>
      </c>
    </row>
    <row r="131" spans="2:7" x14ac:dyDescent="0.15">
      <c r="B131">
        <v>2025</v>
      </c>
      <c r="C131">
        <v>3</v>
      </c>
      <c r="D131" t="s">
        <v>77</v>
      </c>
      <c r="E131" t="s">
        <v>107</v>
      </c>
      <c r="F131" t="s">
        <v>55</v>
      </c>
      <c r="G131" s="56">
        <v>1868000</v>
      </c>
    </row>
    <row r="132" spans="2:7" x14ac:dyDescent="0.15">
      <c r="B132">
        <v>2025</v>
      </c>
      <c r="C132">
        <v>3</v>
      </c>
      <c r="D132" t="s">
        <v>77</v>
      </c>
      <c r="E132" t="s">
        <v>107</v>
      </c>
      <c r="F132" t="s">
        <v>62</v>
      </c>
      <c r="G132" s="56">
        <v>1432000</v>
      </c>
    </row>
    <row r="133" spans="2:7" x14ac:dyDescent="0.15">
      <c r="B133">
        <v>2025</v>
      </c>
      <c r="C133">
        <v>3</v>
      </c>
      <c r="D133" t="s">
        <v>77</v>
      </c>
      <c r="E133" t="s">
        <v>107</v>
      </c>
      <c r="F133" t="s">
        <v>75</v>
      </c>
      <c r="G133" s="56">
        <v>1246000</v>
      </c>
    </row>
    <row r="134" spans="2:7" x14ac:dyDescent="0.15">
      <c r="B134">
        <v>2025</v>
      </c>
      <c r="C134">
        <v>3</v>
      </c>
      <c r="D134" t="s">
        <v>77</v>
      </c>
      <c r="E134" t="s">
        <v>107</v>
      </c>
      <c r="F134" t="s">
        <v>88</v>
      </c>
      <c r="G134" s="56">
        <v>967000</v>
      </c>
    </row>
    <row r="135" spans="2:7" x14ac:dyDescent="0.15">
      <c r="B135">
        <v>2025</v>
      </c>
      <c r="C135">
        <v>3</v>
      </c>
      <c r="D135" t="s">
        <v>77</v>
      </c>
      <c r="E135" t="s">
        <v>107</v>
      </c>
      <c r="F135" t="s">
        <v>93</v>
      </c>
      <c r="G135" s="56">
        <v>524000</v>
      </c>
    </row>
    <row r="136" spans="2:7" x14ac:dyDescent="0.15">
      <c r="B136">
        <v>2025</v>
      </c>
      <c r="C136">
        <v>3</v>
      </c>
      <c r="D136" t="s">
        <v>77</v>
      </c>
      <c r="E136" t="s">
        <v>78</v>
      </c>
      <c r="F136" t="s">
        <v>55</v>
      </c>
      <c r="G136" s="56">
        <v>1278000</v>
      </c>
    </row>
    <row r="137" spans="2:7" x14ac:dyDescent="0.15">
      <c r="B137">
        <v>2025</v>
      </c>
      <c r="C137">
        <v>3</v>
      </c>
      <c r="D137" t="s">
        <v>77</v>
      </c>
      <c r="E137" t="s">
        <v>78</v>
      </c>
      <c r="F137" t="s">
        <v>62</v>
      </c>
      <c r="G137" s="56">
        <v>956000</v>
      </c>
    </row>
    <row r="138" spans="2:7" x14ac:dyDescent="0.15">
      <c r="B138">
        <v>2025</v>
      </c>
      <c r="C138">
        <v>3</v>
      </c>
      <c r="D138" t="s">
        <v>77</v>
      </c>
      <c r="E138" t="s">
        <v>78</v>
      </c>
      <c r="F138" t="s">
        <v>75</v>
      </c>
      <c r="G138" s="56">
        <v>815000</v>
      </c>
    </row>
    <row r="139" spans="2:7" x14ac:dyDescent="0.15">
      <c r="B139">
        <v>2025</v>
      </c>
      <c r="C139">
        <v>3</v>
      </c>
      <c r="D139" t="s">
        <v>77</v>
      </c>
      <c r="E139" t="s">
        <v>78</v>
      </c>
      <c r="F139" t="s">
        <v>88</v>
      </c>
      <c r="G139" s="56">
        <v>652000</v>
      </c>
    </row>
    <row r="140" spans="2:7" x14ac:dyDescent="0.15">
      <c r="B140">
        <v>2025</v>
      </c>
      <c r="C140">
        <v>3</v>
      </c>
      <c r="D140" t="s">
        <v>77</v>
      </c>
      <c r="E140" t="s">
        <v>78</v>
      </c>
      <c r="F140" t="s">
        <v>93</v>
      </c>
      <c r="G140" s="56">
        <v>349000</v>
      </c>
    </row>
    <row r="141" spans="2:7" x14ac:dyDescent="0.15">
      <c r="B141">
        <v>2025</v>
      </c>
      <c r="C141">
        <v>3</v>
      </c>
      <c r="D141" t="s">
        <v>57</v>
      </c>
      <c r="E141" t="s">
        <v>81</v>
      </c>
      <c r="F141" t="s">
        <v>55</v>
      </c>
      <c r="G141" s="56">
        <v>1622000</v>
      </c>
    </row>
    <row r="142" spans="2:7" x14ac:dyDescent="0.15">
      <c r="B142">
        <v>2025</v>
      </c>
      <c r="C142">
        <v>3</v>
      </c>
      <c r="D142" t="s">
        <v>57</v>
      </c>
      <c r="E142" t="s">
        <v>81</v>
      </c>
      <c r="F142" t="s">
        <v>62</v>
      </c>
      <c r="G142" s="56">
        <v>1245000</v>
      </c>
    </row>
    <row r="143" spans="2:7" x14ac:dyDescent="0.15">
      <c r="B143">
        <v>2025</v>
      </c>
      <c r="C143">
        <v>3</v>
      </c>
      <c r="D143" t="s">
        <v>57</v>
      </c>
      <c r="E143" t="s">
        <v>81</v>
      </c>
      <c r="F143" t="s">
        <v>75</v>
      </c>
      <c r="G143" s="56">
        <v>1086000</v>
      </c>
    </row>
    <row r="144" spans="2:7" x14ac:dyDescent="0.15">
      <c r="B144">
        <v>2025</v>
      </c>
      <c r="C144">
        <v>3</v>
      </c>
      <c r="D144" t="s">
        <v>57</v>
      </c>
      <c r="E144" t="s">
        <v>81</v>
      </c>
      <c r="F144" t="s">
        <v>88</v>
      </c>
      <c r="G144" s="56">
        <v>855000</v>
      </c>
    </row>
    <row r="145" spans="2:7" x14ac:dyDescent="0.15">
      <c r="B145">
        <v>2025</v>
      </c>
      <c r="C145">
        <v>3</v>
      </c>
      <c r="D145" t="s">
        <v>57</v>
      </c>
      <c r="E145" t="s">
        <v>81</v>
      </c>
      <c r="F145" t="s">
        <v>93</v>
      </c>
      <c r="G145" s="56">
        <v>456000</v>
      </c>
    </row>
    <row r="146" spans="2:7" x14ac:dyDescent="0.15">
      <c r="B146">
        <v>2025</v>
      </c>
      <c r="C146">
        <v>3</v>
      </c>
      <c r="D146" t="s">
        <v>57</v>
      </c>
      <c r="E146" t="s">
        <v>58</v>
      </c>
      <c r="F146" t="s">
        <v>55</v>
      </c>
      <c r="G146" s="56">
        <v>988000</v>
      </c>
    </row>
    <row r="147" spans="2:7" x14ac:dyDescent="0.15">
      <c r="B147">
        <v>2025</v>
      </c>
      <c r="C147">
        <v>3</v>
      </c>
      <c r="D147" t="s">
        <v>57</v>
      </c>
      <c r="E147" t="s">
        <v>58</v>
      </c>
      <c r="F147" t="s">
        <v>62</v>
      </c>
      <c r="G147" s="56">
        <v>752000</v>
      </c>
    </row>
    <row r="148" spans="2:7" x14ac:dyDescent="0.15">
      <c r="B148">
        <v>2025</v>
      </c>
      <c r="C148">
        <v>3</v>
      </c>
      <c r="D148" t="s">
        <v>57</v>
      </c>
      <c r="E148" t="s">
        <v>58</v>
      </c>
      <c r="F148" t="s">
        <v>75</v>
      </c>
      <c r="G148" s="56">
        <v>656000</v>
      </c>
    </row>
    <row r="149" spans="2:7" x14ac:dyDescent="0.15">
      <c r="B149">
        <v>2025</v>
      </c>
      <c r="C149">
        <v>3</v>
      </c>
      <c r="D149" t="s">
        <v>57</v>
      </c>
      <c r="E149" t="s">
        <v>58</v>
      </c>
      <c r="F149" t="s">
        <v>88</v>
      </c>
      <c r="G149" s="56">
        <v>510000</v>
      </c>
    </row>
    <row r="150" spans="2:7" x14ac:dyDescent="0.15">
      <c r="B150">
        <v>2025</v>
      </c>
      <c r="C150">
        <v>3</v>
      </c>
      <c r="D150" t="s">
        <v>57</v>
      </c>
      <c r="E150" t="s">
        <v>58</v>
      </c>
      <c r="F150" t="s">
        <v>93</v>
      </c>
      <c r="G150" s="56">
        <v>280000</v>
      </c>
    </row>
    <row r="151" spans="2:7" x14ac:dyDescent="0.15">
      <c r="B151">
        <v>2025</v>
      </c>
      <c r="C151">
        <v>3</v>
      </c>
      <c r="D151" t="s">
        <v>125</v>
      </c>
      <c r="E151" t="s">
        <v>138</v>
      </c>
      <c r="F151" t="s">
        <v>55</v>
      </c>
      <c r="G151" s="56">
        <v>1202000</v>
      </c>
    </row>
    <row r="152" spans="2:7" x14ac:dyDescent="0.15">
      <c r="B152">
        <v>2025</v>
      </c>
      <c r="C152">
        <v>3</v>
      </c>
      <c r="D152" t="s">
        <v>125</v>
      </c>
      <c r="E152" t="s">
        <v>138</v>
      </c>
      <c r="F152" t="s">
        <v>62</v>
      </c>
      <c r="G152" s="56">
        <v>904000</v>
      </c>
    </row>
    <row r="153" spans="2:7" x14ac:dyDescent="0.15">
      <c r="B153">
        <v>2025</v>
      </c>
      <c r="C153">
        <v>3</v>
      </c>
      <c r="D153" t="s">
        <v>125</v>
      </c>
      <c r="E153" t="s">
        <v>138</v>
      </c>
      <c r="F153" t="s">
        <v>75</v>
      </c>
      <c r="G153" s="56">
        <v>797000</v>
      </c>
    </row>
    <row r="154" spans="2:7" x14ac:dyDescent="0.15">
      <c r="B154">
        <v>2025</v>
      </c>
      <c r="C154">
        <v>3</v>
      </c>
      <c r="D154" t="s">
        <v>125</v>
      </c>
      <c r="E154" t="s">
        <v>138</v>
      </c>
      <c r="F154" t="s">
        <v>88</v>
      </c>
      <c r="G154" s="56">
        <v>612000</v>
      </c>
    </row>
    <row r="155" spans="2:7" x14ac:dyDescent="0.15">
      <c r="B155">
        <v>2025</v>
      </c>
      <c r="C155">
        <v>3</v>
      </c>
      <c r="D155" t="s">
        <v>125</v>
      </c>
      <c r="E155" t="s">
        <v>138</v>
      </c>
      <c r="F155" t="s">
        <v>93</v>
      </c>
      <c r="G155" s="56">
        <v>333000</v>
      </c>
    </row>
    <row r="156" spans="2:7" x14ac:dyDescent="0.15">
      <c r="B156">
        <v>2025</v>
      </c>
      <c r="C156">
        <v>3</v>
      </c>
      <c r="D156" t="s">
        <v>125</v>
      </c>
      <c r="E156" t="s">
        <v>126</v>
      </c>
      <c r="F156" t="s">
        <v>55</v>
      </c>
      <c r="G156" s="56">
        <v>659000</v>
      </c>
    </row>
    <row r="157" spans="2:7" x14ac:dyDescent="0.15">
      <c r="B157">
        <v>2025</v>
      </c>
      <c r="C157">
        <v>3</v>
      </c>
      <c r="D157" t="s">
        <v>125</v>
      </c>
      <c r="E157" t="s">
        <v>126</v>
      </c>
      <c r="F157" t="s">
        <v>62</v>
      </c>
      <c r="G157" s="56">
        <v>487000</v>
      </c>
    </row>
    <row r="158" spans="2:7" x14ac:dyDescent="0.15">
      <c r="B158">
        <v>2025</v>
      </c>
      <c r="C158">
        <v>3</v>
      </c>
      <c r="D158" t="s">
        <v>125</v>
      </c>
      <c r="E158" t="s">
        <v>126</v>
      </c>
      <c r="F158" t="s">
        <v>75</v>
      </c>
      <c r="G158" s="56">
        <v>427000</v>
      </c>
    </row>
    <row r="159" spans="2:7" x14ac:dyDescent="0.15">
      <c r="B159">
        <v>2025</v>
      </c>
      <c r="C159">
        <v>3</v>
      </c>
      <c r="D159" t="s">
        <v>125</v>
      </c>
      <c r="E159" t="s">
        <v>126</v>
      </c>
      <c r="F159" t="s">
        <v>88</v>
      </c>
      <c r="G159" s="56">
        <v>342000</v>
      </c>
    </row>
    <row r="160" spans="2:7" x14ac:dyDescent="0.15">
      <c r="B160">
        <v>2025</v>
      </c>
      <c r="C160">
        <v>3</v>
      </c>
      <c r="D160" t="s">
        <v>125</v>
      </c>
      <c r="E160" t="s">
        <v>126</v>
      </c>
      <c r="F160" t="s">
        <v>93</v>
      </c>
      <c r="G160" s="56">
        <v>183000</v>
      </c>
    </row>
    <row r="161" spans="2:7" x14ac:dyDescent="0.15">
      <c r="B161">
        <v>2025</v>
      </c>
      <c r="C161">
        <v>3</v>
      </c>
      <c r="D161" t="s">
        <v>70</v>
      </c>
      <c r="E161" t="s">
        <v>84</v>
      </c>
      <c r="F161" t="s">
        <v>55</v>
      </c>
      <c r="G161" s="56">
        <v>1129000</v>
      </c>
    </row>
    <row r="162" spans="2:7" x14ac:dyDescent="0.15">
      <c r="B162">
        <v>2025</v>
      </c>
      <c r="C162">
        <v>3</v>
      </c>
      <c r="D162" t="s">
        <v>70</v>
      </c>
      <c r="E162" t="s">
        <v>84</v>
      </c>
      <c r="F162" t="s">
        <v>62</v>
      </c>
      <c r="G162" s="56">
        <v>834000</v>
      </c>
    </row>
    <row r="163" spans="2:7" x14ac:dyDescent="0.15">
      <c r="B163">
        <v>2025</v>
      </c>
      <c r="C163">
        <v>3</v>
      </c>
      <c r="D163" t="s">
        <v>70</v>
      </c>
      <c r="E163" t="s">
        <v>84</v>
      </c>
      <c r="F163" t="s">
        <v>75</v>
      </c>
      <c r="G163" s="56">
        <v>745000</v>
      </c>
    </row>
    <row r="164" spans="2:7" x14ac:dyDescent="0.15">
      <c r="B164">
        <v>2025</v>
      </c>
      <c r="C164">
        <v>3</v>
      </c>
      <c r="D164" t="s">
        <v>70</v>
      </c>
      <c r="E164" t="s">
        <v>84</v>
      </c>
      <c r="F164" t="s">
        <v>88</v>
      </c>
      <c r="G164" s="56">
        <v>565000</v>
      </c>
    </row>
    <row r="165" spans="2:7" x14ac:dyDescent="0.15">
      <c r="B165">
        <v>2025</v>
      </c>
      <c r="C165">
        <v>3</v>
      </c>
      <c r="D165" t="s">
        <v>70</v>
      </c>
      <c r="E165" t="s">
        <v>84</v>
      </c>
      <c r="F165" t="s">
        <v>93</v>
      </c>
      <c r="G165" s="56">
        <v>318000</v>
      </c>
    </row>
    <row r="166" spans="2:7" x14ac:dyDescent="0.15">
      <c r="B166">
        <v>2025</v>
      </c>
      <c r="C166">
        <v>3</v>
      </c>
      <c r="D166" t="s">
        <v>70</v>
      </c>
      <c r="E166" t="s">
        <v>71</v>
      </c>
      <c r="F166" t="s">
        <v>55</v>
      </c>
      <c r="G166" s="56">
        <v>826000</v>
      </c>
    </row>
    <row r="167" spans="2:7" x14ac:dyDescent="0.15">
      <c r="B167">
        <v>2025</v>
      </c>
      <c r="C167">
        <v>3</v>
      </c>
      <c r="D167" t="s">
        <v>70</v>
      </c>
      <c r="E167" t="s">
        <v>71</v>
      </c>
      <c r="F167" t="s">
        <v>62</v>
      </c>
      <c r="G167" s="56">
        <v>625000</v>
      </c>
    </row>
    <row r="168" spans="2:7" x14ac:dyDescent="0.15">
      <c r="B168">
        <v>2025</v>
      </c>
      <c r="C168">
        <v>3</v>
      </c>
      <c r="D168" t="s">
        <v>70</v>
      </c>
      <c r="E168" t="s">
        <v>71</v>
      </c>
      <c r="F168" t="s">
        <v>75</v>
      </c>
      <c r="G168" s="56">
        <v>538000</v>
      </c>
    </row>
    <row r="169" spans="2:7" x14ac:dyDescent="0.15">
      <c r="B169">
        <v>2025</v>
      </c>
      <c r="C169">
        <v>3</v>
      </c>
      <c r="D169" t="s">
        <v>70</v>
      </c>
      <c r="E169" t="s">
        <v>71</v>
      </c>
      <c r="F169" t="s">
        <v>88</v>
      </c>
      <c r="G169" s="56">
        <v>414000</v>
      </c>
    </row>
    <row r="170" spans="2:7" x14ac:dyDescent="0.15">
      <c r="B170">
        <v>2025</v>
      </c>
      <c r="C170">
        <v>3</v>
      </c>
      <c r="D170" t="s">
        <v>70</v>
      </c>
      <c r="E170" t="s">
        <v>71</v>
      </c>
      <c r="F170" t="s">
        <v>93</v>
      </c>
      <c r="G170" s="56">
        <v>223000</v>
      </c>
    </row>
    <row r="171" spans="2:7" x14ac:dyDescent="0.15">
      <c r="B171">
        <v>2025</v>
      </c>
      <c r="C171">
        <v>4</v>
      </c>
      <c r="D171" t="s">
        <v>64</v>
      </c>
      <c r="E171" t="s">
        <v>65</v>
      </c>
      <c r="F171" t="s">
        <v>55</v>
      </c>
      <c r="G171" s="56">
        <v>2687000</v>
      </c>
    </row>
    <row r="172" spans="2:7" x14ac:dyDescent="0.15">
      <c r="B172">
        <v>2025</v>
      </c>
      <c r="C172">
        <v>4</v>
      </c>
      <c r="D172" t="s">
        <v>64</v>
      </c>
      <c r="E172" t="s">
        <v>65</v>
      </c>
      <c r="F172" t="s">
        <v>62</v>
      </c>
      <c r="G172" s="56">
        <v>1985000</v>
      </c>
    </row>
    <row r="173" spans="2:7" x14ac:dyDescent="0.15">
      <c r="B173">
        <v>2025</v>
      </c>
      <c r="C173">
        <v>4</v>
      </c>
      <c r="D173" t="s">
        <v>64</v>
      </c>
      <c r="E173" t="s">
        <v>65</v>
      </c>
      <c r="F173" t="s">
        <v>75</v>
      </c>
      <c r="G173" s="56">
        <v>1734000</v>
      </c>
    </row>
    <row r="174" spans="2:7" x14ac:dyDescent="0.15">
      <c r="B174">
        <v>2025</v>
      </c>
      <c r="C174">
        <v>4</v>
      </c>
      <c r="D174" t="s">
        <v>64</v>
      </c>
      <c r="E174" t="s">
        <v>65</v>
      </c>
      <c r="F174" t="s">
        <v>88</v>
      </c>
      <c r="G174" s="56">
        <v>1382000</v>
      </c>
    </row>
    <row r="175" spans="2:7" x14ac:dyDescent="0.15">
      <c r="B175">
        <v>2025</v>
      </c>
      <c r="C175">
        <v>4</v>
      </c>
      <c r="D175" t="s">
        <v>64</v>
      </c>
      <c r="E175" t="s">
        <v>65</v>
      </c>
      <c r="F175" t="s">
        <v>93</v>
      </c>
      <c r="G175" s="56">
        <v>759000</v>
      </c>
    </row>
    <row r="176" spans="2:7" x14ac:dyDescent="0.15">
      <c r="B176">
        <v>2025</v>
      </c>
      <c r="C176">
        <v>4</v>
      </c>
      <c r="D176" t="s">
        <v>64</v>
      </c>
      <c r="E176" t="s">
        <v>96</v>
      </c>
      <c r="F176" t="s">
        <v>55</v>
      </c>
      <c r="G176" s="56">
        <v>2235000</v>
      </c>
    </row>
    <row r="177" spans="2:7" x14ac:dyDescent="0.15">
      <c r="B177">
        <v>2025</v>
      </c>
      <c r="C177">
        <v>4</v>
      </c>
      <c r="D177" t="s">
        <v>64</v>
      </c>
      <c r="E177" t="s">
        <v>96</v>
      </c>
      <c r="F177" t="s">
        <v>62</v>
      </c>
      <c r="G177" s="56">
        <v>1680000</v>
      </c>
    </row>
    <row r="178" spans="2:7" x14ac:dyDescent="0.15">
      <c r="B178">
        <v>2025</v>
      </c>
      <c r="C178">
        <v>4</v>
      </c>
      <c r="D178" t="s">
        <v>64</v>
      </c>
      <c r="E178" t="s">
        <v>96</v>
      </c>
      <c r="F178" t="s">
        <v>75</v>
      </c>
      <c r="G178" s="56">
        <v>1410000</v>
      </c>
    </row>
    <row r="179" spans="2:7" x14ac:dyDescent="0.15">
      <c r="B179">
        <v>2025</v>
      </c>
      <c r="C179">
        <v>4</v>
      </c>
      <c r="D179" t="s">
        <v>64</v>
      </c>
      <c r="E179" t="s">
        <v>96</v>
      </c>
      <c r="F179" t="s">
        <v>88</v>
      </c>
      <c r="G179" s="56">
        <v>1125000</v>
      </c>
    </row>
    <row r="180" spans="2:7" x14ac:dyDescent="0.15">
      <c r="B180">
        <v>2025</v>
      </c>
      <c r="C180">
        <v>4</v>
      </c>
      <c r="D180" t="s">
        <v>64</v>
      </c>
      <c r="E180" t="s">
        <v>96</v>
      </c>
      <c r="F180" t="s">
        <v>93</v>
      </c>
      <c r="G180" s="56">
        <v>618000</v>
      </c>
    </row>
    <row r="181" spans="2:7" x14ac:dyDescent="0.15">
      <c r="B181">
        <v>2025</v>
      </c>
      <c r="C181">
        <v>4</v>
      </c>
      <c r="D181" t="s">
        <v>77</v>
      </c>
      <c r="E181" t="s">
        <v>107</v>
      </c>
      <c r="F181" t="s">
        <v>55</v>
      </c>
      <c r="G181" s="56">
        <v>1870000</v>
      </c>
    </row>
    <row r="182" spans="2:7" x14ac:dyDescent="0.15">
      <c r="B182">
        <v>2025</v>
      </c>
      <c r="C182">
        <v>4</v>
      </c>
      <c r="D182" t="s">
        <v>77</v>
      </c>
      <c r="E182" t="s">
        <v>107</v>
      </c>
      <c r="F182" t="s">
        <v>62</v>
      </c>
      <c r="G182" s="56">
        <v>1384000</v>
      </c>
    </row>
    <row r="183" spans="2:7" x14ac:dyDescent="0.15">
      <c r="B183">
        <v>2025</v>
      </c>
      <c r="C183">
        <v>4</v>
      </c>
      <c r="D183" t="s">
        <v>77</v>
      </c>
      <c r="E183" t="s">
        <v>107</v>
      </c>
      <c r="F183" t="s">
        <v>75</v>
      </c>
      <c r="G183" s="56">
        <v>1205000</v>
      </c>
    </row>
    <row r="184" spans="2:7" x14ac:dyDescent="0.15">
      <c r="B184">
        <v>2025</v>
      </c>
      <c r="C184">
        <v>4</v>
      </c>
      <c r="D184" t="s">
        <v>77</v>
      </c>
      <c r="E184" t="s">
        <v>107</v>
      </c>
      <c r="F184" t="s">
        <v>88</v>
      </c>
      <c r="G184" s="56">
        <v>929000</v>
      </c>
    </row>
    <row r="185" spans="2:7" x14ac:dyDescent="0.15">
      <c r="B185">
        <v>2025</v>
      </c>
      <c r="C185">
        <v>4</v>
      </c>
      <c r="D185" t="s">
        <v>77</v>
      </c>
      <c r="E185" t="s">
        <v>107</v>
      </c>
      <c r="F185" t="s">
        <v>93</v>
      </c>
      <c r="G185" s="56">
        <v>521000</v>
      </c>
    </row>
    <row r="186" spans="2:7" x14ac:dyDescent="0.15">
      <c r="B186">
        <v>2025</v>
      </c>
      <c r="C186">
        <v>4</v>
      </c>
      <c r="D186" t="s">
        <v>77</v>
      </c>
      <c r="E186" t="s">
        <v>78</v>
      </c>
      <c r="F186" t="s">
        <v>55</v>
      </c>
      <c r="G186" s="56">
        <v>1255000</v>
      </c>
    </row>
    <row r="187" spans="2:7" x14ac:dyDescent="0.15">
      <c r="B187">
        <v>2025</v>
      </c>
      <c r="C187">
        <v>4</v>
      </c>
      <c r="D187" t="s">
        <v>77</v>
      </c>
      <c r="E187" t="s">
        <v>78</v>
      </c>
      <c r="F187" t="s">
        <v>62</v>
      </c>
      <c r="G187" s="56">
        <v>917000</v>
      </c>
    </row>
    <row r="188" spans="2:7" x14ac:dyDescent="0.15">
      <c r="B188">
        <v>2025</v>
      </c>
      <c r="C188">
        <v>4</v>
      </c>
      <c r="D188" t="s">
        <v>77</v>
      </c>
      <c r="E188" t="s">
        <v>78</v>
      </c>
      <c r="F188" t="s">
        <v>75</v>
      </c>
      <c r="G188" s="56">
        <v>803000</v>
      </c>
    </row>
    <row r="189" spans="2:7" x14ac:dyDescent="0.15">
      <c r="B189">
        <v>2025</v>
      </c>
      <c r="C189">
        <v>4</v>
      </c>
      <c r="D189" t="s">
        <v>77</v>
      </c>
      <c r="E189" t="s">
        <v>78</v>
      </c>
      <c r="F189" t="s">
        <v>88</v>
      </c>
      <c r="G189" s="56">
        <v>632000</v>
      </c>
    </row>
    <row r="190" spans="2:7" x14ac:dyDescent="0.15">
      <c r="B190">
        <v>2025</v>
      </c>
      <c r="C190">
        <v>4</v>
      </c>
      <c r="D190" t="s">
        <v>77</v>
      </c>
      <c r="E190" t="s">
        <v>78</v>
      </c>
      <c r="F190" t="s">
        <v>93</v>
      </c>
      <c r="G190" s="56">
        <v>348000</v>
      </c>
    </row>
    <row r="191" spans="2:7" x14ac:dyDescent="0.15">
      <c r="B191">
        <v>2025</v>
      </c>
      <c r="C191">
        <v>4</v>
      </c>
      <c r="D191" t="s">
        <v>57</v>
      </c>
      <c r="E191" t="s">
        <v>81</v>
      </c>
      <c r="F191" t="s">
        <v>55</v>
      </c>
      <c r="G191" s="56">
        <v>1614000</v>
      </c>
    </row>
    <row r="192" spans="2:7" x14ac:dyDescent="0.15">
      <c r="B192">
        <v>2025</v>
      </c>
      <c r="C192">
        <v>4</v>
      </c>
      <c r="D192" t="s">
        <v>57</v>
      </c>
      <c r="E192" t="s">
        <v>81</v>
      </c>
      <c r="F192" t="s">
        <v>62</v>
      </c>
      <c r="G192" s="56">
        <v>1196000</v>
      </c>
    </row>
    <row r="193" spans="2:7" x14ac:dyDescent="0.15">
      <c r="B193">
        <v>2025</v>
      </c>
      <c r="C193">
        <v>4</v>
      </c>
      <c r="D193" t="s">
        <v>57</v>
      </c>
      <c r="E193" t="s">
        <v>81</v>
      </c>
      <c r="F193" t="s">
        <v>75</v>
      </c>
      <c r="G193" s="56">
        <v>1017000</v>
      </c>
    </row>
    <row r="194" spans="2:7" x14ac:dyDescent="0.15">
      <c r="B194">
        <v>2025</v>
      </c>
      <c r="C194">
        <v>4</v>
      </c>
      <c r="D194" t="s">
        <v>57</v>
      </c>
      <c r="E194" t="s">
        <v>81</v>
      </c>
      <c r="F194" t="s">
        <v>88</v>
      </c>
      <c r="G194" s="56">
        <v>826000</v>
      </c>
    </row>
    <row r="195" spans="2:7" x14ac:dyDescent="0.15">
      <c r="B195">
        <v>2025</v>
      </c>
      <c r="C195">
        <v>4</v>
      </c>
      <c r="D195" t="s">
        <v>57</v>
      </c>
      <c r="E195" t="s">
        <v>81</v>
      </c>
      <c r="F195" t="s">
        <v>93</v>
      </c>
      <c r="G195" s="56">
        <v>440000</v>
      </c>
    </row>
    <row r="196" spans="2:7" x14ac:dyDescent="0.15">
      <c r="B196">
        <v>2025</v>
      </c>
      <c r="C196">
        <v>4</v>
      </c>
      <c r="D196" t="s">
        <v>57</v>
      </c>
      <c r="E196" t="s">
        <v>58</v>
      </c>
      <c r="F196" t="s">
        <v>55</v>
      </c>
      <c r="G196" s="56">
        <v>1008000</v>
      </c>
    </row>
    <row r="197" spans="2:7" x14ac:dyDescent="0.15">
      <c r="B197">
        <v>2025</v>
      </c>
      <c r="C197">
        <v>4</v>
      </c>
      <c r="D197" t="s">
        <v>57</v>
      </c>
      <c r="E197" t="s">
        <v>58</v>
      </c>
      <c r="F197" t="s">
        <v>62</v>
      </c>
      <c r="G197" s="56">
        <v>721000</v>
      </c>
    </row>
    <row r="198" spans="2:7" x14ac:dyDescent="0.15">
      <c r="B198">
        <v>2025</v>
      </c>
      <c r="C198">
        <v>4</v>
      </c>
      <c r="D198" t="s">
        <v>57</v>
      </c>
      <c r="E198" t="s">
        <v>58</v>
      </c>
      <c r="F198" t="s">
        <v>75</v>
      </c>
      <c r="G198" s="56">
        <v>646000</v>
      </c>
    </row>
    <row r="199" spans="2:7" x14ac:dyDescent="0.15">
      <c r="B199">
        <v>2025</v>
      </c>
      <c r="C199">
        <v>4</v>
      </c>
      <c r="D199" t="s">
        <v>57</v>
      </c>
      <c r="E199" t="s">
        <v>58</v>
      </c>
      <c r="F199" t="s">
        <v>88</v>
      </c>
      <c r="G199" s="56">
        <v>493000</v>
      </c>
    </row>
    <row r="200" spans="2:7" x14ac:dyDescent="0.15">
      <c r="B200">
        <v>2025</v>
      </c>
      <c r="C200">
        <v>4</v>
      </c>
      <c r="D200" t="s">
        <v>57</v>
      </c>
      <c r="E200" t="s">
        <v>58</v>
      </c>
      <c r="F200" t="s">
        <v>93</v>
      </c>
      <c r="G200" s="56">
        <v>277000</v>
      </c>
    </row>
    <row r="201" spans="2:7" x14ac:dyDescent="0.15">
      <c r="B201">
        <v>2025</v>
      </c>
      <c r="C201">
        <v>4</v>
      </c>
      <c r="D201" t="s">
        <v>125</v>
      </c>
      <c r="E201" t="s">
        <v>138</v>
      </c>
      <c r="F201" t="s">
        <v>55</v>
      </c>
      <c r="G201" s="56">
        <v>1178000</v>
      </c>
    </row>
    <row r="202" spans="2:7" x14ac:dyDescent="0.15">
      <c r="B202">
        <v>2025</v>
      </c>
      <c r="C202">
        <v>4</v>
      </c>
      <c r="D202" t="s">
        <v>125</v>
      </c>
      <c r="E202" t="s">
        <v>138</v>
      </c>
      <c r="F202" t="s">
        <v>62</v>
      </c>
      <c r="G202" s="56">
        <v>882000</v>
      </c>
    </row>
    <row r="203" spans="2:7" x14ac:dyDescent="0.15">
      <c r="B203">
        <v>2025</v>
      </c>
      <c r="C203">
        <v>4</v>
      </c>
      <c r="D203" t="s">
        <v>125</v>
      </c>
      <c r="E203" t="s">
        <v>138</v>
      </c>
      <c r="F203" t="s">
        <v>75</v>
      </c>
      <c r="G203" s="56">
        <v>763000</v>
      </c>
    </row>
    <row r="204" spans="2:7" x14ac:dyDescent="0.15">
      <c r="B204">
        <v>2025</v>
      </c>
      <c r="C204">
        <v>4</v>
      </c>
      <c r="D204" t="s">
        <v>125</v>
      </c>
      <c r="E204" t="s">
        <v>138</v>
      </c>
      <c r="F204" t="s">
        <v>88</v>
      </c>
      <c r="G204" s="56">
        <v>600000</v>
      </c>
    </row>
    <row r="205" spans="2:7" x14ac:dyDescent="0.15">
      <c r="B205">
        <v>2025</v>
      </c>
      <c r="C205">
        <v>4</v>
      </c>
      <c r="D205" t="s">
        <v>125</v>
      </c>
      <c r="E205" t="s">
        <v>138</v>
      </c>
      <c r="F205" t="s">
        <v>93</v>
      </c>
      <c r="G205" s="56">
        <v>325000</v>
      </c>
    </row>
    <row r="206" spans="2:7" x14ac:dyDescent="0.15">
      <c r="B206">
        <v>2025</v>
      </c>
      <c r="C206">
        <v>4</v>
      </c>
      <c r="D206" t="s">
        <v>125</v>
      </c>
      <c r="E206" t="s">
        <v>126</v>
      </c>
      <c r="F206" t="s">
        <v>55</v>
      </c>
      <c r="G206" s="56">
        <v>632000</v>
      </c>
    </row>
    <row r="207" spans="2:7" x14ac:dyDescent="0.15">
      <c r="B207">
        <v>2025</v>
      </c>
      <c r="C207">
        <v>4</v>
      </c>
      <c r="D207" t="s">
        <v>125</v>
      </c>
      <c r="E207" t="s">
        <v>126</v>
      </c>
      <c r="F207" t="s">
        <v>62</v>
      </c>
      <c r="G207" s="56">
        <v>484000</v>
      </c>
    </row>
    <row r="208" spans="2:7" x14ac:dyDescent="0.15">
      <c r="B208">
        <v>2025</v>
      </c>
      <c r="C208">
        <v>4</v>
      </c>
      <c r="D208" t="s">
        <v>125</v>
      </c>
      <c r="E208" t="s">
        <v>126</v>
      </c>
      <c r="F208" t="s">
        <v>75</v>
      </c>
      <c r="G208" s="56">
        <v>414000</v>
      </c>
    </row>
    <row r="209" spans="2:7" x14ac:dyDescent="0.15">
      <c r="B209">
        <v>2025</v>
      </c>
      <c r="C209">
        <v>4</v>
      </c>
      <c r="D209" t="s">
        <v>125</v>
      </c>
      <c r="E209" t="s">
        <v>126</v>
      </c>
      <c r="F209" t="s">
        <v>88</v>
      </c>
      <c r="G209" s="56">
        <v>318000</v>
      </c>
    </row>
    <row r="210" spans="2:7" x14ac:dyDescent="0.15">
      <c r="B210">
        <v>2025</v>
      </c>
      <c r="C210">
        <v>4</v>
      </c>
      <c r="D210" t="s">
        <v>125</v>
      </c>
      <c r="E210" t="s">
        <v>126</v>
      </c>
      <c r="F210" t="s">
        <v>93</v>
      </c>
      <c r="G210" s="56">
        <v>180000</v>
      </c>
    </row>
    <row r="211" spans="2:7" x14ac:dyDescent="0.15">
      <c r="B211">
        <v>2025</v>
      </c>
      <c r="C211">
        <v>4</v>
      </c>
      <c r="D211" t="s">
        <v>70</v>
      </c>
      <c r="E211" t="s">
        <v>84</v>
      </c>
      <c r="F211" t="s">
        <v>55</v>
      </c>
      <c r="G211" s="56">
        <v>1114000</v>
      </c>
    </row>
    <row r="212" spans="2:7" x14ac:dyDescent="0.15">
      <c r="B212">
        <v>2025</v>
      </c>
      <c r="C212">
        <v>4</v>
      </c>
      <c r="D212" t="s">
        <v>70</v>
      </c>
      <c r="E212" t="s">
        <v>84</v>
      </c>
      <c r="F212" t="s">
        <v>62</v>
      </c>
      <c r="G212" s="56">
        <v>805000</v>
      </c>
    </row>
    <row r="213" spans="2:7" x14ac:dyDescent="0.15">
      <c r="B213">
        <v>2025</v>
      </c>
      <c r="C213">
        <v>4</v>
      </c>
      <c r="D213" t="s">
        <v>70</v>
      </c>
      <c r="E213" t="s">
        <v>84</v>
      </c>
      <c r="F213" t="s">
        <v>75</v>
      </c>
      <c r="G213" s="56">
        <v>691000</v>
      </c>
    </row>
    <row r="214" spans="2:7" x14ac:dyDescent="0.15">
      <c r="B214">
        <v>2025</v>
      </c>
      <c r="C214">
        <v>4</v>
      </c>
      <c r="D214" t="s">
        <v>70</v>
      </c>
      <c r="E214" t="s">
        <v>84</v>
      </c>
      <c r="F214" t="s">
        <v>88</v>
      </c>
      <c r="G214" s="56">
        <v>543000</v>
      </c>
    </row>
    <row r="215" spans="2:7" x14ac:dyDescent="0.15">
      <c r="B215">
        <v>2025</v>
      </c>
      <c r="C215">
        <v>4</v>
      </c>
      <c r="D215" t="s">
        <v>70</v>
      </c>
      <c r="E215" t="s">
        <v>84</v>
      </c>
      <c r="F215" t="s">
        <v>93</v>
      </c>
      <c r="G215" s="56">
        <v>304000</v>
      </c>
    </row>
    <row r="216" spans="2:7" x14ac:dyDescent="0.15">
      <c r="B216">
        <v>2025</v>
      </c>
      <c r="C216">
        <v>4</v>
      </c>
      <c r="D216" t="s">
        <v>70</v>
      </c>
      <c r="E216" t="s">
        <v>71</v>
      </c>
      <c r="F216" t="s">
        <v>55</v>
      </c>
      <c r="G216" s="56">
        <v>795000</v>
      </c>
    </row>
    <row r="217" spans="2:7" x14ac:dyDescent="0.15">
      <c r="B217">
        <v>2025</v>
      </c>
      <c r="C217">
        <v>4</v>
      </c>
      <c r="D217" t="s">
        <v>70</v>
      </c>
      <c r="E217" t="s">
        <v>71</v>
      </c>
      <c r="F217" t="s">
        <v>62</v>
      </c>
      <c r="G217" s="56">
        <v>578000</v>
      </c>
    </row>
    <row r="218" spans="2:7" x14ac:dyDescent="0.15">
      <c r="B218">
        <v>2025</v>
      </c>
      <c r="C218">
        <v>4</v>
      </c>
      <c r="D218" t="s">
        <v>70</v>
      </c>
      <c r="E218" t="s">
        <v>71</v>
      </c>
      <c r="F218" t="s">
        <v>75</v>
      </c>
      <c r="G218" s="56">
        <v>508000</v>
      </c>
    </row>
    <row r="219" spans="2:7" x14ac:dyDescent="0.15">
      <c r="B219">
        <v>2025</v>
      </c>
      <c r="C219">
        <v>4</v>
      </c>
      <c r="D219" t="s">
        <v>70</v>
      </c>
      <c r="E219" t="s">
        <v>71</v>
      </c>
      <c r="F219" t="s">
        <v>88</v>
      </c>
      <c r="G219" s="56">
        <v>402000</v>
      </c>
    </row>
    <row r="220" spans="2:7" x14ac:dyDescent="0.15">
      <c r="B220">
        <v>2025</v>
      </c>
      <c r="C220">
        <v>4</v>
      </c>
      <c r="D220" t="s">
        <v>70</v>
      </c>
      <c r="E220" t="s">
        <v>71</v>
      </c>
      <c r="F220" t="s">
        <v>93</v>
      </c>
      <c r="G220" s="56">
        <v>215000</v>
      </c>
    </row>
    <row r="221" spans="2:7" x14ac:dyDescent="0.15">
      <c r="B221">
        <v>2025</v>
      </c>
      <c r="C221">
        <v>5</v>
      </c>
      <c r="D221" t="s">
        <v>64</v>
      </c>
      <c r="E221" t="s">
        <v>65</v>
      </c>
      <c r="F221" t="s">
        <v>55</v>
      </c>
      <c r="G221" s="56">
        <v>3043000</v>
      </c>
    </row>
    <row r="222" spans="2:7" x14ac:dyDescent="0.15">
      <c r="B222">
        <v>2025</v>
      </c>
      <c r="C222">
        <v>5</v>
      </c>
      <c r="D222" t="s">
        <v>64</v>
      </c>
      <c r="E222" t="s">
        <v>65</v>
      </c>
      <c r="F222" t="s">
        <v>62</v>
      </c>
      <c r="G222" s="56">
        <v>2202000</v>
      </c>
    </row>
    <row r="223" spans="2:7" x14ac:dyDescent="0.15">
      <c r="B223">
        <v>2025</v>
      </c>
      <c r="C223">
        <v>5</v>
      </c>
      <c r="D223" t="s">
        <v>64</v>
      </c>
      <c r="E223" t="s">
        <v>65</v>
      </c>
      <c r="F223" t="s">
        <v>75</v>
      </c>
      <c r="G223" s="56">
        <v>1910000</v>
      </c>
    </row>
    <row r="224" spans="2:7" x14ac:dyDescent="0.15">
      <c r="B224">
        <v>2025</v>
      </c>
      <c r="C224">
        <v>5</v>
      </c>
      <c r="D224" t="s">
        <v>64</v>
      </c>
      <c r="E224" t="s">
        <v>65</v>
      </c>
      <c r="F224" t="s">
        <v>88</v>
      </c>
      <c r="G224" s="56">
        <v>1745000</v>
      </c>
    </row>
    <row r="225" spans="2:7" x14ac:dyDescent="0.15">
      <c r="B225">
        <v>2025</v>
      </c>
      <c r="C225">
        <v>5</v>
      </c>
      <c r="D225" t="s">
        <v>64</v>
      </c>
      <c r="E225" t="s">
        <v>65</v>
      </c>
      <c r="F225" t="s">
        <v>93</v>
      </c>
      <c r="G225" s="56">
        <v>817000</v>
      </c>
    </row>
    <row r="226" spans="2:7" x14ac:dyDescent="0.15">
      <c r="B226">
        <v>2025</v>
      </c>
      <c r="C226">
        <v>5</v>
      </c>
      <c r="D226" t="s">
        <v>64</v>
      </c>
      <c r="E226" t="s">
        <v>96</v>
      </c>
      <c r="F226" t="s">
        <v>55</v>
      </c>
      <c r="G226" s="56">
        <v>2490000</v>
      </c>
    </row>
    <row r="227" spans="2:7" x14ac:dyDescent="0.15">
      <c r="B227">
        <v>2025</v>
      </c>
      <c r="C227">
        <v>5</v>
      </c>
      <c r="D227" t="s">
        <v>64</v>
      </c>
      <c r="E227" t="s">
        <v>96</v>
      </c>
      <c r="F227" t="s">
        <v>62</v>
      </c>
      <c r="G227" s="56">
        <v>1768000</v>
      </c>
    </row>
    <row r="228" spans="2:7" x14ac:dyDescent="0.15">
      <c r="B228">
        <v>2025</v>
      </c>
      <c r="C228">
        <v>5</v>
      </c>
      <c r="D228" t="s">
        <v>64</v>
      </c>
      <c r="E228" t="s">
        <v>96</v>
      </c>
      <c r="F228" t="s">
        <v>75</v>
      </c>
      <c r="G228" s="56">
        <v>1547000</v>
      </c>
    </row>
    <row r="229" spans="2:7" x14ac:dyDescent="0.15">
      <c r="B229">
        <v>2025</v>
      </c>
      <c r="C229">
        <v>5</v>
      </c>
      <c r="D229" t="s">
        <v>64</v>
      </c>
      <c r="E229" t="s">
        <v>96</v>
      </c>
      <c r="F229" t="s">
        <v>88</v>
      </c>
      <c r="G229" s="56">
        <v>1443000</v>
      </c>
    </row>
    <row r="230" spans="2:7" x14ac:dyDescent="0.15">
      <c r="B230">
        <v>2025</v>
      </c>
      <c r="C230">
        <v>5</v>
      </c>
      <c r="D230" t="s">
        <v>64</v>
      </c>
      <c r="E230" t="s">
        <v>96</v>
      </c>
      <c r="F230" t="s">
        <v>93</v>
      </c>
      <c r="G230" s="56">
        <v>665000</v>
      </c>
    </row>
    <row r="231" spans="2:7" x14ac:dyDescent="0.15">
      <c r="B231">
        <v>2025</v>
      </c>
      <c r="C231">
        <v>5</v>
      </c>
      <c r="D231" t="s">
        <v>77</v>
      </c>
      <c r="E231" t="s">
        <v>107</v>
      </c>
      <c r="F231" t="s">
        <v>55</v>
      </c>
      <c r="G231" s="56">
        <v>2076000</v>
      </c>
    </row>
    <row r="232" spans="2:7" x14ac:dyDescent="0.15">
      <c r="B232">
        <v>2025</v>
      </c>
      <c r="C232">
        <v>5</v>
      </c>
      <c r="D232" t="s">
        <v>77</v>
      </c>
      <c r="E232" t="s">
        <v>107</v>
      </c>
      <c r="F232" t="s">
        <v>62</v>
      </c>
      <c r="G232" s="56">
        <v>1517000</v>
      </c>
    </row>
    <row r="233" spans="2:7" x14ac:dyDescent="0.15">
      <c r="B233">
        <v>2025</v>
      </c>
      <c r="C233">
        <v>5</v>
      </c>
      <c r="D233" t="s">
        <v>77</v>
      </c>
      <c r="E233" t="s">
        <v>107</v>
      </c>
      <c r="F233" t="s">
        <v>75</v>
      </c>
      <c r="G233" s="56">
        <v>1294000</v>
      </c>
    </row>
    <row r="234" spans="2:7" x14ac:dyDescent="0.15">
      <c r="B234">
        <v>2025</v>
      </c>
      <c r="C234">
        <v>5</v>
      </c>
      <c r="D234" t="s">
        <v>77</v>
      </c>
      <c r="E234" t="s">
        <v>107</v>
      </c>
      <c r="F234" t="s">
        <v>88</v>
      </c>
      <c r="G234" s="56">
        <v>1228000</v>
      </c>
    </row>
    <row r="235" spans="2:7" x14ac:dyDescent="0.15">
      <c r="B235">
        <v>2025</v>
      </c>
      <c r="C235">
        <v>5</v>
      </c>
      <c r="D235" t="s">
        <v>77</v>
      </c>
      <c r="E235" t="s">
        <v>107</v>
      </c>
      <c r="F235" t="s">
        <v>93</v>
      </c>
      <c r="G235" s="56">
        <v>564000</v>
      </c>
    </row>
    <row r="236" spans="2:7" x14ac:dyDescent="0.15">
      <c r="B236">
        <v>2025</v>
      </c>
      <c r="C236">
        <v>5</v>
      </c>
      <c r="D236" t="s">
        <v>77</v>
      </c>
      <c r="E236" t="s">
        <v>78</v>
      </c>
      <c r="F236" t="s">
        <v>55</v>
      </c>
      <c r="G236" s="56">
        <v>1402000</v>
      </c>
    </row>
    <row r="237" spans="2:7" x14ac:dyDescent="0.15">
      <c r="B237">
        <v>2025</v>
      </c>
      <c r="C237">
        <v>5</v>
      </c>
      <c r="D237" t="s">
        <v>77</v>
      </c>
      <c r="E237" t="s">
        <v>78</v>
      </c>
      <c r="F237" t="s">
        <v>62</v>
      </c>
      <c r="G237" s="56">
        <v>1019000</v>
      </c>
    </row>
    <row r="238" spans="2:7" x14ac:dyDescent="0.15">
      <c r="B238">
        <v>2025</v>
      </c>
      <c r="C238">
        <v>5</v>
      </c>
      <c r="D238" t="s">
        <v>77</v>
      </c>
      <c r="E238" t="s">
        <v>78</v>
      </c>
      <c r="F238" t="s">
        <v>75</v>
      </c>
      <c r="G238" s="56">
        <v>864000</v>
      </c>
    </row>
    <row r="239" spans="2:7" x14ac:dyDescent="0.15">
      <c r="B239">
        <v>2025</v>
      </c>
      <c r="C239">
        <v>5</v>
      </c>
      <c r="D239" t="s">
        <v>77</v>
      </c>
      <c r="E239" t="s">
        <v>78</v>
      </c>
      <c r="F239" t="s">
        <v>88</v>
      </c>
      <c r="G239" s="56">
        <v>825000</v>
      </c>
    </row>
    <row r="240" spans="2:7" x14ac:dyDescent="0.15">
      <c r="B240">
        <v>2025</v>
      </c>
      <c r="C240">
        <v>5</v>
      </c>
      <c r="D240" t="s">
        <v>77</v>
      </c>
      <c r="E240" t="s">
        <v>78</v>
      </c>
      <c r="F240" t="s">
        <v>93</v>
      </c>
      <c r="G240" s="56">
        <v>376000</v>
      </c>
    </row>
    <row r="241" spans="2:7" x14ac:dyDescent="0.15">
      <c r="B241">
        <v>2025</v>
      </c>
      <c r="C241">
        <v>5</v>
      </c>
      <c r="D241" t="s">
        <v>57</v>
      </c>
      <c r="E241" t="s">
        <v>81</v>
      </c>
      <c r="F241" t="s">
        <v>55</v>
      </c>
      <c r="G241" s="56">
        <v>1814000</v>
      </c>
    </row>
    <row r="242" spans="2:7" x14ac:dyDescent="0.15">
      <c r="B242">
        <v>2025</v>
      </c>
      <c r="C242">
        <v>5</v>
      </c>
      <c r="D242" t="s">
        <v>57</v>
      </c>
      <c r="E242" t="s">
        <v>81</v>
      </c>
      <c r="F242" t="s">
        <v>62</v>
      </c>
      <c r="G242" s="56">
        <v>1317000</v>
      </c>
    </row>
    <row r="243" spans="2:7" x14ac:dyDescent="0.15">
      <c r="B243">
        <v>2025</v>
      </c>
      <c r="C243">
        <v>5</v>
      </c>
      <c r="D243" t="s">
        <v>57</v>
      </c>
      <c r="E243" t="s">
        <v>81</v>
      </c>
      <c r="F243" t="s">
        <v>75</v>
      </c>
      <c r="G243" s="56">
        <v>1117000</v>
      </c>
    </row>
    <row r="244" spans="2:7" x14ac:dyDescent="0.15">
      <c r="B244">
        <v>2025</v>
      </c>
      <c r="C244">
        <v>5</v>
      </c>
      <c r="D244" t="s">
        <v>57</v>
      </c>
      <c r="E244" t="s">
        <v>81</v>
      </c>
      <c r="F244" t="s">
        <v>88</v>
      </c>
      <c r="G244" s="56">
        <v>1065000</v>
      </c>
    </row>
    <row r="245" spans="2:7" x14ac:dyDescent="0.15">
      <c r="B245">
        <v>2025</v>
      </c>
      <c r="C245">
        <v>5</v>
      </c>
      <c r="D245" t="s">
        <v>57</v>
      </c>
      <c r="E245" t="s">
        <v>81</v>
      </c>
      <c r="F245" t="s">
        <v>93</v>
      </c>
      <c r="G245" s="56">
        <v>497000</v>
      </c>
    </row>
    <row r="246" spans="2:7" x14ac:dyDescent="0.15">
      <c r="B246">
        <v>2025</v>
      </c>
      <c r="C246">
        <v>5</v>
      </c>
      <c r="D246" t="s">
        <v>57</v>
      </c>
      <c r="E246" t="s">
        <v>58</v>
      </c>
      <c r="F246" t="s">
        <v>55</v>
      </c>
      <c r="G246" s="56">
        <v>1089000</v>
      </c>
    </row>
    <row r="247" spans="2:7" x14ac:dyDescent="0.15">
      <c r="B247">
        <v>2025</v>
      </c>
      <c r="C247">
        <v>5</v>
      </c>
      <c r="D247" t="s">
        <v>57</v>
      </c>
      <c r="E247" t="s">
        <v>58</v>
      </c>
      <c r="F247" t="s">
        <v>62</v>
      </c>
      <c r="G247" s="56">
        <v>788000</v>
      </c>
    </row>
    <row r="248" spans="2:7" x14ac:dyDescent="0.15">
      <c r="B248">
        <v>2025</v>
      </c>
      <c r="C248">
        <v>5</v>
      </c>
      <c r="D248" t="s">
        <v>57</v>
      </c>
      <c r="E248" t="s">
        <v>58</v>
      </c>
      <c r="F248" t="s">
        <v>75</v>
      </c>
      <c r="G248" s="56">
        <v>671000</v>
      </c>
    </row>
    <row r="249" spans="2:7" x14ac:dyDescent="0.15">
      <c r="B249">
        <v>2025</v>
      </c>
      <c r="C249">
        <v>5</v>
      </c>
      <c r="D249" t="s">
        <v>57</v>
      </c>
      <c r="E249" t="s">
        <v>58</v>
      </c>
      <c r="F249" t="s">
        <v>88</v>
      </c>
      <c r="G249" s="56">
        <v>643000</v>
      </c>
    </row>
    <row r="250" spans="2:7" x14ac:dyDescent="0.15">
      <c r="B250">
        <v>2025</v>
      </c>
      <c r="C250">
        <v>5</v>
      </c>
      <c r="D250" t="s">
        <v>57</v>
      </c>
      <c r="E250" t="s">
        <v>58</v>
      </c>
      <c r="F250" t="s">
        <v>93</v>
      </c>
      <c r="G250" s="56">
        <v>301000</v>
      </c>
    </row>
    <row r="251" spans="2:7" x14ac:dyDescent="0.15">
      <c r="B251">
        <v>2025</v>
      </c>
      <c r="C251">
        <v>5</v>
      </c>
      <c r="D251" t="s">
        <v>125</v>
      </c>
      <c r="E251" t="s">
        <v>138</v>
      </c>
      <c r="F251" t="s">
        <v>55</v>
      </c>
      <c r="G251" s="56">
        <v>1300000</v>
      </c>
    </row>
    <row r="252" spans="2:7" x14ac:dyDescent="0.15">
      <c r="B252">
        <v>2025</v>
      </c>
      <c r="C252">
        <v>5</v>
      </c>
      <c r="D252" t="s">
        <v>125</v>
      </c>
      <c r="E252" t="s">
        <v>138</v>
      </c>
      <c r="F252" t="s">
        <v>62</v>
      </c>
      <c r="G252" s="56">
        <v>969000</v>
      </c>
    </row>
    <row r="253" spans="2:7" x14ac:dyDescent="0.15">
      <c r="B253">
        <v>2025</v>
      </c>
      <c r="C253">
        <v>5</v>
      </c>
      <c r="D253" t="s">
        <v>125</v>
      </c>
      <c r="E253" t="s">
        <v>138</v>
      </c>
      <c r="F253" t="s">
        <v>75</v>
      </c>
      <c r="G253" s="56">
        <v>839000</v>
      </c>
    </row>
    <row r="254" spans="2:7" x14ac:dyDescent="0.15">
      <c r="B254">
        <v>2025</v>
      </c>
      <c r="C254">
        <v>5</v>
      </c>
      <c r="D254" t="s">
        <v>125</v>
      </c>
      <c r="E254" t="s">
        <v>138</v>
      </c>
      <c r="F254" t="s">
        <v>88</v>
      </c>
      <c r="G254" s="56">
        <v>766000</v>
      </c>
    </row>
    <row r="255" spans="2:7" x14ac:dyDescent="0.15">
      <c r="B255">
        <v>2025</v>
      </c>
      <c r="C255">
        <v>5</v>
      </c>
      <c r="D255" t="s">
        <v>125</v>
      </c>
      <c r="E255" t="s">
        <v>138</v>
      </c>
      <c r="F255" t="s">
        <v>93</v>
      </c>
      <c r="G255" s="56">
        <v>368000</v>
      </c>
    </row>
    <row r="256" spans="2:7" x14ac:dyDescent="0.15">
      <c r="B256">
        <v>2025</v>
      </c>
      <c r="C256">
        <v>5</v>
      </c>
      <c r="D256" t="s">
        <v>125</v>
      </c>
      <c r="E256" t="s">
        <v>126</v>
      </c>
      <c r="F256" t="s">
        <v>55</v>
      </c>
      <c r="G256" s="56">
        <v>714000</v>
      </c>
    </row>
    <row r="257" spans="2:7" x14ac:dyDescent="0.15">
      <c r="B257">
        <v>2025</v>
      </c>
      <c r="C257">
        <v>5</v>
      </c>
      <c r="D257" t="s">
        <v>125</v>
      </c>
      <c r="E257" t="s">
        <v>126</v>
      </c>
      <c r="F257" t="s">
        <v>62</v>
      </c>
      <c r="G257" s="56">
        <v>527000</v>
      </c>
    </row>
    <row r="258" spans="2:7" x14ac:dyDescent="0.15">
      <c r="B258">
        <v>2025</v>
      </c>
      <c r="C258">
        <v>5</v>
      </c>
      <c r="D258" t="s">
        <v>125</v>
      </c>
      <c r="E258" t="s">
        <v>126</v>
      </c>
      <c r="F258" t="s">
        <v>75</v>
      </c>
      <c r="G258" s="56">
        <v>440000</v>
      </c>
    </row>
    <row r="259" spans="2:7" x14ac:dyDescent="0.15">
      <c r="B259">
        <v>2025</v>
      </c>
      <c r="C259">
        <v>5</v>
      </c>
      <c r="D259" t="s">
        <v>125</v>
      </c>
      <c r="E259" t="s">
        <v>126</v>
      </c>
      <c r="F259" t="s">
        <v>88</v>
      </c>
      <c r="G259" s="56">
        <v>416000</v>
      </c>
    </row>
    <row r="260" spans="2:7" x14ac:dyDescent="0.15">
      <c r="B260">
        <v>2025</v>
      </c>
      <c r="C260">
        <v>5</v>
      </c>
      <c r="D260" t="s">
        <v>125</v>
      </c>
      <c r="E260" t="s">
        <v>126</v>
      </c>
      <c r="F260" t="s">
        <v>93</v>
      </c>
      <c r="G260" s="56">
        <v>194000</v>
      </c>
    </row>
    <row r="261" spans="2:7" x14ac:dyDescent="0.15">
      <c r="B261">
        <v>2025</v>
      </c>
      <c r="C261">
        <v>5</v>
      </c>
      <c r="D261" t="s">
        <v>70</v>
      </c>
      <c r="E261" t="s">
        <v>84</v>
      </c>
      <c r="F261" t="s">
        <v>55</v>
      </c>
      <c r="G261" s="56">
        <v>1200000</v>
      </c>
    </row>
    <row r="262" spans="2:7" x14ac:dyDescent="0.15">
      <c r="B262">
        <v>2025</v>
      </c>
      <c r="C262">
        <v>5</v>
      </c>
      <c r="D262" t="s">
        <v>70</v>
      </c>
      <c r="E262" t="s">
        <v>84</v>
      </c>
      <c r="F262" t="s">
        <v>62</v>
      </c>
      <c r="G262" s="56">
        <v>891000</v>
      </c>
    </row>
    <row r="263" spans="2:7" x14ac:dyDescent="0.15">
      <c r="B263">
        <v>2025</v>
      </c>
      <c r="C263">
        <v>5</v>
      </c>
      <c r="D263" t="s">
        <v>70</v>
      </c>
      <c r="E263" t="s">
        <v>84</v>
      </c>
      <c r="F263" t="s">
        <v>75</v>
      </c>
      <c r="G263" s="56">
        <v>736000</v>
      </c>
    </row>
    <row r="264" spans="2:7" x14ac:dyDescent="0.15">
      <c r="B264">
        <v>2025</v>
      </c>
      <c r="C264">
        <v>5</v>
      </c>
      <c r="D264" t="s">
        <v>70</v>
      </c>
      <c r="E264" t="s">
        <v>84</v>
      </c>
      <c r="F264" t="s">
        <v>88</v>
      </c>
      <c r="G264" s="56">
        <v>718000</v>
      </c>
    </row>
    <row r="265" spans="2:7" x14ac:dyDescent="0.15">
      <c r="B265">
        <v>2025</v>
      </c>
      <c r="C265">
        <v>5</v>
      </c>
      <c r="D265" t="s">
        <v>70</v>
      </c>
      <c r="E265" t="s">
        <v>84</v>
      </c>
      <c r="F265" t="s">
        <v>93</v>
      </c>
      <c r="G265" s="56">
        <v>325000</v>
      </c>
    </row>
    <row r="266" spans="2:7" x14ac:dyDescent="0.15">
      <c r="B266">
        <v>2025</v>
      </c>
      <c r="C266">
        <v>5</v>
      </c>
      <c r="D266" t="s">
        <v>70</v>
      </c>
      <c r="E266" t="s">
        <v>71</v>
      </c>
      <c r="F266" t="s">
        <v>55</v>
      </c>
      <c r="G266" s="56">
        <v>886000</v>
      </c>
    </row>
    <row r="267" spans="2:7" x14ac:dyDescent="0.15">
      <c r="B267">
        <v>2025</v>
      </c>
      <c r="C267">
        <v>5</v>
      </c>
      <c r="D267" t="s">
        <v>70</v>
      </c>
      <c r="E267" t="s">
        <v>71</v>
      </c>
      <c r="F267" t="s">
        <v>62</v>
      </c>
      <c r="G267" s="56">
        <v>630000</v>
      </c>
    </row>
    <row r="268" spans="2:7" x14ac:dyDescent="0.15">
      <c r="B268">
        <v>2025</v>
      </c>
      <c r="C268">
        <v>5</v>
      </c>
      <c r="D268" t="s">
        <v>70</v>
      </c>
      <c r="E268" t="s">
        <v>71</v>
      </c>
      <c r="F268" t="s">
        <v>75</v>
      </c>
      <c r="G268" s="56">
        <v>538000</v>
      </c>
    </row>
    <row r="269" spans="2:7" x14ac:dyDescent="0.15">
      <c r="B269">
        <v>2025</v>
      </c>
      <c r="C269">
        <v>5</v>
      </c>
      <c r="D269" t="s">
        <v>70</v>
      </c>
      <c r="E269" t="s">
        <v>71</v>
      </c>
      <c r="F269" t="s">
        <v>88</v>
      </c>
      <c r="G269" s="56">
        <v>521000</v>
      </c>
    </row>
    <row r="270" spans="2:7" x14ac:dyDescent="0.15">
      <c r="B270">
        <v>2025</v>
      </c>
      <c r="C270">
        <v>5</v>
      </c>
      <c r="D270" t="s">
        <v>70</v>
      </c>
      <c r="E270" t="s">
        <v>71</v>
      </c>
      <c r="F270" t="s">
        <v>93</v>
      </c>
      <c r="G270" s="56">
        <v>240000</v>
      </c>
    </row>
    <row r="271" spans="2:7" x14ac:dyDescent="0.15">
      <c r="B271">
        <v>2025</v>
      </c>
      <c r="C271">
        <v>6</v>
      </c>
      <c r="D271" t="s">
        <v>64</v>
      </c>
      <c r="E271" t="s">
        <v>65</v>
      </c>
      <c r="F271" t="s">
        <v>55</v>
      </c>
      <c r="G271" s="56">
        <v>3324000</v>
      </c>
    </row>
    <row r="272" spans="2:7" x14ac:dyDescent="0.15">
      <c r="B272">
        <v>2025</v>
      </c>
      <c r="C272">
        <v>6</v>
      </c>
      <c r="D272" t="s">
        <v>64</v>
      </c>
      <c r="E272" t="s">
        <v>65</v>
      </c>
      <c r="F272" t="s">
        <v>62</v>
      </c>
      <c r="G272" s="56">
        <v>2307000</v>
      </c>
    </row>
    <row r="273" spans="2:7" x14ac:dyDescent="0.15">
      <c r="B273">
        <v>2025</v>
      </c>
      <c r="C273">
        <v>6</v>
      </c>
      <c r="D273" t="s">
        <v>64</v>
      </c>
      <c r="E273" t="s">
        <v>65</v>
      </c>
      <c r="F273" t="s">
        <v>75</v>
      </c>
      <c r="G273" s="56">
        <v>1978000</v>
      </c>
    </row>
    <row r="274" spans="2:7" x14ac:dyDescent="0.15">
      <c r="B274">
        <v>2025</v>
      </c>
      <c r="C274">
        <v>6</v>
      </c>
      <c r="D274" t="s">
        <v>64</v>
      </c>
      <c r="E274" t="s">
        <v>65</v>
      </c>
      <c r="F274" t="s">
        <v>88</v>
      </c>
      <c r="G274" s="56">
        <v>1989000</v>
      </c>
    </row>
    <row r="275" spans="2:7" x14ac:dyDescent="0.15">
      <c r="B275">
        <v>2025</v>
      </c>
      <c r="C275">
        <v>6</v>
      </c>
      <c r="D275" t="s">
        <v>64</v>
      </c>
      <c r="E275" t="s">
        <v>65</v>
      </c>
      <c r="F275" t="s">
        <v>93</v>
      </c>
      <c r="G275" s="56">
        <v>886000</v>
      </c>
    </row>
    <row r="276" spans="2:7" x14ac:dyDescent="0.15">
      <c r="B276">
        <v>2025</v>
      </c>
      <c r="C276">
        <v>6</v>
      </c>
      <c r="D276" t="s">
        <v>64</v>
      </c>
      <c r="E276" t="s">
        <v>96</v>
      </c>
      <c r="F276" t="s">
        <v>55</v>
      </c>
      <c r="G276" s="56">
        <v>2771000</v>
      </c>
    </row>
    <row r="277" spans="2:7" x14ac:dyDescent="0.15">
      <c r="B277">
        <v>2025</v>
      </c>
      <c r="C277">
        <v>6</v>
      </c>
      <c r="D277" t="s">
        <v>64</v>
      </c>
      <c r="E277" t="s">
        <v>96</v>
      </c>
      <c r="F277" t="s">
        <v>62</v>
      </c>
      <c r="G277" s="56">
        <v>1908000</v>
      </c>
    </row>
    <row r="278" spans="2:7" x14ac:dyDescent="0.15">
      <c r="B278">
        <v>2025</v>
      </c>
      <c r="C278">
        <v>6</v>
      </c>
      <c r="D278" t="s">
        <v>64</v>
      </c>
      <c r="E278" t="s">
        <v>96</v>
      </c>
      <c r="F278" t="s">
        <v>75</v>
      </c>
      <c r="G278" s="56">
        <v>1606000</v>
      </c>
    </row>
    <row r="279" spans="2:7" x14ac:dyDescent="0.15">
      <c r="B279">
        <v>2025</v>
      </c>
      <c r="C279">
        <v>6</v>
      </c>
      <c r="D279" t="s">
        <v>64</v>
      </c>
      <c r="E279" t="s">
        <v>96</v>
      </c>
      <c r="F279" t="s">
        <v>88</v>
      </c>
      <c r="G279" s="56">
        <v>1624000</v>
      </c>
    </row>
    <row r="280" spans="2:7" x14ac:dyDescent="0.15">
      <c r="B280">
        <v>2025</v>
      </c>
      <c r="C280">
        <v>6</v>
      </c>
      <c r="D280" t="s">
        <v>64</v>
      </c>
      <c r="E280" t="s">
        <v>96</v>
      </c>
      <c r="F280" t="s">
        <v>93</v>
      </c>
      <c r="G280" s="56">
        <v>723000</v>
      </c>
    </row>
    <row r="281" spans="2:7" x14ac:dyDescent="0.15">
      <c r="B281">
        <v>2025</v>
      </c>
      <c r="C281">
        <v>6</v>
      </c>
      <c r="D281" t="s">
        <v>77</v>
      </c>
      <c r="E281" t="s">
        <v>107</v>
      </c>
      <c r="F281" t="s">
        <v>55</v>
      </c>
      <c r="G281" s="56">
        <v>2336000</v>
      </c>
    </row>
    <row r="282" spans="2:7" x14ac:dyDescent="0.15">
      <c r="B282">
        <v>2025</v>
      </c>
      <c r="C282">
        <v>6</v>
      </c>
      <c r="D282" t="s">
        <v>77</v>
      </c>
      <c r="E282" t="s">
        <v>107</v>
      </c>
      <c r="F282" t="s">
        <v>62</v>
      </c>
      <c r="G282" s="56">
        <v>1588000</v>
      </c>
    </row>
    <row r="283" spans="2:7" x14ac:dyDescent="0.15">
      <c r="B283">
        <v>2025</v>
      </c>
      <c r="C283">
        <v>6</v>
      </c>
      <c r="D283" t="s">
        <v>77</v>
      </c>
      <c r="E283" t="s">
        <v>107</v>
      </c>
      <c r="F283" t="s">
        <v>75</v>
      </c>
      <c r="G283" s="56">
        <v>1312000</v>
      </c>
    </row>
    <row r="284" spans="2:7" x14ac:dyDescent="0.15">
      <c r="B284">
        <v>2025</v>
      </c>
      <c r="C284">
        <v>6</v>
      </c>
      <c r="D284" t="s">
        <v>77</v>
      </c>
      <c r="E284" t="s">
        <v>107</v>
      </c>
      <c r="F284" t="s">
        <v>88</v>
      </c>
      <c r="G284" s="56">
        <v>1404000</v>
      </c>
    </row>
    <row r="285" spans="2:7" x14ac:dyDescent="0.15">
      <c r="B285">
        <v>2025</v>
      </c>
      <c r="C285">
        <v>6</v>
      </c>
      <c r="D285" t="s">
        <v>77</v>
      </c>
      <c r="E285" t="s">
        <v>107</v>
      </c>
      <c r="F285" t="s">
        <v>93</v>
      </c>
      <c r="G285" s="56">
        <v>593000</v>
      </c>
    </row>
    <row r="286" spans="2:7" x14ac:dyDescent="0.15">
      <c r="B286">
        <v>2025</v>
      </c>
      <c r="C286">
        <v>6</v>
      </c>
      <c r="D286" t="s">
        <v>77</v>
      </c>
      <c r="E286" t="s">
        <v>78</v>
      </c>
      <c r="F286" t="s">
        <v>55</v>
      </c>
      <c r="G286" s="56">
        <v>1570000</v>
      </c>
    </row>
    <row r="287" spans="2:7" x14ac:dyDescent="0.15">
      <c r="B287">
        <v>2025</v>
      </c>
      <c r="C287">
        <v>6</v>
      </c>
      <c r="D287" t="s">
        <v>77</v>
      </c>
      <c r="E287" t="s">
        <v>78</v>
      </c>
      <c r="F287" t="s">
        <v>62</v>
      </c>
      <c r="G287" s="56">
        <v>1076000</v>
      </c>
    </row>
    <row r="288" spans="2:7" x14ac:dyDescent="0.15">
      <c r="B288">
        <v>2025</v>
      </c>
      <c r="C288">
        <v>6</v>
      </c>
      <c r="D288" t="s">
        <v>77</v>
      </c>
      <c r="E288" t="s">
        <v>78</v>
      </c>
      <c r="F288" t="s">
        <v>75</v>
      </c>
      <c r="G288" s="56">
        <v>895000</v>
      </c>
    </row>
    <row r="289" spans="2:7" x14ac:dyDescent="0.15">
      <c r="B289">
        <v>2025</v>
      </c>
      <c r="C289">
        <v>6</v>
      </c>
      <c r="D289" t="s">
        <v>77</v>
      </c>
      <c r="E289" t="s">
        <v>78</v>
      </c>
      <c r="F289" t="s">
        <v>88</v>
      </c>
      <c r="G289" s="56">
        <v>910000</v>
      </c>
    </row>
    <row r="290" spans="2:7" x14ac:dyDescent="0.15">
      <c r="B290">
        <v>2025</v>
      </c>
      <c r="C290">
        <v>6</v>
      </c>
      <c r="D290" t="s">
        <v>77</v>
      </c>
      <c r="E290" t="s">
        <v>78</v>
      </c>
      <c r="F290" t="s">
        <v>93</v>
      </c>
      <c r="G290" s="56">
        <v>394000</v>
      </c>
    </row>
    <row r="291" spans="2:7" x14ac:dyDescent="0.15">
      <c r="B291">
        <v>2025</v>
      </c>
      <c r="C291">
        <v>6</v>
      </c>
      <c r="D291" t="s">
        <v>57</v>
      </c>
      <c r="E291" t="s">
        <v>81</v>
      </c>
      <c r="F291" t="s">
        <v>55</v>
      </c>
      <c r="G291" s="56">
        <v>2014000</v>
      </c>
    </row>
    <row r="292" spans="2:7" x14ac:dyDescent="0.15">
      <c r="B292">
        <v>2025</v>
      </c>
      <c r="C292">
        <v>6</v>
      </c>
      <c r="D292" t="s">
        <v>57</v>
      </c>
      <c r="E292" t="s">
        <v>81</v>
      </c>
      <c r="F292" t="s">
        <v>62</v>
      </c>
      <c r="G292" s="56">
        <v>1346000</v>
      </c>
    </row>
    <row r="293" spans="2:7" x14ac:dyDescent="0.15">
      <c r="B293">
        <v>2025</v>
      </c>
      <c r="C293">
        <v>6</v>
      </c>
      <c r="D293" t="s">
        <v>57</v>
      </c>
      <c r="E293" t="s">
        <v>81</v>
      </c>
      <c r="F293" t="s">
        <v>75</v>
      </c>
      <c r="G293" s="56">
        <v>1148000</v>
      </c>
    </row>
    <row r="294" spans="2:7" x14ac:dyDescent="0.15">
      <c r="B294">
        <v>2025</v>
      </c>
      <c r="C294">
        <v>6</v>
      </c>
      <c r="D294" t="s">
        <v>57</v>
      </c>
      <c r="E294" t="s">
        <v>81</v>
      </c>
      <c r="F294" t="s">
        <v>88</v>
      </c>
      <c r="G294" s="56">
        <v>1197000</v>
      </c>
    </row>
    <row r="295" spans="2:7" x14ac:dyDescent="0.15">
      <c r="B295">
        <v>2025</v>
      </c>
      <c r="C295">
        <v>6</v>
      </c>
      <c r="D295" t="s">
        <v>57</v>
      </c>
      <c r="E295" t="s">
        <v>81</v>
      </c>
      <c r="F295" t="s">
        <v>93</v>
      </c>
      <c r="G295" s="56">
        <v>510000</v>
      </c>
    </row>
    <row r="296" spans="2:7" x14ac:dyDescent="0.15">
      <c r="B296">
        <v>2025</v>
      </c>
      <c r="C296">
        <v>6</v>
      </c>
      <c r="D296" t="s">
        <v>57</v>
      </c>
      <c r="E296" t="s">
        <v>58</v>
      </c>
      <c r="F296" t="s">
        <v>55</v>
      </c>
      <c r="G296" s="56">
        <v>1223000</v>
      </c>
    </row>
    <row r="297" spans="2:7" x14ac:dyDescent="0.15">
      <c r="B297">
        <v>2025</v>
      </c>
      <c r="C297">
        <v>6</v>
      </c>
      <c r="D297" t="s">
        <v>57</v>
      </c>
      <c r="E297" t="s">
        <v>58</v>
      </c>
      <c r="F297" t="s">
        <v>62</v>
      </c>
      <c r="G297" s="56">
        <v>852000</v>
      </c>
    </row>
    <row r="298" spans="2:7" x14ac:dyDescent="0.15">
      <c r="B298">
        <v>2025</v>
      </c>
      <c r="C298">
        <v>6</v>
      </c>
      <c r="D298" t="s">
        <v>57</v>
      </c>
      <c r="E298" t="s">
        <v>58</v>
      </c>
      <c r="F298" t="s">
        <v>75</v>
      </c>
      <c r="G298" s="56">
        <v>698000</v>
      </c>
    </row>
    <row r="299" spans="2:7" x14ac:dyDescent="0.15">
      <c r="B299">
        <v>2025</v>
      </c>
      <c r="C299">
        <v>6</v>
      </c>
      <c r="D299" t="s">
        <v>57</v>
      </c>
      <c r="E299" t="s">
        <v>58</v>
      </c>
      <c r="F299" t="s">
        <v>88</v>
      </c>
      <c r="G299" s="56">
        <v>724000</v>
      </c>
    </row>
    <row r="300" spans="2:7" x14ac:dyDescent="0.15">
      <c r="B300">
        <v>2025</v>
      </c>
      <c r="C300">
        <v>6</v>
      </c>
      <c r="D300" t="s">
        <v>57</v>
      </c>
      <c r="E300" t="s">
        <v>58</v>
      </c>
      <c r="F300" t="s">
        <v>93</v>
      </c>
      <c r="G300" s="56">
        <v>314000</v>
      </c>
    </row>
    <row r="301" spans="2:7" x14ac:dyDescent="0.15">
      <c r="B301">
        <v>2025</v>
      </c>
      <c r="C301">
        <v>6</v>
      </c>
      <c r="D301" t="s">
        <v>125</v>
      </c>
      <c r="E301" t="s">
        <v>138</v>
      </c>
      <c r="F301" t="s">
        <v>55</v>
      </c>
      <c r="G301" s="56">
        <v>1469000</v>
      </c>
    </row>
    <row r="302" spans="2:7" x14ac:dyDescent="0.15">
      <c r="B302">
        <v>2025</v>
      </c>
      <c r="C302">
        <v>6</v>
      </c>
      <c r="D302" t="s">
        <v>125</v>
      </c>
      <c r="E302" t="s">
        <v>138</v>
      </c>
      <c r="F302" t="s">
        <v>62</v>
      </c>
      <c r="G302" s="56">
        <v>1025000</v>
      </c>
    </row>
    <row r="303" spans="2:7" x14ac:dyDescent="0.15">
      <c r="B303">
        <v>2025</v>
      </c>
      <c r="C303">
        <v>6</v>
      </c>
      <c r="D303" t="s">
        <v>125</v>
      </c>
      <c r="E303" t="s">
        <v>138</v>
      </c>
      <c r="F303" t="s">
        <v>75</v>
      </c>
      <c r="G303" s="56">
        <v>843000</v>
      </c>
    </row>
    <row r="304" spans="2:7" x14ac:dyDescent="0.15">
      <c r="B304">
        <v>2025</v>
      </c>
      <c r="C304">
        <v>6</v>
      </c>
      <c r="D304" t="s">
        <v>125</v>
      </c>
      <c r="E304" t="s">
        <v>138</v>
      </c>
      <c r="F304" t="s">
        <v>88</v>
      </c>
      <c r="G304" s="56">
        <v>881000</v>
      </c>
    </row>
    <row r="305" spans="2:7" x14ac:dyDescent="0.15">
      <c r="B305">
        <v>2025</v>
      </c>
      <c r="C305">
        <v>6</v>
      </c>
      <c r="D305" t="s">
        <v>125</v>
      </c>
      <c r="E305" t="s">
        <v>138</v>
      </c>
      <c r="F305" t="s">
        <v>93</v>
      </c>
      <c r="G305" s="56">
        <v>386000</v>
      </c>
    </row>
    <row r="306" spans="2:7" x14ac:dyDescent="0.15">
      <c r="B306">
        <v>2025</v>
      </c>
      <c r="C306">
        <v>6</v>
      </c>
      <c r="D306" t="s">
        <v>125</v>
      </c>
      <c r="E306" t="s">
        <v>126</v>
      </c>
      <c r="F306" t="s">
        <v>55</v>
      </c>
      <c r="G306" s="56">
        <v>804000</v>
      </c>
    </row>
    <row r="307" spans="2:7" x14ac:dyDescent="0.15">
      <c r="B307">
        <v>2025</v>
      </c>
      <c r="C307">
        <v>6</v>
      </c>
      <c r="D307" t="s">
        <v>125</v>
      </c>
      <c r="E307" t="s">
        <v>126</v>
      </c>
      <c r="F307" t="s">
        <v>62</v>
      </c>
      <c r="G307" s="56">
        <v>541000</v>
      </c>
    </row>
    <row r="308" spans="2:7" x14ac:dyDescent="0.15">
      <c r="B308">
        <v>2025</v>
      </c>
      <c r="C308">
        <v>6</v>
      </c>
      <c r="D308" t="s">
        <v>125</v>
      </c>
      <c r="E308" t="s">
        <v>126</v>
      </c>
      <c r="F308" t="s">
        <v>75</v>
      </c>
      <c r="G308" s="56">
        <v>465000</v>
      </c>
    </row>
    <row r="309" spans="2:7" x14ac:dyDescent="0.15">
      <c r="B309">
        <v>2025</v>
      </c>
      <c r="C309">
        <v>6</v>
      </c>
      <c r="D309" t="s">
        <v>125</v>
      </c>
      <c r="E309" t="s">
        <v>126</v>
      </c>
      <c r="F309" t="s">
        <v>88</v>
      </c>
      <c r="G309" s="56">
        <v>474000</v>
      </c>
    </row>
    <row r="310" spans="2:7" x14ac:dyDescent="0.15">
      <c r="B310">
        <v>2025</v>
      </c>
      <c r="C310">
        <v>6</v>
      </c>
      <c r="D310" t="s">
        <v>125</v>
      </c>
      <c r="E310" t="s">
        <v>126</v>
      </c>
      <c r="F310" t="s">
        <v>93</v>
      </c>
      <c r="G310" s="56">
        <v>206000</v>
      </c>
    </row>
    <row r="311" spans="2:7" x14ac:dyDescent="0.15">
      <c r="B311">
        <v>2025</v>
      </c>
      <c r="C311">
        <v>6</v>
      </c>
      <c r="D311" t="s">
        <v>70</v>
      </c>
      <c r="E311" t="s">
        <v>84</v>
      </c>
      <c r="F311" t="s">
        <v>55</v>
      </c>
      <c r="G311" s="56">
        <v>1360000</v>
      </c>
    </row>
    <row r="312" spans="2:7" x14ac:dyDescent="0.15">
      <c r="B312">
        <v>2025</v>
      </c>
      <c r="C312">
        <v>6</v>
      </c>
      <c r="D312" t="s">
        <v>70</v>
      </c>
      <c r="E312" t="s">
        <v>84</v>
      </c>
      <c r="F312" t="s">
        <v>62</v>
      </c>
      <c r="G312" s="56">
        <v>910000</v>
      </c>
    </row>
    <row r="313" spans="2:7" x14ac:dyDescent="0.15">
      <c r="B313">
        <v>2025</v>
      </c>
      <c r="C313">
        <v>6</v>
      </c>
      <c r="D313" t="s">
        <v>70</v>
      </c>
      <c r="E313" t="s">
        <v>84</v>
      </c>
      <c r="F313" t="s">
        <v>75</v>
      </c>
      <c r="G313" s="56">
        <v>768000</v>
      </c>
    </row>
    <row r="314" spans="2:7" x14ac:dyDescent="0.15">
      <c r="B314">
        <v>2025</v>
      </c>
      <c r="C314">
        <v>6</v>
      </c>
      <c r="D314" t="s">
        <v>70</v>
      </c>
      <c r="E314" t="s">
        <v>84</v>
      </c>
      <c r="F314" t="s">
        <v>88</v>
      </c>
      <c r="G314" s="56">
        <v>794000</v>
      </c>
    </row>
    <row r="315" spans="2:7" x14ac:dyDescent="0.15">
      <c r="B315">
        <v>2025</v>
      </c>
      <c r="C315">
        <v>6</v>
      </c>
      <c r="D315" t="s">
        <v>70</v>
      </c>
      <c r="E315" t="s">
        <v>84</v>
      </c>
      <c r="F315" t="s">
        <v>93</v>
      </c>
      <c r="G315" s="56">
        <v>352000</v>
      </c>
    </row>
    <row r="316" spans="2:7" x14ac:dyDescent="0.15">
      <c r="B316">
        <v>2025</v>
      </c>
      <c r="C316">
        <v>6</v>
      </c>
      <c r="D316" t="s">
        <v>70</v>
      </c>
      <c r="E316" t="s">
        <v>71</v>
      </c>
      <c r="F316" t="s">
        <v>55</v>
      </c>
      <c r="G316" s="56">
        <v>953000</v>
      </c>
    </row>
    <row r="317" spans="2:7" x14ac:dyDescent="0.15">
      <c r="B317">
        <v>2025</v>
      </c>
      <c r="C317">
        <v>6</v>
      </c>
      <c r="D317" t="s">
        <v>70</v>
      </c>
      <c r="E317" t="s">
        <v>71</v>
      </c>
      <c r="F317" t="s">
        <v>62</v>
      </c>
      <c r="G317" s="56">
        <v>670000</v>
      </c>
    </row>
    <row r="318" spans="2:7" x14ac:dyDescent="0.15">
      <c r="B318">
        <v>2025</v>
      </c>
      <c r="C318">
        <v>6</v>
      </c>
      <c r="D318" t="s">
        <v>70</v>
      </c>
      <c r="E318" t="s">
        <v>71</v>
      </c>
      <c r="F318" t="s">
        <v>75</v>
      </c>
      <c r="G318" s="56">
        <v>551000</v>
      </c>
    </row>
    <row r="319" spans="2:7" x14ac:dyDescent="0.15">
      <c r="B319">
        <v>2025</v>
      </c>
      <c r="C319">
        <v>6</v>
      </c>
      <c r="D319" t="s">
        <v>70</v>
      </c>
      <c r="E319" t="s">
        <v>71</v>
      </c>
      <c r="F319" t="s">
        <v>88</v>
      </c>
      <c r="G319" s="56">
        <v>569000</v>
      </c>
    </row>
    <row r="320" spans="2:7" x14ac:dyDescent="0.15">
      <c r="B320">
        <v>2025</v>
      </c>
      <c r="C320">
        <v>6</v>
      </c>
      <c r="D320" t="s">
        <v>70</v>
      </c>
      <c r="E320" t="s">
        <v>71</v>
      </c>
      <c r="F320" t="s">
        <v>93</v>
      </c>
      <c r="G320" s="56">
        <v>247000</v>
      </c>
    </row>
    <row r="321" spans="2:7" x14ac:dyDescent="0.15">
      <c r="B321">
        <v>2025</v>
      </c>
      <c r="C321">
        <v>7</v>
      </c>
      <c r="D321" t="s">
        <v>64</v>
      </c>
      <c r="E321" t="s">
        <v>65</v>
      </c>
      <c r="F321" t="s">
        <v>55</v>
      </c>
      <c r="G321" s="56">
        <v>3301000</v>
      </c>
    </row>
    <row r="322" spans="2:7" x14ac:dyDescent="0.15">
      <c r="B322">
        <v>2025</v>
      </c>
      <c r="C322">
        <v>7</v>
      </c>
      <c r="D322" t="s">
        <v>64</v>
      </c>
      <c r="E322" t="s">
        <v>65</v>
      </c>
      <c r="F322" t="s">
        <v>62</v>
      </c>
      <c r="G322" s="56">
        <v>2393000</v>
      </c>
    </row>
    <row r="323" spans="2:7" x14ac:dyDescent="0.15">
      <c r="B323">
        <v>2025</v>
      </c>
      <c r="C323">
        <v>7</v>
      </c>
      <c r="D323" t="s">
        <v>64</v>
      </c>
      <c r="E323" t="s">
        <v>65</v>
      </c>
      <c r="F323" t="s">
        <v>75</v>
      </c>
      <c r="G323" s="56">
        <v>1945000</v>
      </c>
    </row>
    <row r="324" spans="2:7" x14ac:dyDescent="0.15">
      <c r="B324">
        <v>2025</v>
      </c>
      <c r="C324">
        <v>7</v>
      </c>
      <c r="D324" t="s">
        <v>64</v>
      </c>
      <c r="E324" t="s">
        <v>65</v>
      </c>
      <c r="F324" t="s">
        <v>88</v>
      </c>
      <c r="G324" s="56">
        <v>1997000</v>
      </c>
    </row>
    <row r="325" spans="2:7" x14ac:dyDescent="0.15">
      <c r="B325">
        <v>2025</v>
      </c>
      <c r="C325">
        <v>7</v>
      </c>
      <c r="D325" t="s">
        <v>64</v>
      </c>
      <c r="E325" t="s">
        <v>65</v>
      </c>
      <c r="F325" t="s">
        <v>93</v>
      </c>
      <c r="G325" s="56">
        <v>913000</v>
      </c>
    </row>
    <row r="326" spans="2:7" x14ac:dyDescent="0.15">
      <c r="B326">
        <v>2025</v>
      </c>
      <c r="C326">
        <v>7</v>
      </c>
      <c r="D326" t="s">
        <v>64</v>
      </c>
      <c r="E326" t="s">
        <v>96</v>
      </c>
      <c r="F326" t="s">
        <v>55</v>
      </c>
      <c r="G326" s="56">
        <v>2775000</v>
      </c>
    </row>
    <row r="327" spans="2:7" x14ac:dyDescent="0.15">
      <c r="B327">
        <v>2025</v>
      </c>
      <c r="C327">
        <v>7</v>
      </c>
      <c r="D327" t="s">
        <v>64</v>
      </c>
      <c r="E327" t="s">
        <v>96</v>
      </c>
      <c r="F327" t="s">
        <v>62</v>
      </c>
      <c r="G327" s="56">
        <v>1971000</v>
      </c>
    </row>
    <row r="328" spans="2:7" x14ac:dyDescent="0.15">
      <c r="B328">
        <v>2025</v>
      </c>
      <c r="C328">
        <v>7</v>
      </c>
      <c r="D328" t="s">
        <v>64</v>
      </c>
      <c r="E328" t="s">
        <v>96</v>
      </c>
      <c r="F328" t="s">
        <v>75</v>
      </c>
      <c r="G328" s="56">
        <v>1615000</v>
      </c>
    </row>
    <row r="329" spans="2:7" x14ac:dyDescent="0.15">
      <c r="B329">
        <v>2025</v>
      </c>
      <c r="C329">
        <v>7</v>
      </c>
      <c r="D329" t="s">
        <v>64</v>
      </c>
      <c r="E329" t="s">
        <v>96</v>
      </c>
      <c r="F329" t="s">
        <v>88</v>
      </c>
      <c r="G329" s="56">
        <v>1640000</v>
      </c>
    </row>
    <row r="330" spans="2:7" x14ac:dyDescent="0.15">
      <c r="B330">
        <v>2025</v>
      </c>
      <c r="C330">
        <v>7</v>
      </c>
      <c r="D330" t="s">
        <v>64</v>
      </c>
      <c r="E330" t="s">
        <v>96</v>
      </c>
      <c r="F330" t="s">
        <v>93</v>
      </c>
      <c r="G330" s="56">
        <v>724000</v>
      </c>
    </row>
    <row r="331" spans="2:7" x14ac:dyDescent="0.15">
      <c r="B331">
        <v>2025</v>
      </c>
      <c r="C331">
        <v>7</v>
      </c>
      <c r="D331" t="s">
        <v>77</v>
      </c>
      <c r="E331" t="s">
        <v>107</v>
      </c>
      <c r="F331" t="s">
        <v>55</v>
      </c>
      <c r="G331" s="56">
        <v>2300000</v>
      </c>
    </row>
    <row r="332" spans="2:7" x14ac:dyDescent="0.15">
      <c r="B332">
        <v>2025</v>
      </c>
      <c r="C332">
        <v>7</v>
      </c>
      <c r="D332" t="s">
        <v>77</v>
      </c>
      <c r="E332" t="s">
        <v>107</v>
      </c>
      <c r="F332" t="s">
        <v>62</v>
      </c>
      <c r="G332" s="56">
        <v>1635000</v>
      </c>
    </row>
    <row r="333" spans="2:7" x14ac:dyDescent="0.15">
      <c r="B333">
        <v>2025</v>
      </c>
      <c r="C333">
        <v>7</v>
      </c>
      <c r="D333" t="s">
        <v>77</v>
      </c>
      <c r="E333" t="s">
        <v>107</v>
      </c>
      <c r="F333" t="s">
        <v>75</v>
      </c>
      <c r="G333" s="56">
        <v>1360000</v>
      </c>
    </row>
    <row r="334" spans="2:7" x14ac:dyDescent="0.15">
      <c r="B334">
        <v>2025</v>
      </c>
      <c r="C334">
        <v>7</v>
      </c>
      <c r="D334" t="s">
        <v>77</v>
      </c>
      <c r="E334" t="s">
        <v>107</v>
      </c>
      <c r="F334" t="s">
        <v>88</v>
      </c>
      <c r="G334" s="56">
        <v>1377000</v>
      </c>
    </row>
    <row r="335" spans="2:7" x14ac:dyDescent="0.15">
      <c r="B335">
        <v>2025</v>
      </c>
      <c r="C335">
        <v>7</v>
      </c>
      <c r="D335" t="s">
        <v>77</v>
      </c>
      <c r="E335" t="s">
        <v>107</v>
      </c>
      <c r="F335" t="s">
        <v>93</v>
      </c>
      <c r="G335" s="56">
        <v>611000</v>
      </c>
    </row>
    <row r="336" spans="2:7" x14ac:dyDescent="0.15">
      <c r="B336">
        <v>2025</v>
      </c>
      <c r="C336">
        <v>7</v>
      </c>
      <c r="D336" t="s">
        <v>77</v>
      </c>
      <c r="E336" t="s">
        <v>78</v>
      </c>
      <c r="F336" t="s">
        <v>55</v>
      </c>
      <c r="G336" s="56">
        <v>1532000</v>
      </c>
    </row>
    <row r="337" spans="2:7" x14ac:dyDescent="0.15">
      <c r="B337">
        <v>2025</v>
      </c>
      <c r="C337">
        <v>7</v>
      </c>
      <c r="D337" t="s">
        <v>77</v>
      </c>
      <c r="E337" t="s">
        <v>78</v>
      </c>
      <c r="F337" t="s">
        <v>62</v>
      </c>
      <c r="G337" s="56">
        <v>1094000</v>
      </c>
    </row>
    <row r="338" spans="2:7" x14ac:dyDescent="0.15">
      <c r="B338">
        <v>2025</v>
      </c>
      <c r="C338">
        <v>7</v>
      </c>
      <c r="D338" t="s">
        <v>77</v>
      </c>
      <c r="E338" t="s">
        <v>78</v>
      </c>
      <c r="F338" t="s">
        <v>75</v>
      </c>
      <c r="G338" s="56">
        <v>922000</v>
      </c>
    </row>
    <row r="339" spans="2:7" x14ac:dyDescent="0.15">
      <c r="B339">
        <v>2025</v>
      </c>
      <c r="C339">
        <v>7</v>
      </c>
      <c r="D339" t="s">
        <v>77</v>
      </c>
      <c r="E339" t="s">
        <v>78</v>
      </c>
      <c r="F339" t="s">
        <v>88</v>
      </c>
      <c r="G339" s="56">
        <v>905000</v>
      </c>
    </row>
    <row r="340" spans="2:7" x14ac:dyDescent="0.15">
      <c r="B340">
        <v>2025</v>
      </c>
      <c r="C340">
        <v>7</v>
      </c>
      <c r="D340" t="s">
        <v>77</v>
      </c>
      <c r="E340" t="s">
        <v>78</v>
      </c>
      <c r="F340" t="s">
        <v>93</v>
      </c>
      <c r="G340" s="56">
        <v>415000</v>
      </c>
    </row>
    <row r="341" spans="2:7" x14ac:dyDescent="0.15">
      <c r="B341">
        <v>2025</v>
      </c>
      <c r="C341">
        <v>7</v>
      </c>
      <c r="D341" t="s">
        <v>57</v>
      </c>
      <c r="E341" t="s">
        <v>81</v>
      </c>
      <c r="F341" t="s">
        <v>55</v>
      </c>
      <c r="G341" s="56">
        <v>2013000</v>
      </c>
    </row>
    <row r="342" spans="2:7" x14ac:dyDescent="0.15">
      <c r="B342">
        <v>2025</v>
      </c>
      <c r="C342">
        <v>7</v>
      </c>
      <c r="D342" t="s">
        <v>57</v>
      </c>
      <c r="E342" t="s">
        <v>81</v>
      </c>
      <c r="F342" t="s">
        <v>62</v>
      </c>
      <c r="G342" s="56">
        <v>1429000</v>
      </c>
    </row>
    <row r="343" spans="2:7" x14ac:dyDescent="0.15">
      <c r="B343">
        <v>2025</v>
      </c>
      <c r="C343">
        <v>7</v>
      </c>
      <c r="D343" t="s">
        <v>57</v>
      </c>
      <c r="E343" t="s">
        <v>81</v>
      </c>
      <c r="F343" t="s">
        <v>75</v>
      </c>
      <c r="G343" s="56">
        <v>1192000</v>
      </c>
    </row>
    <row r="344" spans="2:7" x14ac:dyDescent="0.15">
      <c r="B344">
        <v>2025</v>
      </c>
      <c r="C344">
        <v>7</v>
      </c>
      <c r="D344" t="s">
        <v>57</v>
      </c>
      <c r="E344" t="s">
        <v>81</v>
      </c>
      <c r="F344" t="s">
        <v>88</v>
      </c>
      <c r="G344" s="56">
        <v>1163000</v>
      </c>
    </row>
    <row r="345" spans="2:7" x14ac:dyDescent="0.15">
      <c r="B345">
        <v>2025</v>
      </c>
      <c r="C345">
        <v>7</v>
      </c>
      <c r="D345" t="s">
        <v>57</v>
      </c>
      <c r="E345" t="s">
        <v>81</v>
      </c>
      <c r="F345" t="s">
        <v>93</v>
      </c>
      <c r="G345" s="56">
        <v>534000</v>
      </c>
    </row>
    <row r="346" spans="2:7" x14ac:dyDescent="0.15">
      <c r="B346">
        <v>2025</v>
      </c>
      <c r="C346">
        <v>7</v>
      </c>
      <c r="D346" t="s">
        <v>57</v>
      </c>
      <c r="E346" t="s">
        <v>58</v>
      </c>
      <c r="F346" t="s">
        <v>55</v>
      </c>
      <c r="G346" s="56">
        <v>1227000</v>
      </c>
    </row>
    <row r="347" spans="2:7" x14ac:dyDescent="0.15">
      <c r="B347">
        <v>2025</v>
      </c>
      <c r="C347">
        <v>7</v>
      </c>
      <c r="D347" t="s">
        <v>57</v>
      </c>
      <c r="E347" t="s">
        <v>58</v>
      </c>
      <c r="F347" t="s">
        <v>62</v>
      </c>
      <c r="G347" s="56">
        <v>875000</v>
      </c>
    </row>
    <row r="348" spans="2:7" x14ac:dyDescent="0.15">
      <c r="B348">
        <v>2025</v>
      </c>
      <c r="C348">
        <v>7</v>
      </c>
      <c r="D348" t="s">
        <v>57</v>
      </c>
      <c r="E348" t="s">
        <v>58</v>
      </c>
      <c r="F348" t="s">
        <v>75</v>
      </c>
      <c r="G348" s="56">
        <v>712000</v>
      </c>
    </row>
    <row r="349" spans="2:7" x14ac:dyDescent="0.15">
      <c r="B349">
        <v>2025</v>
      </c>
      <c r="C349">
        <v>7</v>
      </c>
      <c r="D349" t="s">
        <v>57</v>
      </c>
      <c r="E349" t="s">
        <v>58</v>
      </c>
      <c r="F349" t="s">
        <v>88</v>
      </c>
      <c r="G349" s="56">
        <v>722000</v>
      </c>
    </row>
    <row r="350" spans="2:7" x14ac:dyDescent="0.15">
      <c r="B350">
        <v>2025</v>
      </c>
      <c r="C350">
        <v>7</v>
      </c>
      <c r="D350" t="s">
        <v>57</v>
      </c>
      <c r="E350" t="s">
        <v>58</v>
      </c>
      <c r="F350" t="s">
        <v>93</v>
      </c>
      <c r="G350" s="56">
        <v>331000</v>
      </c>
    </row>
    <row r="351" spans="2:7" x14ac:dyDescent="0.15">
      <c r="B351">
        <v>2025</v>
      </c>
      <c r="C351">
        <v>7</v>
      </c>
      <c r="D351" t="s">
        <v>125</v>
      </c>
      <c r="E351" t="s">
        <v>138</v>
      </c>
      <c r="F351" t="s">
        <v>55</v>
      </c>
      <c r="G351" s="56">
        <v>1450000</v>
      </c>
    </row>
    <row r="352" spans="2:7" x14ac:dyDescent="0.15">
      <c r="B352">
        <v>2025</v>
      </c>
      <c r="C352">
        <v>7</v>
      </c>
      <c r="D352" t="s">
        <v>125</v>
      </c>
      <c r="E352" t="s">
        <v>138</v>
      </c>
      <c r="F352" t="s">
        <v>62</v>
      </c>
      <c r="G352" s="56">
        <v>1032000</v>
      </c>
    </row>
    <row r="353" spans="2:7" x14ac:dyDescent="0.15">
      <c r="B353">
        <v>2025</v>
      </c>
      <c r="C353">
        <v>7</v>
      </c>
      <c r="D353" t="s">
        <v>125</v>
      </c>
      <c r="E353" t="s">
        <v>138</v>
      </c>
      <c r="F353" t="s">
        <v>75</v>
      </c>
      <c r="G353" s="56">
        <v>877000</v>
      </c>
    </row>
    <row r="354" spans="2:7" x14ac:dyDescent="0.15">
      <c r="B354">
        <v>2025</v>
      </c>
      <c r="C354">
        <v>7</v>
      </c>
      <c r="D354" t="s">
        <v>125</v>
      </c>
      <c r="E354" t="s">
        <v>138</v>
      </c>
      <c r="F354" t="s">
        <v>88</v>
      </c>
      <c r="G354" s="56">
        <v>848000</v>
      </c>
    </row>
    <row r="355" spans="2:7" x14ac:dyDescent="0.15">
      <c r="B355">
        <v>2025</v>
      </c>
      <c r="C355">
        <v>7</v>
      </c>
      <c r="D355" t="s">
        <v>125</v>
      </c>
      <c r="E355" t="s">
        <v>138</v>
      </c>
      <c r="F355" t="s">
        <v>93</v>
      </c>
      <c r="G355" s="56">
        <v>400000</v>
      </c>
    </row>
    <row r="356" spans="2:7" x14ac:dyDescent="0.15">
      <c r="B356">
        <v>2025</v>
      </c>
      <c r="C356">
        <v>7</v>
      </c>
      <c r="D356" t="s">
        <v>125</v>
      </c>
      <c r="E356" t="s">
        <v>126</v>
      </c>
      <c r="F356" t="s">
        <v>55</v>
      </c>
      <c r="G356" s="56">
        <v>799000</v>
      </c>
    </row>
    <row r="357" spans="2:7" x14ac:dyDescent="0.15">
      <c r="B357">
        <v>2025</v>
      </c>
      <c r="C357">
        <v>7</v>
      </c>
      <c r="D357" t="s">
        <v>125</v>
      </c>
      <c r="E357" t="s">
        <v>126</v>
      </c>
      <c r="F357" t="s">
        <v>62</v>
      </c>
      <c r="G357" s="56">
        <v>565000</v>
      </c>
    </row>
    <row r="358" spans="2:7" x14ac:dyDescent="0.15">
      <c r="B358">
        <v>2025</v>
      </c>
      <c r="C358">
        <v>7</v>
      </c>
      <c r="D358" t="s">
        <v>125</v>
      </c>
      <c r="E358" t="s">
        <v>126</v>
      </c>
      <c r="F358" t="s">
        <v>75</v>
      </c>
      <c r="G358" s="56">
        <v>457000</v>
      </c>
    </row>
    <row r="359" spans="2:7" x14ac:dyDescent="0.15">
      <c r="B359">
        <v>2025</v>
      </c>
      <c r="C359">
        <v>7</v>
      </c>
      <c r="D359" t="s">
        <v>125</v>
      </c>
      <c r="E359" t="s">
        <v>126</v>
      </c>
      <c r="F359" t="s">
        <v>88</v>
      </c>
      <c r="G359" s="56">
        <v>468000</v>
      </c>
    </row>
    <row r="360" spans="2:7" x14ac:dyDescent="0.15">
      <c r="B360">
        <v>2025</v>
      </c>
      <c r="C360">
        <v>7</v>
      </c>
      <c r="D360" t="s">
        <v>125</v>
      </c>
      <c r="E360" t="s">
        <v>126</v>
      </c>
      <c r="F360" t="s">
        <v>93</v>
      </c>
      <c r="G360" s="56">
        <v>216000</v>
      </c>
    </row>
    <row r="361" spans="2:7" x14ac:dyDescent="0.15">
      <c r="B361">
        <v>2025</v>
      </c>
      <c r="C361">
        <v>7</v>
      </c>
      <c r="D361" t="s">
        <v>70</v>
      </c>
      <c r="E361" t="s">
        <v>84</v>
      </c>
      <c r="F361" t="s">
        <v>55</v>
      </c>
      <c r="G361" s="56">
        <v>1290000</v>
      </c>
    </row>
    <row r="362" spans="2:7" x14ac:dyDescent="0.15">
      <c r="B362">
        <v>2025</v>
      </c>
      <c r="C362">
        <v>7</v>
      </c>
      <c r="D362" t="s">
        <v>70</v>
      </c>
      <c r="E362" t="s">
        <v>84</v>
      </c>
      <c r="F362" t="s">
        <v>62</v>
      </c>
      <c r="G362" s="56">
        <v>930000</v>
      </c>
    </row>
    <row r="363" spans="2:7" x14ac:dyDescent="0.15">
      <c r="B363">
        <v>2025</v>
      </c>
      <c r="C363">
        <v>7</v>
      </c>
      <c r="D363" t="s">
        <v>70</v>
      </c>
      <c r="E363" t="s">
        <v>84</v>
      </c>
      <c r="F363" t="s">
        <v>75</v>
      </c>
      <c r="G363" s="56">
        <v>770000</v>
      </c>
    </row>
    <row r="364" spans="2:7" x14ac:dyDescent="0.15">
      <c r="B364">
        <v>2025</v>
      </c>
      <c r="C364">
        <v>7</v>
      </c>
      <c r="D364" t="s">
        <v>70</v>
      </c>
      <c r="E364" t="s">
        <v>84</v>
      </c>
      <c r="F364" t="s">
        <v>88</v>
      </c>
      <c r="G364" s="56">
        <v>788000</v>
      </c>
    </row>
    <row r="365" spans="2:7" x14ac:dyDescent="0.15">
      <c r="B365">
        <v>2025</v>
      </c>
      <c r="C365">
        <v>7</v>
      </c>
      <c r="D365" t="s">
        <v>70</v>
      </c>
      <c r="E365" t="s">
        <v>84</v>
      </c>
      <c r="F365" t="s">
        <v>93</v>
      </c>
      <c r="G365" s="56">
        <v>355000</v>
      </c>
    </row>
    <row r="366" spans="2:7" x14ac:dyDescent="0.15">
      <c r="B366">
        <v>2025</v>
      </c>
      <c r="C366">
        <v>7</v>
      </c>
      <c r="D366" t="s">
        <v>70</v>
      </c>
      <c r="E366" t="s">
        <v>71</v>
      </c>
      <c r="F366" t="s">
        <v>55</v>
      </c>
      <c r="G366" s="56">
        <v>967000</v>
      </c>
    </row>
    <row r="367" spans="2:7" x14ac:dyDescent="0.15">
      <c r="B367">
        <v>2025</v>
      </c>
      <c r="C367">
        <v>7</v>
      </c>
      <c r="D367" t="s">
        <v>70</v>
      </c>
      <c r="E367" t="s">
        <v>71</v>
      </c>
      <c r="F367" t="s">
        <v>62</v>
      </c>
      <c r="G367" s="56">
        <v>676000</v>
      </c>
    </row>
    <row r="368" spans="2:7" x14ac:dyDescent="0.15">
      <c r="B368">
        <v>2025</v>
      </c>
      <c r="C368">
        <v>7</v>
      </c>
      <c r="D368" t="s">
        <v>70</v>
      </c>
      <c r="E368" t="s">
        <v>71</v>
      </c>
      <c r="F368" t="s">
        <v>75</v>
      </c>
      <c r="G368" s="56">
        <v>572000</v>
      </c>
    </row>
    <row r="369" spans="2:7" x14ac:dyDescent="0.15">
      <c r="B369">
        <v>2025</v>
      </c>
      <c r="C369">
        <v>7</v>
      </c>
      <c r="D369" t="s">
        <v>70</v>
      </c>
      <c r="E369" t="s">
        <v>71</v>
      </c>
      <c r="F369" t="s">
        <v>88</v>
      </c>
      <c r="G369" s="56">
        <v>565000</v>
      </c>
    </row>
    <row r="370" spans="2:7" x14ac:dyDescent="0.15">
      <c r="B370">
        <v>2025</v>
      </c>
      <c r="C370">
        <v>7</v>
      </c>
      <c r="D370" t="s">
        <v>70</v>
      </c>
      <c r="E370" t="s">
        <v>71</v>
      </c>
      <c r="F370" t="s">
        <v>93</v>
      </c>
      <c r="G370" s="56">
        <v>256000</v>
      </c>
    </row>
    <row r="371" spans="2:7" x14ac:dyDescent="0.15">
      <c r="B371">
        <v>2025</v>
      </c>
      <c r="C371">
        <v>8</v>
      </c>
      <c r="D371" t="s">
        <v>64</v>
      </c>
      <c r="E371" t="s">
        <v>65</v>
      </c>
      <c r="F371" t="s">
        <v>55</v>
      </c>
      <c r="G371" s="56">
        <v>3101000</v>
      </c>
    </row>
    <row r="372" spans="2:7" x14ac:dyDescent="0.15">
      <c r="B372">
        <v>2025</v>
      </c>
      <c r="C372">
        <v>8</v>
      </c>
      <c r="D372" t="s">
        <v>64</v>
      </c>
      <c r="E372" t="s">
        <v>65</v>
      </c>
      <c r="F372" t="s">
        <v>62</v>
      </c>
      <c r="G372" s="56">
        <v>2105000</v>
      </c>
    </row>
    <row r="373" spans="2:7" x14ac:dyDescent="0.15">
      <c r="B373">
        <v>2025</v>
      </c>
      <c r="C373">
        <v>8</v>
      </c>
      <c r="D373" t="s">
        <v>64</v>
      </c>
      <c r="E373" t="s">
        <v>65</v>
      </c>
      <c r="F373" t="s">
        <v>75</v>
      </c>
      <c r="G373" s="56">
        <v>1755000</v>
      </c>
    </row>
    <row r="374" spans="2:7" x14ac:dyDescent="0.15">
      <c r="B374">
        <v>2025</v>
      </c>
      <c r="C374">
        <v>8</v>
      </c>
      <c r="D374" t="s">
        <v>64</v>
      </c>
      <c r="E374" t="s">
        <v>65</v>
      </c>
      <c r="F374" t="s">
        <v>88</v>
      </c>
      <c r="G374" s="56">
        <v>1424000</v>
      </c>
    </row>
    <row r="375" spans="2:7" x14ac:dyDescent="0.15">
      <c r="B375">
        <v>2025</v>
      </c>
      <c r="C375">
        <v>8</v>
      </c>
      <c r="D375" t="s">
        <v>64</v>
      </c>
      <c r="E375" t="s">
        <v>65</v>
      </c>
      <c r="F375" t="s">
        <v>93</v>
      </c>
      <c r="G375" s="56">
        <v>816000</v>
      </c>
    </row>
    <row r="376" spans="2:7" x14ac:dyDescent="0.15">
      <c r="B376">
        <v>2025</v>
      </c>
      <c r="C376">
        <v>8</v>
      </c>
      <c r="D376" t="s">
        <v>64</v>
      </c>
      <c r="E376" t="s">
        <v>96</v>
      </c>
      <c r="F376" t="s">
        <v>55</v>
      </c>
      <c r="G376" s="56">
        <v>2546000</v>
      </c>
    </row>
    <row r="377" spans="2:7" x14ac:dyDescent="0.15">
      <c r="B377">
        <v>2025</v>
      </c>
      <c r="C377">
        <v>8</v>
      </c>
      <c r="D377" t="s">
        <v>64</v>
      </c>
      <c r="E377" t="s">
        <v>96</v>
      </c>
      <c r="F377" t="s">
        <v>62</v>
      </c>
      <c r="G377" s="56">
        <v>1733000</v>
      </c>
    </row>
    <row r="378" spans="2:7" x14ac:dyDescent="0.15">
      <c r="B378">
        <v>2025</v>
      </c>
      <c r="C378">
        <v>8</v>
      </c>
      <c r="D378" t="s">
        <v>64</v>
      </c>
      <c r="E378" t="s">
        <v>96</v>
      </c>
      <c r="F378" t="s">
        <v>75</v>
      </c>
      <c r="G378" s="56">
        <v>1418000</v>
      </c>
    </row>
    <row r="379" spans="2:7" x14ac:dyDescent="0.15">
      <c r="B379">
        <v>2025</v>
      </c>
      <c r="C379">
        <v>8</v>
      </c>
      <c r="D379" t="s">
        <v>64</v>
      </c>
      <c r="E379" t="s">
        <v>96</v>
      </c>
      <c r="F379" t="s">
        <v>88</v>
      </c>
      <c r="G379" s="56">
        <v>1149000</v>
      </c>
    </row>
    <row r="380" spans="2:7" x14ac:dyDescent="0.15">
      <c r="B380">
        <v>2025</v>
      </c>
      <c r="C380">
        <v>8</v>
      </c>
      <c r="D380" t="s">
        <v>64</v>
      </c>
      <c r="E380" t="s">
        <v>96</v>
      </c>
      <c r="F380" t="s">
        <v>93</v>
      </c>
      <c r="G380" s="56">
        <v>662000</v>
      </c>
    </row>
    <row r="381" spans="2:7" x14ac:dyDescent="0.15">
      <c r="B381">
        <v>2025</v>
      </c>
      <c r="C381">
        <v>8</v>
      </c>
      <c r="D381" t="s">
        <v>77</v>
      </c>
      <c r="E381" t="s">
        <v>107</v>
      </c>
      <c r="F381" t="s">
        <v>55</v>
      </c>
      <c r="G381" s="56">
        <v>2088000</v>
      </c>
    </row>
    <row r="382" spans="2:7" x14ac:dyDescent="0.15">
      <c r="B382">
        <v>2025</v>
      </c>
      <c r="C382">
        <v>8</v>
      </c>
      <c r="D382" t="s">
        <v>77</v>
      </c>
      <c r="E382" t="s">
        <v>107</v>
      </c>
      <c r="F382" t="s">
        <v>62</v>
      </c>
      <c r="G382" s="56">
        <v>1495000</v>
      </c>
    </row>
    <row r="383" spans="2:7" x14ac:dyDescent="0.15">
      <c r="B383">
        <v>2025</v>
      </c>
      <c r="C383">
        <v>8</v>
      </c>
      <c r="D383" t="s">
        <v>77</v>
      </c>
      <c r="E383" t="s">
        <v>107</v>
      </c>
      <c r="F383" t="s">
        <v>75</v>
      </c>
      <c r="G383" s="56">
        <v>1234000</v>
      </c>
    </row>
    <row r="384" spans="2:7" x14ac:dyDescent="0.15">
      <c r="B384">
        <v>2025</v>
      </c>
      <c r="C384">
        <v>8</v>
      </c>
      <c r="D384" t="s">
        <v>77</v>
      </c>
      <c r="E384" t="s">
        <v>107</v>
      </c>
      <c r="F384" t="s">
        <v>88</v>
      </c>
      <c r="G384" s="56">
        <v>974000</v>
      </c>
    </row>
    <row r="385" spans="2:7" x14ac:dyDescent="0.15">
      <c r="B385">
        <v>2025</v>
      </c>
      <c r="C385">
        <v>8</v>
      </c>
      <c r="D385" t="s">
        <v>77</v>
      </c>
      <c r="E385" t="s">
        <v>107</v>
      </c>
      <c r="F385" t="s">
        <v>93</v>
      </c>
      <c r="G385" s="56">
        <v>577000</v>
      </c>
    </row>
    <row r="386" spans="2:7" x14ac:dyDescent="0.15">
      <c r="B386">
        <v>2025</v>
      </c>
      <c r="C386">
        <v>8</v>
      </c>
      <c r="D386" t="s">
        <v>77</v>
      </c>
      <c r="E386" t="s">
        <v>78</v>
      </c>
      <c r="F386" t="s">
        <v>55</v>
      </c>
      <c r="G386" s="56">
        <v>1430000</v>
      </c>
    </row>
    <row r="387" spans="2:7" x14ac:dyDescent="0.15">
      <c r="B387">
        <v>2025</v>
      </c>
      <c r="C387">
        <v>8</v>
      </c>
      <c r="D387" t="s">
        <v>77</v>
      </c>
      <c r="E387" t="s">
        <v>78</v>
      </c>
      <c r="F387" t="s">
        <v>62</v>
      </c>
      <c r="G387" s="56">
        <v>981000</v>
      </c>
    </row>
    <row r="388" spans="2:7" x14ac:dyDescent="0.15">
      <c r="B388">
        <v>2025</v>
      </c>
      <c r="C388">
        <v>8</v>
      </c>
      <c r="D388" t="s">
        <v>77</v>
      </c>
      <c r="E388" t="s">
        <v>78</v>
      </c>
      <c r="F388" t="s">
        <v>75</v>
      </c>
      <c r="G388" s="56">
        <v>821000</v>
      </c>
    </row>
    <row r="389" spans="2:7" x14ac:dyDescent="0.15">
      <c r="B389">
        <v>2025</v>
      </c>
      <c r="C389">
        <v>8</v>
      </c>
      <c r="D389" t="s">
        <v>77</v>
      </c>
      <c r="E389" t="s">
        <v>78</v>
      </c>
      <c r="F389" t="s">
        <v>88</v>
      </c>
      <c r="G389" s="56">
        <v>652000</v>
      </c>
    </row>
    <row r="390" spans="2:7" x14ac:dyDescent="0.15">
      <c r="B390">
        <v>2025</v>
      </c>
      <c r="C390">
        <v>8</v>
      </c>
      <c r="D390" t="s">
        <v>77</v>
      </c>
      <c r="E390" t="s">
        <v>78</v>
      </c>
      <c r="F390" t="s">
        <v>93</v>
      </c>
      <c r="G390" s="56">
        <v>376000</v>
      </c>
    </row>
    <row r="391" spans="2:7" x14ac:dyDescent="0.15">
      <c r="B391">
        <v>2025</v>
      </c>
      <c r="C391">
        <v>8</v>
      </c>
      <c r="D391" t="s">
        <v>57</v>
      </c>
      <c r="E391" t="s">
        <v>81</v>
      </c>
      <c r="F391" t="s">
        <v>55</v>
      </c>
      <c r="G391" s="56">
        <v>1815000</v>
      </c>
    </row>
    <row r="392" spans="2:7" x14ac:dyDescent="0.15">
      <c r="B392">
        <v>2025</v>
      </c>
      <c r="C392">
        <v>8</v>
      </c>
      <c r="D392" t="s">
        <v>57</v>
      </c>
      <c r="E392" t="s">
        <v>81</v>
      </c>
      <c r="F392" t="s">
        <v>62</v>
      </c>
      <c r="G392" s="56">
        <v>1249000</v>
      </c>
    </row>
    <row r="393" spans="2:7" x14ac:dyDescent="0.15">
      <c r="B393">
        <v>2025</v>
      </c>
      <c r="C393">
        <v>8</v>
      </c>
      <c r="D393" t="s">
        <v>57</v>
      </c>
      <c r="E393" t="s">
        <v>81</v>
      </c>
      <c r="F393" t="s">
        <v>75</v>
      </c>
      <c r="G393" s="56">
        <v>1020000</v>
      </c>
    </row>
    <row r="394" spans="2:7" x14ac:dyDescent="0.15">
      <c r="B394">
        <v>2025</v>
      </c>
      <c r="C394">
        <v>8</v>
      </c>
      <c r="D394" t="s">
        <v>57</v>
      </c>
      <c r="E394" t="s">
        <v>81</v>
      </c>
      <c r="F394" t="s">
        <v>88</v>
      </c>
      <c r="G394" s="56">
        <v>841000</v>
      </c>
    </row>
    <row r="395" spans="2:7" x14ac:dyDescent="0.15">
      <c r="B395">
        <v>2025</v>
      </c>
      <c r="C395">
        <v>8</v>
      </c>
      <c r="D395" t="s">
        <v>57</v>
      </c>
      <c r="E395" t="s">
        <v>81</v>
      </c>
      <c r="F395" t="s">
        <v>93</v>
      </c>
      <c r="G395" s="56">
        <v>480000</v>
      </c>
    </row>
    <row r="396" spans="2:7" x14ac:dyDescent="0.15">
      <c r="B396">
        <v>2025</v>
      </c>
      <c r="C396">
        <v>8</v>
      </c>
      <c r="D396" t="s">
        <v>57</v>
      </c>
      <c r="E396" t="s">
        <v>58</v>
      </c>
      <c r="F396" t="s">
        <v>55</v>
      </c>
      <c r="G396" s="56">
        <v>1107000</v>
      </c>
    </row>
    <row r="397" spans="2:7" x14ac:dyDescent="0.15">
      <c r="B397">
        <v>2025</v>
      </c>
      <c r="C397">
        <v>8</v>
      </c>
      <c r="D397" t="s">
        <v>57</v>
      </c>
      <c r="E397" t="s">
        <v>58</v>
      </c>
      <c r="F397" t="s">
        <v>62</v>
      </c>
      <c r="G397" s="56">
        <v>769000</v>
      </c>
    </row>
    <row r="398" spans="2:7" x14ac:dyDescent="0.15">
      <c r="B398">
        <v>2025</v>
      </c>
      <c r="C398">
        <v>8</v>
      </c>
      <c r="D398" t="s">
        <v>57</v>
      </c>
      <c r="E398" t="s">
        <v>58</v>
      </c>
      <c r="F398" t="s">
        <v>75</v>
      </c>
      <c r="G398" s="56">
        <v>640000</v>
      </c>
    </row>
    <row r="399" spans="2:7" x14ac:dyDescent="0.15">
      <c r="B399">
        <v>2025</v>
      </c>
      <c r="C399">
        <v>8</v>
      </c>
      <c r="D399" t="s">
        <v>57</v>
      </c>
      <c r="E399" t="s">
        <v>58</v>
      </c>
      <c r="F399" t="s">
        <v>88</v>
      </c>
      <c r="G399" s="56">
        <v>515000</v>
      </c>
    </row>
    <row r="400" spans="2:7" x14ac:dyDescent="0.15">
      <c r="B400">
        <v>2025</v>
      </c>
      <c r="C400">
        <v>8</v>
      </c>
      <c r="D400" t="s">
        <v>57</v>
      </c>
      <c r="E400" t="s">
        <v>58</v>
      </c>
      <c r="F400" t="s">
        <v>93</v>
      </c>
      <c r="G400" s="56">
        <v>302000</v>
      </c>
    </row>
    <row r="401" spans="2:7" x14ac:dyDescent="0.15">
      <c r="B401">
        <v>2025</v>
      </c>
      <c r="C401">
        <v>8</v>
      </c>
      <c r="D401" t="s">
        <v>125</v>
      </c>
      <c r="E401" t="s">
        <v>138</v>
      </c>
      <c r="F401" t="s">
        <v>55</v>
      </c>
      <c r="G401" s="56">
        <v>1326000</v>
      </c>
    </row>
    <row r="402" spans="2:7" x14ac:dyDescent="0.15">
      <c r="B402">
        <v>2025</v>
      </c>
      <c r="C402">
        <v>8</v>
      </c>
      <c r="D402" t="s">
        <v>125</v>
      </c>
      <c r="E402" t="s">
        <v>138</v>
      </c>
      <c r="F402" t="s">
        <v>62</v>
      </c>
      <c r="G402" s="56">
        <v>940000</v>
      </c>
    </row>
    <row r="403" spans="2:7" x14ac:dyDescent="0.15">
      <c r="B403">
        <v>2025</v>
      </c>
      <c r="C403">
        <v>8</v>
      </c>
      <c r="D403" t="s">
        <v>125</v>
      </c>
      <c r="E403" t="s">
        <v>138</v>
      </c>
      <c r="F403" t="s">
        <v>75</v>
      </c>
      <c r="G403" s="56">
        <v>757000</v>
      </c>
    </row>
    <row r="404" spans="2:7" x14ac:dyDescent="0.15">
      <c r="B404">
        <v>2025</v>
      </c>
      <c r="C404">
        <v>8</v>
      </c>
      <c r="D404" t="s">
        <v>125</v>
      </c>
      <c r="E404" t="s">
        <v>138</v>
      </c>
      <c r="F404" t="s">
        <v>88</v>
      </c>
      <c r="G404" s="56">
        <v>613000</v>
      </c>
    </row>
    <row r="405" spans="2:7" x14ac:dyDescent="0.15">
      <c r="B405">
        <v>2025</v>
      </c>
      <c r="C405">
        <v>8</v>
      </c>
      <c r="D405" t="s">
        <v>125</v>
      </c>
      <c r="E405" t="s">
        <v>138</v>
      </c>
      <c r="F405" t="s">
        <v>93</v>
      </c>
      <c r="G405" s="56">
        <v>352000</v>
      </c>
    </row>
    <row r="406" spans="2:7" x14ac:dyDescent="0.15">
      <c r="B406">
        <v>2025</v>
      </c>
      <c r="C406">
        <v>8</v>
      </c>
      <c r="D406" t="s">
        <v>125</v>
      </c>
      <c r="E406" t="s">
        <v>126</v>
      </c>
      <c r="F406" t="s">
        <v>55</v>
      </c>
      <c r="G406" s="56">
        <v>719000</v>
      </c>
    </row>
    <row r="407" spans="2:7" x14ac:dyDescent="0.15">
      <c r="B407">
        <v>2025</v>
      </c>
      <c r="C407">
        <v>8</v>
      </c>
      <c r="D407" t="s">
        <v>125</v>
      </c>
      <c r="E407" t="s">
        <v>126</v>
      </c>
      <c r="F407" t="s">
        <v>62</v>
      </c>
      <c r="G407" s="56">
        <v>501000</v>
      </c>
    </row>
    <row r="408" spans="2:7" x14ac:dyDescent="0.15">
      <c r="B408">
        <v>2025</v>
      </c>
      <c r="C408">
        <v>8</v>
      </c>
      <c r="D408" t="s">
        <v>125</v>
      </c>
      <c r="E408" t="s">
        <v>126</v>
      </c>
      <c r="F408" t="s">
        <v>75</v>
      </c>
      <c r="G408" s="56">
        <v>411000</v>
      </c>
    </row>
    <row r="409" spans="2:7" x14ac:dyDescent="0.15">
      <c r="B409">
        <v>2025</v>
      </c>
      <c r="C409">
        <v>8</v>
      </c>
      <c r="D409" t="s">
        <v>125</v>
      </c>
      <c r="E409" t="s">
        <v>126</v>
      </c>
      <c r="F409" t="s">
        <v>88</v>
      </c>
      <c r="G409" s="56">
        <v>340000</v>
      </c>
    </row>
    <row r="410" spans="2:7" x14ac:dyDescent="0.15">
      <c r="B410">
        <v>2025</v>
      </c>
      <c r="C410">
        <v>8</v>
      </c>
      <c r="D410" t="s">
        <v>125</v>
      </c>
      <c r="E410" t="s">
        <v>126</v>
      </c>
      <c r="F410" t="s">
        <v>93</v>
      </c>
      <c r="G410" s="56">
        <v>192000</v>
      </c>
    </row>
    <row r="411" spans="2:7" x14ac:dyDescent="0.15">
      <c r="B411">
        <v>2025</v>
      </c>
      <c r="C411">
        <v>8</v>
      </c>
      <c r="D411" t="s">
        <v>70</v>
      </c>
      <c r="E411" t="s">
        <v>84</v>
      </c>
      <c r="F411" t="s">
        <v>55</v>
      </c>
      <c r="G411" s="56">
        <v>1193000</v>
      </c>
    </row>
    <row r="412" spans="2:7" x14ac:dyDescent="0.15">
      <c r="B412">
        <v>2025</v>
      </c>
      <c r="C412">
        <v>8</v>
      </c>
      <c r="D412" t="s">
        <v>70</v>
      </c>
      <c r="E412" t="s">
        <v>84</v>
      </c>
      <c r="F412" t="s">
        <v>62</v>
      </c>
      <c r="G412" s="56">
        <v>846000</v>
      </c>
    </row>
    <row r="413" spans="2:7" x14ac:dyDescent="0.15">
      <c r="B413">
        <v>2025</v>
      </c>
      <c r="C413">
        <v>8</v>
      </c>
      <c r="D413" t="s">
        <v>70</v>
      </c>
      <c r="E413" t="s">
        <v>84</v>
      </c>
      <c r="F413" t="s">
        <v>75</v>
      </c>
      <c r="G413" s="56">
        <v>686000</v>
      </c>
    </row>
    <row r="414" spans="2:7" x14ac:dyDescent="0.15">
      <c r="B414">
        <v>2025</v>
      </c>
      <c r="C414">
        <v>8</v>
      </c>
      <c r="D414" t="s">
        <v>70</v>
      </c>
      <c r="E414" t="s">
        <v>84</v>
      </c>
      <c r="F414" t="s">
        <v>88</v>
      </c>
      <c r="G414" s="56">
        <v>554000</v>
      </c>
    </row>
    <row r="415" spans="2:7" x14ac:dyDescent="0.15">
      <c r="B415">
        <v>2025</v>
      </c>
      <c r="C415">
        <v>8</v>
      </c>
      <c r="D415" t="s">
        <v>70</v>
      </c>
      <c r="E415" t="s">
        <v>84</v>
      </c>
      <c r="F415" t="s">
        <v>93</v>
      </c>
      <c r="G415" s="56">
        <v>322000</v>
      </c>
    </row>
    <row r="416" spans="2:7" x14ac:dyDescent="0.15">
      <c r="B416">
        <v>2025</v>
      </c>
      <c r="C416">
        <v>8</v>
      </c>
      <c r="D416" t="s">
        <v>70</v>
      </c>
      <c r="E416" t="s">
        <v>71</v>
      </c>
      <c r="F416" t="s">
        <v>55</v>
      </c>
      <c r="G416" s="56">
        <v>877000</v>
      </c>
    </row>
    <row r="417" spans="2:7" x14ac:dyDescent="0.15">
      <c r="B417">
        <v>2025</v>
      </c>
      <c r="C417">
        <v>8</v>
      </c>
      <c r="D417" t="s">
        <v>70</v>
      </c>
      <c r="E417" t="s">
        <v>71</v>
      </c>
      <c r="F417" t="s">
        <v>62</v>
      </c>
      <c r="G417" s="56">
        <v>605000</v>
      </c>
    </row>
    <row r="418" spans="2:7" x14ac:dyDescent="0.15">
      <c r="B418">
        <v>2025</v>
      </c>
      <c r="C418">
        <v>8</v>
      </c>
      <c r="D418" t="s">
        <v>70</v>
      </c>
      <c r="E418" t="s">
        <v>71</v>
      </c>
      <c r="F418" t="s">
        <v>75</v>
      </c>
      <c r="G418" s="56">
        <v>496000</v>
      </c>
    </row>
    <row r="419" spans="2:7" x14ac:dyDescent="0.15">
      <c r="B419">
        <v>2025</v>
      </c>
      <c r="C419">
        <v>8</v>
      </c>
      <c r="D419" t="s">
        <v>70</v>
      </c>
      <c r="E419" t="s">
        <v>71</v>
      </c>
      <c r="F419" t="s">
        <v>88</v>
      </c>
      <c r="G419" s="56">
        <v>402000</v>
      </c>
    </row>
    <row r="420" spans="2:7" x14ac:dyDescent="0.15">
      <c r="B420">
        <v>2025</v>
      </c>
      <c r="C420">
        <v>8</v>
      </c>
      <c r="D420" t="s">
        <v>70</v>
      </c>
      <c r="E420" t="s">
        <v>71</v>
      </c>
      <c r="F420" t="s">
        <v>93</v>
      </c>
      <c r="G420" s="56">
        <v>235000</v>
      </c>
    </row>
    <row r="421" spans="2:7" x14ac:dyDescent="0.15">
      <c r="B421">
        <v>2025</v>
      </c>
      <c r="C421">
        <v>9</v>
      </c>
      <c r="D421" t="s">
        <v>64</v>
      </c>
      <c r="E421" t="s">
        <v>65</v>
      </c>
      <c r="F421" t="s">
        <v>55</v>
      </c>
      <c r="G421" s="56">
        <v>3026000</v>
      </c>
    </row>
    <row r="422" spans="2:7" x14ac:dyDescent="0.15">
      <c r="B422">
        <v>2025</v>
      </c>
      <c r="C422">
        <v>9</v>
      </c>
      <c r="D422" t="s">
        <v>64</v>
      </c>
      <c r="E422" t="s">
        <v>65</v>
      </c>
      <c r="F422" t="s">
        <v>62</v>
      </c>
      <c r="G422" s="56">
        <v>2083000</v>
      </c>
    </row>
    <row r="423" spans="2:7" x14ac:dyDescent="0.15">
      <c r="B423">
        <v>2025</v>
      </c>
      <c r="C423">
        <v>9</v>
      </c>
      <c r="D423" t="s">
        <v>64</v>
      </c>
      <c r="E423" t="s">
        <v>65</v>
      </c>
      <c r="F423" t="s">
        <v>75</v>
      </c>
      <c r="G423" s="56">
        <v>1704000</v>
      </c>
    </row>
    <row r="424" spans="2:7" x14ac:dyDescent="0.15">
      <c r="B424">
        <v>2025</v>
      </c>
      <c r="C424">
        <v>9</v>
      </c>
      <c r="D424" t="s">
        <v>64</v>
      </c>
      <c r="E424" t="s">
        <v>65</v>
      </c>
      <c r="F424" t="s">
        <v>88</v>
      </c>
      <c r="G424" s="56">
        <v>1352000</v>
      </c>
    </row>
    <row r="425" spans="2:7" x14ac:dyDescent="0.15">
      <c r="B425">
        <v>2025</v>
      </c>
      <c r="C425">
        <v>9</v>
      </c>
      <c r="D425" t="s">
        <v>64</v>
      </c>
      <c r="E425" t="s">
        <v>65</v>
      </c>
      <c r="F425" t="s">
        <v>93</v>
      </c>
      <c r="G425" s="56">
        <v>901000</v>
      </c>
    </row>
    <row r="426" spans="2:7" x14ac:dyDescent="0.15">
      <c r="B426">
        <v>2025</v>
      </c>
      <c r="C426">
        <v>9</v>
      </c>
      <c r="D426" t="s">
        <v>64</v>
      </c>
      <c r="E426" t="s">
        <v>96</v>
      </c>
      <c r="F426" t="s">
        <v>55</v>
      </c>
      <c r="G426" s="56">
        <v>2506000</v>
      </c>
    </row>
    <row r="427" spans="2:7" x14ac:dyDescent="0.15">
      <c r="B427">
        <v>2025</v>
      </c>
      <c r="C427">
        <v>9</v>
      </c>
      <c r="D427" t="s">
        <v>64</v>
      </c>
      <c r="E427" t="s">
        <v>96</v>
      </c>
      <c r="F427" t="s">
        <v>62</v>
      </c>
      <c r="G427" s="56">
        <v>1696000</v>
      </c>
    </row>
    <row r="428" spans="2:7" x14ac:dyDescent="0.15">
      <c r="B428">
        <v>2025</v>
      </c>
      <c r="C428">
        <v>9</v>
      </c>
      <c r="D428" t="s">
        <v>64</v>
      </c>
      <c r="E428" t="s">
        <v>96</v>
      </c>
      <c r="F428" t="s">
        <v>75</v>
      </c>
      <c r="G428" s="56">
        <v>1411000</v>
      </c>
    </row>
    <row r="429" spans="2:7" x14ac:dyDescent="0.15">
      <c r="B429">
        <v>2025</v>
      </c>
      <c r="C429">
        <v>9</v>
      </c>
      <c r="D429" t="s">
        <v>64</v>
      </c>
      <c r="E429" t="s">
        <v>96</v>
      </c>
      <c r="F429" t="s">
        <v>88</v>
      </c>
      <c r="G429" s="56">
        <v>1138000</v>
      </c>
    </row>
    <row r="430" spans="2:7" x14ac:dyDescent="0.15">
      <c r="B430">
        <v>2025</v>
      </c>
      <c r="C430">
        <v>9</v>
      </c>
      <c r="D430" t="s">
        <v>64</v>
      </c>
      <c r="E430" t="s">
        <v>96</v>
      </c>
      <c r="F430" t="s">
        <v>93</v>
      </c>
      <c r="G430" s="56">
        <v>724000</v>
      </c>
    </row>
    <row r="431" spans="2:7" x14ac:dyDescent="0.15">
      <c r="B431">
        <v>2025</v>
      </c>
      <c r="C431">
        <v>9</v>
      </c>
      <c r="D431" t="s">
        <v>77</v>
      </c>
      <c r="E431" t="s">
        <v>107</v>
      </c>
      <c r="F431" t="s">
        <v>55</v>
      </c>
      <c r="G431" s="56">
        <v>2089000</v>
      </c>
    </row>
    <row r="432" spans="2:7" x14ac:dyDescent="0.15">
      <c r="B432">
        <v>2025</v>
      </c>
      <c r="C432">
        <v>9</v>
      </c>
      <c r="D432" t="s">
        <v>77</v>
      </c>
      <c r="E432" t="s">
        <v>107</v>
      </c>
      <c r="F432" t="s">
        <v>62</v>
      </c>
      <c r="G432" s="56">
        <v>1430000</v>
      </c>
    </row>
    <row r="433" spans="2:7" x14ac:dyDescent="0.15">
      <c r="B433">
        <v>2025</v>
      </c>
      <c r="C433">
        <v>9</v>
      </c>
      <c r="D433" t="s">
        <v>77</v>
      </c>
      <c r="E433" t="s">
        <v>107</v>
      </c>
      <c r="F433" t="s">
        <v>75</v>
      </c>
      <c r="G433" s="56">
        <v>1157000</v>
      </c>
    </row>
    <row r="434" spans="2:7" x14ac:dyDescent="0.15">
      <c r="B434">
        <v>2025</v>
      </c>
      <c r="C434">
        <v>9</v>
      </c>
      <c r="D434" t="s">
        <v>77</v>
      </c>
      <c r="E434" t="s">
        <v>107</v>
      </c>
      <c r="F434" t="s">
        <v>88</v>
      </c>
      <c r="G434" s="56">
        <v>957000</v>
      </c>
    </row>
    <row r="435" spans="2:7" x14ac:dyDescent="0.15">
      <c r="B435">
        <v>2025</v>
      </c>
      <c r="C435">
        <v>9</v>
      </c>
      <c r="D435" t="s">
        <v>77</v>
      </c>
      <c r="E435" t="s">
        <v>107</v>
      </c>
      <c r="F435" t="s">
        <v>93</v>
      </c>
      <c r="G435" s="56">
        <v>612000</v>
      </c>
    </row>
    <row r="436" spans="2:7" x14ac:dyDescent="0.15">
      <c r="B436">
        <v>2025</v>
      </c>
      <c r="C436">
        <v>9</v>
      </c>
      <c r="D436" t="s">
        <v>77</v>
      </c>
      <c r="E436" t="s">
        <v>78</v>
      </c>
      <c r="F436" t="s">
        <v>55</v>
      </c>
      <c r="G436" s="56">
        <v>1402000</v>
      </c>
    </row>
    <row r="437" spans="2:7" x14ac:dyDescent="0.15">
      <c r="B437">
        <v>2025</v>
      </c>
      <c r="C437">
        <v>9</v>
      </c>
      <c r="D437" t="s">
        <v>77</v>
      </c>
      <c r="E437" t="s">
        <v>78</v>
      </c>
      <c r="F437" t="s">
        <v>62</v>
      </c>
      <c r="G437" s="56">
        <v>964000</v>
      </c>
    </row>
    <row r="438" spans="2:7" x14ac:dyDescent="0.15">
      <c r="B438">
        <v>2025</v>
      </c>
      <c r="C438">
        <v>9</v>
      </c>
      <c r="D438" t="s">
        <v>77</v>
      </c>
      <c r="E438" t="s">
        <v>78</v>
      </c>
      <c r="F438" t="s">
        <v>75</v>
      </c>
      <c r="G438" s="56">
        <v>768000</v>
      </c>
    </row>
    <row r="439" spans="2:7" x14ac:dyDescent="0.15">
      <c r="B439">
        <v>2025</v>
      </c>
      <c r="C439">
        <v>9</v>
      </c>
      <c r="D439" t="s">
        <v>77</v>
      </c>
      <c r="E439" t="s">
        <v>78</v>
      </c>
      <c r="F439" t="s">
        <v>88</v>
      </c>
      <c r="G439" s="56">
        <v>640000</v>
      </c>
    </row>
    <row r="440" spans="2:7" x14ac:dyDescent="0.15">
      <c r="B440">
        <v>2025</v>
      </c>
      <c r="C440">
        <v>9</v>
      </c>
      <c r="D440" t="s">
        <v>77</v>
      </c>
      <c r="E440" t="s">
        <v>78</v>
      </c>
      <c r="F440" t="s">
        <v>93</v>
      </c>
      <c r="G440" s="56">
        <v>405000</v>
      </c>
    </row>
    <row r="441" spans="2:7" x14ac:dyDescent="0.15">
      <c r="B441">
        <v>2025</v>
      </c>
      <c r="C441">
        <v>9</v>
      </c>
      <c r="D441" t="s">
        <v>57</v>
      </c>
      <c r="E441" t="s">
        <v>81</v>
      </c>
      <c r="F441" t="s">
        <v>55</v>
      </c>
      <c r="G441" s="56">
        <v>1784000</v>
      </c>
    </row>
    <row r="442" spans="2:7" x14ac:dyDescent="0.15">
      <c r="B442">
        <v>2025</v>
      </c>
      <c r="C442">
        <v>9</v>
      </c>
      <c r="D442" t="s">
        <v>57</v>
      </c>
      <c r="E442" t="s">
        <v>81</v>
      </c>
      <c r="F442" t="s">
        <v>62</v>
      </c>
      <c r="G442" s="56">
        <v>1238000</v>
      </c>
    </row>
    <row r="443" spans="2:7" x14ac:dyDescent="0.15">
      <c r="B443">
        <v>2025</v>
      </c>
      <c r="C443">
        <v>9</v>
      </c>
      <c r="D443" t="s">
        <v>57</v>
      </c>
      <c r="E443" t="s">
        <v>81</v>
      </c>
      <c r="F443" t="s">
        <v>75</v>
      </c>
      <c r="G443" s="56">
        <v>1007000</v>
      </c>
    </row>
    <row r="444" spans="2:7" x14ac:dyDescent="0.15">
      <c r="B444">
        <v>2025</v>
      </c>
      <c r="C444">
        <v>9</v>
      </c>
      <c r="D444" t="s">
        <v>57</v>
      </c>
      <c r="E444" t="s">
        <v>81</v>
      </c>
      <c r="F444" t="s">
        <v>88</v>
      </c>
      <c r="G444" s="56">
        <v>823000</v>
      </c>
    </row>
    <row r="445" spans="2:7" x14ac:dyDescent="0.15">
      <c r="B445">
        <v>2025</v>
      </c>
      <c r="C445">
        <v>9</v>
      </c>
      <c r="D445" t="s">
        <v>57</v>
      </c>
      <c r="E445" t="s">
        <v>81</v>
      </c>
      <c r="F445" t="s">
        <v>93</v>
      </c>
      <c r="G445" s="56">
        <v>527000</v>
      </c>
    </row>
    <row r="446" spans="2:7" x14ac:dyDescent="0.15">
      <c r="B446">
        <v>2025</v>
      </c>
      <c r="C446">
        <v>9</v>
      </c>
      <c r="D446" t="s">
        <v>57</v>
      </c>
      <c r="E446" t="s">
        <v>58</v>
      </c>
      <c r="F446" t="s">
        <v>55</v>
      </c>
      <c r="G446" s="56">
        <v>1113000</v>
      </c>
    </row>
    <row r="447" spans="2:7" x14ac:dyDescent="0.15">
      <c r="B447">
        <v>2025</v>
      </c>
      <c r="C447">
        <v>9</v>
      </c>
      <c r="D447" t="s">
        <v>57</v>
      </c>
      <c r="E447" t="s">
        <v>58</v>
      </c>
      <c r="F447" t="s">
        <v>62</v>
      </c>
      <c r="G447" s="56">
        <v>752000</v>
      </c>
    </row>
    <row r="448" spans="2:7" x14ac:dyDescent="0.15">
      <c r="B448">
        <v>2025</v>
      </c>
      <c r="C448">
        <v>9</v>
      </c>
      <c r="D448" t="s">
        <v>57</v>
      </c>
      <c r="E448" t="s">
        <v>58</v>
      </c>
      <c r="F448" t="s">
        <v>75</v>
      </c>
      <c r="G448" s="56">
        <v>607000</v>
      </c>
    </row>
    <row r="449" spans="2:7" x14ac:dyDescent="0.15">
      <c r="B449">
        <v>2025</v>
      </c>
      <c r="C449">
        <v>9</v>
      </c>
      <c r="D449" t="s">
        <v>57</v>
      </c>
      <c r="E449" t="s">
        <v>58</v>
      </c>
      <c r="F449" t="s">
        <v>88</v>
      </c>
      <c r="G449" s="56">
        <v>504000</v>
      </c>
    </row>
    <row r="450" spans="2:7" x14ac:dyDescent="0.15">
      <c r="B450">
        <v>2025</v>
      </c>
      <c r="C450">
        <v>9</v>
      </c>
      <c r="D450" t="s">
        <v>57</v>
      </c>
      <c r="E450" t="s">
        <v>58</v>
      </c>
      <c r="F450" t="s">
        <v>93</v>
      </c>
      <c r="G450" s="56">
        <v>322000</v>
      </c>
    </row>
    <row r="451" spans="2:7" x14ac:dyDescent="0.15">
      <c r="B451">
        <v>2025</v>
      </c>
      <c r="C451">
        <v>9</v>
      </c>
      <c r="D451" t="s">
        <v>125</v>
      </c>
      <c r="E451" t="s">
        <v>138</v>
      </c>
      <c r="F451" t="s">
        <v>55</v>
      </c>
      <c r="G451" s="56">
        <v>1321000</v>
      </c>
    </row>
    <row r="452" spans="2:7" x14ac:dyDescent="0.15">
      <c r="B452">
        <v>2025</v>
      </c>
      <c r="C452">
        <v>9</v>
      </c>
      <c r="D452" t="s">
        <v>125</v>
      </c>
      <c r="E452" t="s">
        <v>138</v>
      </c>
      <c r="F452" t="s">
        <v>62</v>
      </c>
      <c r="G452" s="56">
        <v>914000</v>
      </c>
    </row>
    <row r="453" spans="2:7" x14ac:dyDescent="0.15">
      <c r="B453">
        <v>2025</v>
      </c>
      <c r="C453">
        <v>9</v>
      </c>
      <c r="D453" t="s">
        <v>125</v>
      </c>
      <c r="E453" t="s">
        <v>138</v>
      </c>
      <c r="F453" t="s">
        <v>75</v>
      </c>
      <c r="G453" s="56">
        <v>738000</v>
      </c>
    </row>
    <row r="454" spans="2:7" x14ac:dyDescent="0.15">
      <c r="B454">
        <v>2025</v>
      </c>
      <c r="C454">
        <v>9</v>
      </c>
      <c r="D454" t="s">
        <v>125</v>
      </c>
      <c r="E454" t="s">
        <v>138</v>
      </c>
      <c r="F454" t="s">
        <v>88</v>
      </c>
      <c r="G454" s="56">
        <v>610000</v>
      </c>
    </row>
    <row r="455" spans="2:7" x14ac:dyDescent="0.15">
      <c r="B455">
        <v>2025</v>
      </c>
      <c r="C455">
        <v>9</v>
      </c>
      <c r="D455" t="s">
        <v>125</v>
      </c>
      <c r="E455" t="s">
        <v>138</v>
      </c>
      <c r="F455" t="s">
        <v>93</v>
      </c>
      <c r="G455" s="56">
        <v>384000</v>
      </c>
    </row>
    <row r="456" spans="2:7" x14ac:dyDescent="0.15">
      <c r="B456">
        <v>2025</v>
      </c>
      <c r="C456">
        <v>9</v>
      </c>
      <c r="D456" t="s">
        <v>125</v>
      </c>
      <c r="E456" t="s">
        <v>126</v>
      </c>
      <c r="F456" t="s">
        <v>55</v>
      </c>
      <c r="G456" s="56">
        <v>720000</v>
      </c>
    </row>
    <row r="457" spans="2:7" x14ac:dyDescent="0.15">
      <c r="B457">
        <v>2025</v>
      </c>
      <c r="C457">
        <v>9</v>
      </c>
      <c r="D457" t="s">
        <v>125</v>
      </c>
      <c r="E457" t="s">
        <v>126</v>
      </c>
      <c r="F457" t="s">
        <v>62</v>
      </c>
      <c r="G457" s="56">
        <v>494000</v>
      </c>
    </row>
    <row r="458" spans="2:7" x14ac:dyDescent="0.15">
      <c r="B458">
        <v>2025</v>
      </c>
      <c r="C458">
        <v>9</v>
      </c>
      <c r="D458" t="s">
        <v>125</v>
      </c>
      <c r="E458" t="s">
        <v>126</v>
      </c>
      <c r="F458" t="s">
        <v>75</v>
      </c>
      <c r="G458" s="56">
        <v>405000</v>
      </c>
    </row>
    <row r="459" spans="2:7" x14ac:dyDescent="0.15">
      <c r="B459">
        <v>2025</v>
      </c>
      <c r="C459">
        <v>9</v>
      </c>
      <c r="D459" t="s">
        <v>125</v>
      </c>
      <c r="E459" t="s">
        <v>126</v>
      </c>
      <c r="F459" t="s">
        <v>88</v>
      </c>
      <c r="G459" s="56">
        <v>329000</v>
      </c>
    </row>
    <row r="460" spans="2:7" x14ac:dyDescent="0.15">
      <c r="B460">
        <v>2025</v>
      </c>
      <c r="C460">
        <v>9</v>
      </c>
      <c r="D460" t="s">
        <v>125</v>
      </c>
      <c r="E460" t="s">
        <v>126</v>
      </c>
      <c r="F460" t="s">
        <v>93</v>
      </c>
      <c r="G460" s="56">
        <v>213000</v>
      </c>
    </row>
    <row r="461" spans="2:7" x14ac:dyDescent="0.15">
      <c r="B461">
        <v>2025</v>
      </c>
      <c r="C461">
        <v>9</v>
      </c>
      <c r="D461" t="s">
        <v>70</v>
      </c>
      <c r="E461" t="s">
        <v>84</v>
      </c>
      <c r="F461" t="s">
        <v>55</v>
      </c>
      <c r="G461" s="56">
        <v>1159000</v>
      </c>
    </row>
    <row r="462" spans="2:7" x14ac:dyDescent="0.15">
      <c r="B462">
        <v>2025</v>
      </c>
      <c r="C462">
        <v>9</v>
      </c>
      <c r="D462" t="s">
        <v>70</v>
      </c>
      <c r="E462" t="s">
        <v>84</v>
      </c>
      <c r="F462" t="s">
        <v>62</v>
      </c>
      <c r="G462" s="56">
        <v>806000</v>
      </c>
    </row>
    <row r="463" spans="2:7" x14ac:dyDescent="0.15">
      <c r="B463">
        <v>2025</v>
      </c>
      <c r="C463">
        <v>9</v>
      </c>
      <c r="D463" t="s">
        <v>70</v>
      </c>
      <c r="E463" t="s">
        <v>84</v>
      </c>
      <c r="F463" t="s">
        <v>75</v>
      </c>
      <c r="G463" s="56">
        <v>666000</v>
      </c>
    </row>
    <row r="464" spans="2:7" x14ac:dyDescent="0.15">
      <c r="B464">
        <v>2025</v>
      </c>
      <c r="C464">
        <v>9</v>
      </c>
      <c r="D464" t="s">
        <v>70</v>
      </c>
      <c r="E464" t="s">
        <v>84</v>
      </c>
      <c r="F464" t="s">
        <v>88</v>
      </c>
      <c r="G464" s="56">
        <v>533000</v>
      </c>
    </row>
    <row r="465" spans="2:7" x14ac:dyDescent="0.15">
      <c r="B465">
        <v>2025</v>
      </c>
      <c r="C465">
        <v>9</v>
      </c>
      <c r="D465" t="s">
        <v>70</v>
      </c>
      <c r="E465" t="s">
        <v>84</v>
      </c>
      <c r="F465" t="s">
        <v>93</v>
      </c>
      <c r="G465" s="56">
        <v>351000</v>
      </c>
    </row>
    <row r="466" spans="2:7" x14ac:dyDescent="0.15">
      <c r="B466">
        <v>2025</v>
      </c>
      <c r="C466">
        <v>9</v>
      </c>
      <c r="D466" t="s">
        <v>70</v>
      </c>
      <c r="E466" t="s">
        <v>71</v>
      </c>
      <c r="F466" t="s">
        <v>55</v>
      </c>
      <c r="G466" s="56">
        <v>836000</v>
      </c>
    </row>
    <row r="467" spans="2:7" x14ac:dyDescent="0.15">
      <c r="B467">
        <v>2025</v>
      </c>
      <c r="C467">
        <v>9</v>
      </c>
      <c r="D467" t="s">
        <v>70</v>
      </c>
      <c r="E467" t="s">
        <v>71</v>
      </c>
      <c r="F467" t="s">
        <v>62</v>
      </c>
      <c r="G467" s="56">
        <v>581000</v>
      </c>
    </row>
    <row r="468" spans="2:7" x14ac:dyDescent="0.15">
      <c r="B468">
        <v>2025</v>
      </c>
      <c r="C468">
        <v>9</v>
      </c>
      <c r="D468" t="s">
        <v>70</v>
      </c>
      <c r="E468" t="s">
        <v>71</v>
      </c>
      <c r="F468" t="s">
        <v>75</v>
      </c>
      <c r="G468" s="56">
        <v>471000</v>
      </c>
    </row>
    <row r="469" spans="2:7" x14ac:dyDescent="0.15">
      <c r="B469">
        <v>2025</v>
      </c>
      <c r="C469">
        <v>9</v>
      </c>
      <c r="D469" t="s">
        <v>70</v>
      </c>
      <c r="E469" t="s">
        <v>71</v>
      </c>
      <c r="F469" t="s">
        <v>88</v>
      </c>
      <c r="G469" s="56">
        <v>383000</v>
      </c>
    </row>
    <row r="470" spans="2:7" x14ac:dyDescent="0.15">
      <c r="B470">
        <v>2025</v>
      </c>
      <c r="C470">
        <v>9</v>
      </c>
      <c r="D470" t="s">
        <v>70</v>
      </c>
      <c r="E470" t="s">
        <v>71</v>
      </c>
      <c r="F470" t="s">
        <v>93</v>
      </c>
      <c r="G470" s="56">
        <v>248000</v>
      </c>
    </row>
    <row r="471" spans="2:7" x14ac:dyDescent="0.15">
      <c r="B471">
        <v>2025</v>
      </c>
      <c r="C471">
        <v>10</v>
      </c>
      <c r="D471" t="s">
        <v>64</v>
      </c>
      <c r="E471" t="s">
        <v>65</v>
      </c>
      <c r="F471" t="s">
        <v>55</v>
      </c>
      <c r="G471" s="56">
        <v>3354000</v>
      </c>
    </row>
    <row r="472" spans="2:7" x14ac:dyDescent="0.15">
      <c r="B472">
        <v>2025</v>
      </c>
      <c r="C472">
        <v>10</v>
      </c>
      <c r="D472" t="s">
        <v>64</v>
      </c>
      <c r="E472" t="s">
        <v>65</v>
      </c>
      <c r="F472" t="s">
        <v>62</v>
      </c>
      <c r="G472" s="56">
        <v>2259000</v>
      </c>
    </row>
    <row r="473" spans="2:7" x14ac:dyDescent="0.15">
      <c r="B473">
        <v>2025</v>
      </c>
      <c r="C473">
        <v>10</v>
      </c>
      <c r="D473" t="s">
        <v>64</v>
      </c>
      <c r="E473" t="s">
        <v>65</v>
      </c>
      <c r="F473" t="s">
        <v>75</v>
      </c>
      <c r="G473" s="56">
        <v>1777000</v>
      </c>
    </row>
    <row r="474" spans="2:7" x14ac:dyDescent="0.15">
      <c r="B474">
        <v>2025</v>
      </c>
      <c r="C474">
        <v>10</v>
      </c>
      <c r="D474" t="s">
        <v>64</v>
      </c>
      <c r="E474" t="s">
        <v>65</v>
      </c>
      <c r="F474" t="s">
        <v>88</v>
      </c>
      <c r="G474" s="56">
        <v>1476000</v>
      </c>
    </row>
    <row r="475" spans="2:7" x14ac:dyDescent="0.15">
      <c r="B475">
        <v>2025</v>
      </c>
      <c r="C475">
        <v>10</v>
      </c>
      <c r="D475" t="s">
        <v>64</v>
      </c>
      <c r="E475" t="s">
        <v>65</v>
      </c>
      <c r="F475" t="s">
        <v>93</v>
      </c>
      <c r="G475" s="56">
        <v>985000</v>
      </c>
    </row>
    <row r="476" spans="2:7" x14ac:dyDescent="0.15">
      <c r="B476">
        <v>2025</v>
      </c>
      <c r="C476">
        <v>10</v>
      </c>
      <c r="D476" t="s">
        <v>64</v>
      </c>
      <c r="E476" t="s">
        <v>96</v>
      </c>
      <c r="F476" t="s">
        <v>55</v>
      </c>
      <c r="G476" s="56">
        <v>2728000</v>
      </c>
    </row>
    <row r="477" spans="2:7" x14ac:dyDescent="0.15">
      <c r="B477">
        <v>2025</v>
      </c>
      <c r="C477">
        <v>10</v>
      </c>
      <c r="D477" t="s">
        <v>64</v>
      </c>
      <c r="E477" t="s">
        <v>96</v>
      </c>
      <c r="F477" t="s">
        <v>62</v>
      </c>
      <c r="G477" s="56">
        <v>1827000</v>
      </c>
    </row>
    <row r="478" spans="2:7" x14ac:dyDescent="0.15">
      <c r="B478">
        <v>2025</v>
      </c>
      <c r="C478">
        <v>10</v>
      </c>
      <c r="D478" t="s">
        <v>64</v>
      </c>
      <c r="E478" t="s">
        <v>96</v>
      </c>
      <c r="F478" t="s">
        <v>75</v>
      </c>
      <c r="G478" s="56">
        <v>1477000</v>
      </c>
    </row>
    <row r="479" spans="2:7" x14ac:dyDescent="0.15">
      <c r="B479">
        <v>2025</v>
      </c>
      <c r="C479">
        <v>10</v>
      </c>
      <c r="D479" t="s">
        <v>64</v>
      </c>
      <c r="E479" t="s">
        <v>96</v>
      </c>
      <c r="F479" t="s">
        <v>88</v>
      </c>
      <c r="G479" s="56">
        <v>1191000</v>
      </c>
    </row>
    <row r="480" spans="2:7" x14ac:dyDescent="0.15">
      <c r="B480">
        <v>2025</v>
      </c>
      <c r="C480">
        <v>10</v>
      </c>
      <c r="D480" t="s">
        <v>64</v>
      </c>
      <c r="E480" t="s">
        <v>96</v>
      </c>
      <c r="F480" t="s">
        <v>93</v>
      </c>
      <c r="G480" s="56">
        <v>806000</v>
      </c>
    </row>
    <row r="481" spans="2:7" x14ac:dyDescent="0.15">
      <c r="B481">
        <v>2025</v>
      </c>
      <c r="C481">
        <v>10</v>
      </c>
      <c r="D481" t="s">
        <v>77</v>
      </c>
      <c r="E481" t="s">
        <v>107</v>
      </c>
      <c r="F481" t="s">
        <v>55</v>
      </c>
      <c r="G481" s="56">
        <v>2302000</v>
      </c>
    </row>
    <row r="482" spans="2:7" x14ac:dyDescent="0.15">
      <c r="B482">
        <v>2025</v>
      </c>
      <c r="C482">
        <v>10</v>
      </c>
      <c r="D482" t="s">
        <v>77</v>
      </c>
      <c r="E482" t="s">
        <v>107</v>
      </c>
      <c r="F482" t="s">
        <v>62</v>
      </c>
      <c r="G482" s="56">
        <v>1573000</v>
      </c>
    </row>
    <row r="483" spans="2:7" x14ac:dyDescent="0.15">
      <c r="B483">
        <v>2025</v>
      </c>
      <c r="C483">
        <v>10</v>
      </c>
      <c r="D483" t="s">
        <v>77</v>
      </c>
      <c r="E483" t="s">
        <v>107</v>
      </c>
      <c r="F483" t="s">
        <v>75</v>
      </c>
      <c r="G483" s="56">
        <v>1248000</v>
      </c>
    </row>
    <row r="484" spans="2:7" x14ac:dyDescent="0.15">
      <c r="B484">
        <v>2025</v>
      </c>
      <c r="C484">
        <v>10</v>
      </c>
      <c r="D484" t="s">
        <v>77</v>
      </c>
      <c r="E484" t="s">
        <v>107</v>
      </c>
      <c r="F484" t="s">
        <v>88</v>
      </c>
      <c r="G484" s="56">
        <v>1016000</v>
      </c>
    </row>
    <row r="485" spans="2:7" x14ac:dyDescent="0.15">
      <c r="B485">
        <v>2025</v>
      </c>
      <c r="C485">
        <v>10</v>
      </c>
      <c r="D485" t="s">
        <v>77</v>
      </c>
      <c r="E485" t="s">
        <v>107</v>
      </c>
      <c r="F485" t="s">
        <v>93</v>
      </c>
      <c r="G485" s="56">
        <v>665000</v>
      </c>
    </row>
    <row r="486" spans="2:7" x14ac:dyDescent="0.15">
      <c r="B486">
        <v>2025</v>
      </c>
      <c r="C486">
        <v>10</v>
      </c>
      <c r="D486" t="s">
        <v>77</v>
      </c>
      <c r="E486" t="s">
        <v>78</v>
      </c>
      <c r="F486" t="s">
        <v>55</v>
      </c>
      <c r="G486" s="56">
        <v>1535000</v>
      </c>
    </row>
    <row r="487" spans="2:7" x14ac:dyDescent="0.15">
      <c r="B487">
        <v>2025</v>
      </c>
      <c r="C487">
        <v>10</v>
      </c>
      <c r="D487" t="s">
        <v>77</v>
      </c>
      <c r="E487" t="s">
        <v>78</v>
      </c>
      <c r="F487" t="s">
        <v>62</v>
      </c>
      <c r="G487" s="56">
        <v>1025000</v>
      </c>
    </row>
    <row r="488" spans="2:7" x14ac:dyDescent="0.15">
      <c r="B488">
        <v>2025</v>
      </c>
      <c r="C488">
        <v>10</v>
      </c>
      <c r="D488" t="s">
        <v>77</v>
      </c>
      <c r="E488" t="s">
        <v>78</v>
      </c>
      <c r="F488" t="s">
        <v>75</v>
      </c>
      <c r="G488" s="56">
        <v>833000</v>
      </c>
    </row>
    <row r="489" spans="2:7" x14ac:dyDescent="0.15">
      <c r="B489">
        <v>2025</v>
      </c>
      <c r="C489">
        <v>10</v>
      </c>
      <c r="D489" t="s">
        <v>77</v>
      </c>
      <c r="E489" t="s">
        <v>78</v>
      </c>
      <c r="F489" t="s">
        <v>88</v>
      </c>
      <c r="G489" s="56">
        <v>691000</v>
      </c>
    </row>
    <row r="490" spans="2:7" x14ac:dyDescent="0.15">
      <c r="B490">
        <v>2025</v>
      </c>
      <c r="C490">
        <v>10</v>
      </c>
      <c r="D490" t="s">
        <v>77</v>
      </c>
      <c r="E490" t="s">
        <v>78</v>
      </c>
      <c r="F490" t="s">
        <v>93</v>
      </c>
      <c r="G490" s="56">
        <v>457000</v>
      </c>
    </row>
    <row r="491" spans="2:7" x14ac:dyDescent="0.15">
      <c r="B491">
        <v>2025</v>
      </c>
      <c r="C491">
        <v>10</v>
      </c>
      <c r="D491" t="s">
        <v>57</v>
      </c>
      <c r="E491" t="s">
        <v>81</v>
      </c>
      <c r="F491" t="s">
        <v>55</v>
      </c>
      <c r="G491" s="56">
        <v>1973000</v>
      </c>
    </row>
    <row r="492" spans="2:7" x14ac:dyDescent="0.15">
      <c r="B492">
        <v>2025</v>
      </c>
      <c r="C492">
        <v>10</v>
      </c>
      <c r="D492" t="s">
        <v>57</v>
      </c>
      <c r="E492" t="s">
        <v>81</v>
      </c>
      <c r="F492" t="s">
        <v>62</v>
      </c>
      <c r="G492" s="56">
        <v>1297000</v>
      </c>
    </row>
    <row r="493" spans="2:7" x14ac:dyDescent="0.15">
      <c r="B493">
        <v>2025</v>
      </c>
      <c r="C493">
        <v>10</v>
      </c>
      <c r="D493" t="s">
        <v>57</v>
      </c>
      <c r="E493" t="s">
        <v>81</v>
      </c>
      <c r="F493" t="s">
        <v>75</v>
      </c>
      <c r="G493" s="56">
        <v>1079000</v>
      </c>
    </row>
    <row r="494" spans="2:7" x14ac:dyDescent="0.15">
      <c r="B494">
        <v>2025</v>
      </c>
      <c r="C494">
        <v>10</v>
      </c>
      <c r="D494" t="s">
        <v>57</v>
      </c>
      <c r="E494" t="s">
        <v>81</v>
      </c>
      <c r="F494" t="s">
        <v>88</v>
      </c>
      <c r="G494" s="56">
        <v>861000</v>
      </c>
    </row>
    <row r="495" spans="2:7" x14ac:dyDescent="0.15">
      <c r="B495">
        <v>2025</v>
      </c>
      <c r="C495">
        <v>10</v>
      </c>
      <c r="D495" t="s">
        <v>57</v>
      </c>
      <c r="E495" t="s">
        <v>81</v>
      </c>
      <c r="F495" t="s">
        <v>93</v>
      </c>
      <c r="G495" s="56">
        <v>589000</v>
      </c>
    </row>
    <row r="496" spans="2:7" x14ac:dyDescent="0.15">
      <c r="B496">
        <v>2025</v>
      </c>
      <c r="C496">
        <v>10</v>
      </c>
      <c r="D496" t="s">
        <v>57</v>
      </c>
      <c r="E496" t="s">
        <v>58</v>
      </c>
      <c r="F496" t="s">
        <v>55</v>
      </c>
      <c r="G496" s="56">
        <v>1215000</v>
      </c>
    </row>
    <row r="497" spans="2:7" x14ac:dyDescent="0.15">
      <c r="B497">
        <v>2025</v>
      </c>
      <c r="C497">
        <v>10</v>
      </c>
      <c r="D497" t="s">
        <v>57</v>
      </c>
      <c r="E497" t="s">
        <v>58</v>
      </c>
      <c r="F497" t="s">
        <v>62</v>
      </c>
      <c r="G497" s="56">
        <v>795000</v>
      </c>
    </row>
    <row r="498" spans="2:7" x14ac:dyDescent="0.15">
      <c r="B498">
        <v>2025</v>
      </c>
      <c r="C498">
        <v>10</v>
      </c>
      <c r="D498" t="s">
        <v>57</v>
      </c>
      <c r="E498" t="s">
        <v>58</v>
      </c>
      <c r="F498" t="s">
        <v>75</v>
      </c>
      <c r="G498" s="56">
        <v>639000</v>
      </c>
    </row>
    <row r="499" spans="2:7" x14ac:dyDescent="0.15">
      <c r="B499">
        <v>2025</v>
      </c>
      <c r="C499">
        <v>10</v>
      </c>
      <c r="D499" t="s">
        <v>57</v>
      </c>
      <c r="E499" t="s">
        <v>58</v>
      </c>
      <c r="F499" t="s">
        <v>88</v>
      </c>
      <c r="G499" s="56">
        <v>527000</v>
      </c>
    </row>
    <row r="500" spans="2:7" x14ac:dyDescent="0.15">
      <c r="B500">
        <v>2025</v>
      </c>
      <c r="C500">
        <v>10</v>
      </c>
      <c r="D500" t="s">
        <v>57</v>
      </c>
      <c r="E500" t="s">
        <v>58</v>
      </c>
      <c r="F500" t="s">
        <v>93</v>
      </c>
      <c r="G500" s="56">
        <v>360000</v>
      </c>
    </row>
    <row r="501" spans="2:7" x14ac:dyDescent="0.15">
      <c r="B501">
        <v>2025</v>
      </c>
      <c r="C501">
        <v>10</v>
      </c>
      <c r="D501" t="s">
        <v>125</v>
      </c>
      <c r="E501" t="s">
        <v>138</v>
      </c>
      <c r="F501" t="s">
        <v>55</v>
      </c>
      <c r="G501" s="56">
        <v>1424000</v>
      </c>
    </row>
    <row r="502" spans="2:7" x14ac:dyDescent="0.15">
      <c r="B502">
        <v>2025</v>
      </c>
      <c r="C502">
        <v>10</v>
      </c>
      <c r="D502" t="s">
        <v>125</v>
      </c>
      <c r="E502" t="s">
        <v>138</v>
      </c>
      <c r="F502" t="s">
        <v>62</v>
      </c>
      <c r="G502" s="56">
        <v>961000</v>
      </c>
    </row>
    <row r="503" spans="2:7" x14ac:dyDescent="0.15">
      <c r="B503">
        <v>2025</v>
      </c>
      <c r="C503">
        <v>10</v>
      </c>
      <c r="D503" t="s">
        <v>125</v>
      </c>
      <c r="E503" t="s">
        <v>138</v>
      </c>
      <c r="F503" t="s">
        <v>75</v>
      </c>
      <c r="G503" s="56">
        <v>796000</v>
      </c>
    </row>
    <row r="504" spans="2:7" x14ac:dyDescent="0.15">
      <c r="B504">
        <v>2025</v>
      </c>
      <c r="C504">
        <v>10</v>
      </c>
      <c r="D504" t="s">
        <v>125</v>
      </c>
      <c r="E504" t="s">
        <v>138</v>
      </c>
      <c r="F504" t="s">
        <v>88</v>
      </c>
      <c r="G504" s="56">
        <v>636000</v>
      </c>
    </row>
    <row r="505" spans="2:7" x14ac:dyDescent="0.15">
      <c r="B505">
        <v>2025</v>
      </c>
      <c r="C505">
        <v>10</v>
      </c>
      <c r="D505" t="s">
        <v>125</v>
      </c>
      <c r="E505" t="s">
        <v>138</v>
      </c>
      <c r="F505" t="s">
        <v>93</v>
      </c>
      <c r="G505" s="56">
        <v>433000</v>
      </c>
    </row>
    <row r="506" spans="2:7" x14ac:dyDescent="0.15">
      <c r="B506">
        <v>2025</v>
      </c>
      <c r="C506">
        <v>10</v>
      </c>
      <c r="D506" t="s">
        <v>125</v>
      </c>
      <c r="E506" t="s">
        <v>126</v>
      </c>
      <c r="F506" t="s">
        <v>55</v>
      </c>
      <c r="G506" s="56">
        <v>784000</v>
      </c>
    </row>
    <row r="507" spans="2:7" x14ac:dyDescent="0.15">
      <c r="B507">
        <v>2025</v>
      </c>
      <c r="C507">
        <v>10</v>
      </c>
      <c r="D507" t="s">
        <v>125</v>
      </c>
      <c r="E507" t="s">
        <v>126</v>
      </c>
      <c r="F507" t="s">
        <v>62</v>
      </c>
      <c r="G507" s="56">
        <v>519000</v>
      </c>
    </row>
    <row r="508" spans="2:7" x14ac:dyDescent="0.15">
      <c r="B508">
        <v>2025</v>
      </c>
      <c r="C508">
        <v>10</v>
      </c>
      <c r="D508" t="s">
        <v>125</v>
      </c>
      <c r="E508" t="s">
        <v>126</v>
      </c>
      <c r="F508" t="s">
        <v>75</v>
      </c>
      <c r="G508" s="56">
        <v>416000</v>
      </c>
    </row>
    <row r="509" spans="2:7" x14ac:dyDescent="0.15">
      <c r="B509">
        <v>2025</v>
      </c>
      <c r="C509">
        <v>10</v>
      </c>
      <c r="D509" t="s">
        <v>125</v>
      </c>
      <c r="E509" t="s">
        <v>126</v>
      </c>
      <c r="F509" t="s">
        <v>88</v>
      </c>
      <c r="G509" s="56">
        <v>343000</v>
      </c>
    </row>
    <row r="510" spans="2:7" x14ac:dyDescent="0.15">
      <c r="B510">
        <v>2025</v>
      </c>
      <c r="C510">
        <v>10</v>
      </c>
      <c r="D510" t="s">
        <v>125</v>
      </c>
      <c r="E510" t="s">
        <v>126</v>
      </c>
      <c r="F510" t="s">
        <v>93</v>
      </c>
      <c r="G510" s="56">
        <v>230000</v>
      </c>
    </row>
    <row r="511" spans="2:7" x14ac:dyDescent="0.15">
      <c r="B511">
        <v>2025</v>
      </c>
      <c r="C511">
        <v>10</v>
      </c>
      <c r="D511" t="s">
        <v>70</v>
      </c>
      <c r="E511" t="s">
        <v>84</v>
      </c>
      <c r="F511" t="s">
        <v>55</v>
      </c>
      <c r="G511" s="56">
        <v>1290000</v>
      </c>
    </row>
    <row r="512" spans="2:7" x14ac:dyDescent="0.15">
      <c r="B512">
        <v>2025</v>
      </c>
      <c r="C512">
        <v>10</v>
      </c>
      <c r="D512" t="s">
        <v>70</v>
      </c>
      <c r="E512" t="s">
        <v>84</v>
      </c>
      <c r="F512" t="s">
        <v>62</v>
      </c>
      <c r="G512" s="56">
        <v>842000</v>
      </c>
    </row>
    <row r="513" spans="2:7" x14ac:dyDescent="0.15">
      <c r="B513">
        <v>2025</v>
      </c>
      <c r="C513">
        <v>10</v>
      </c>
      <c r="D513" t="s">
        <v>70</v>
      </c>
      <c r="E513" t="s">
        <v>84</v>
      </c>
      <c r="F513" t="s">
        <v>75</v>
      </c>
      <c r="G513" s="56">
        <v>677000</v>
      </c>
    </row>
    <row r="514" spans="2:7" x14ac:dyDescent="0.15">
      <c r="B514">
        <v>2025</v>
      </c>
      <c r="C514">
        <v>10</v>
      </c>
      <c r="D514" t="s">
        <v>70</v>
      </c>
      <c r="E514" t="s">
        <v>84</v>
      </c>
      <c r="F514" t="s">
        <v>88</v>
      </c>
      <c r="G514" s="56">
        <v>561000</v>
      </c>
    </row>
    <row r="515" spans="2:7" x14ac:dyDescent="0.15">
      <c r="B515">
        <v>2025</v>
      </c>
      <c r="C515">
        <v>10</v>
      </c>
      <c r="D515" t="s">
        <v>70</v>
      </c>
      <c r="E515" t="s">
        <v>84</v>
      </c>
      <c r="F515" t="s">
        <v>93</v>
      </c>
      <c r="G515" s="56">
        <v>382000</v>
      </c>
    </row>
    <row r="516" spans="2:7" x14ac:dyDescent="0.15">
      <c r="B516">
        <v>2025</v>
      </c>
      <c r="C516">
        <v>10</v>
      </c>
      <c r="D516" t="s">
        <v>70</v>
      </c>
      <c r="E516" t="s">
        <v>71</v>
      </c>
      <c r="F516" t="s">
        <v>55</v>
      </c>
      <c r="G516" s="56">
        <v>906000</v>
      </c>
    </row>
    <row r="517" spans="2:7" x14ac:dyDescent="0.15">
      <c r="B517">
        <v>2025</v>
      </c>
      <c r="C517">
        <v>10</v>
      </c>
      <c r="D517" t="s">
        <v>70</v>
      </c>
      <c r="E517" t="s">
        <v>71</v>
      </c>
      <c r="F517" t="s">
        <v>62</v>
      </c>
      <c r="G517" s="56">
        <v>623000</v>
      </c>
    </row>
    <row r="518" spans="2:7" x14ac:dyDescent="0.15">
      <c r="B518">
        <v>2025</v>
      </c>
      <c r="C518">
        <v>10</v>
      </c>
      <c r="D518" t="s">
        <v>70</v>
      </c>
      <c r="E518" t="s">
        <v>71</v>
      </c>
      <c r="F518" t="s">
        <v>75</v>
      </c>
      <c r="G518" s="56">
        <v>496000</v>
      </c>
    </row>
    <row r="519" spans="2:7" x14ac:dyDescent="0.15">
      <c r="B519">
        <v>2025</v>
      </c>
      <c r="C519">
        <v>10</v>
      </c>
      <c r="D519" t="s">
        <v>70</v>
      </c>
      <c r="E519" t="s">
        <v>71</v>
      </c>
      <c r="F519" t="s">
        <v>88</v>
      </c>
      <c r="G519" s="56">
        <v>400000</v>
      </c>
    </row>
    <row r="520" spans="2:7" x14ac:dyDescent="0.15">
      <c r="B520">
        <v>2025</v>
      </c>
      <c r="C520">
        <v>10</v>
      </c>
      <c r="D520" t="s">
        <v>70</v>
      </c>
      <c r="E520" t="s">
        <v>71</v>
      </c>
      <c r="F520" t="s">
        <v>93</v>
      </c>
      <c r="G520" s="56">
        <v>268000</v>
      </c>
    </row>
    <row r="521" spans="2:7" x14ac:dyDescent="0.15">
      <c r="B521">
        <v>2025</v>
      </c>
      <c r="C521">
        <v>11</v>
      </c>
      <c r="D521" t="s">
        <v>64</v>
      </c>
      <c r="E521" t="s">
        <v>65</v>
      </c>
      <c r="F521" t="s">
        <v>55</v>
      </c>
      <c r="G521" s="56">
        <v>3541000</v>
      </c>
    </row>
    <row r="522" spans="2:7" x14ac:dyDescent="0.15">
      <c r="B522">
        <v>2025</v>
      </c>
      <c r="C522">
        <v>11</v>
      </c>
      <c r="D522" t="s">
        <v>64</v>
      </c>
      <c r="E522" t="s">
        <v>65</v>
      </c>
      <c r="F522" t="s">
        <v>62</v>
      </c>
      <c r="G522" s="56">
        <v>2358000</v>
      </c>
    </row>
    <row r="523" spans="2:7" x14ac:dyDescent="0.15">
      <c r="B523">
        <v>2025</v>
      </c>
      <c r="C523">
        <v>11</v>
      </c>
      <c r="D523" t="s">
        <v>64</v>
      </c>
      <c r="E523" t="s">
        <v>65</v>
      </c>
      <c r="F523" t="s">
        <v>75</v>
      </c>
      <c r="G523" s="56">
        <v>1863000</v>
      </c>
    </row>
    <row r="524" spans="2:7" x14ac:dyDescent="0.15">
      <c r="B524">
        <v>2025</v>
      </c>
      <c r="C524">
        <v>11</v>
      </c>
      <c r="D524" t="s">
        <v>64</v>
      </c>
      <c r="E524" t="s">
        <v>65</v>
      </c>
      <c r="F524" t="s">
        <v>88</v>
      </c>
      <c r="G524" s="56">
        <v>1562000</v>
      </c>
    </row>
    <row r="525" spans="2:7" x14ac:dyDescent="0.15">
      <c r="B525">
        <v>2025</v>
      </c>
      <c r="C525">
        <v>11</v>
      </c>
      <c r="D525" t="s">
        <v>64</v>
      </c>
      <c r="E525" t="s">
        <v>65</v>
      </c>
      <c r="F525" t="s">
        <v>93</v>
      </c>
      <c r="G525" s="56">
        <v>930000</v>
      </c>
    </row>
    <row r="526" spans="2:7" x14ac:dyDescent="0.15">
      <c r="B526">
        <v>2025</v>
      </c>
      <c r="C526">
        <v>11</v>
      </c>
      <c r="D526" t="s">
        <v>64</v>
      </c>
      <c r="E526" t="s">
        <v>96</v>
      </c>
      <c r="F526" t="s">
        <v>55</v>
      </c>
      <c r="G526" s="56">
        <v>2849000</v>
      </c>
    </row>
    <row r="527" spans="2:7" x14ac:dyDescent="0.15">
      <c r="B527">
        <v>2025</v>
      </c>
      <c r="C527">
        <v>11</v>
      </c>
      <c r="D527" t="s">
        <v>64</v>
      </c>
      <c r="E527" t="s">
        <v>96</v>
      </c>
      <c r="F527" t="s">
        <v>62</v>
      </c>
      <c r="G527" s="56">
        <v>1929000</v>
      </c>
    </row>
    <row r="528" spans="2:7" x14ac:dyDescent="0.15">
      <c r="B528">
        <v>2025</v>
      </c>
      <c r="C528">
        <v>11</v>
      </c>
      <c r="D528" t="s">
        <v>64</v>
      </c>
      <c r="E528" t="s">
        <v>96</v>
      </c>
      <c r="F528" t="s">
        <v>75</v>
      </c>
      <c r="G528" s="56">
        <v>1537000</v>
      </c>
    </row>
    <row r="529" spans="2:7" x14ac:dyDescent="0.15">
      <c r="B529">
        <v>2025</v>
      </c>
      <c r="C529">
        <v>11</v>
      </c>
      <c r="D529" t="s">
        <v>64</v>
      </c>
      <c r="E529" t="s">
        <v>96</v>
      </c>
      <c r="F529" t="s">
        <v>88</v>
      </c>
      <c r="G529" s="56">
        <v>1266000</v>
      </c>
    </row>
    <row r="530" spans="2:7" x14ac:dyDescent="0.15">
      <c r="B530">
        <v>2025</v>
      </c>
      <c r="C530">
        <v>11</v>
      </c>
      <c r="D530" t="s">
        <v>64</v>
      </c>
      <c r="E530" t="s">
        <v>96</v>
      </c>
      <c r="F530" t="s">
        <v>93</v>
      </c>
      <c r="G530" s="56">
        <v>755000</v>
      </c>
    </row>
    <row r="531" spans="2:7" x14ac:dyDescent="0.15">
      <c r="B531">
        <v>2025</v>
      </c>
      <c r="C531">
        <v>11</v>
      </c>
      <c r="D531" t="s">
        <v>77</v>
      </c>
      <c r="E531" t="s">
        <v>107</v>
      </c>
      <c r="F531" t="s">
        <v>55</v>
      </c>
      <c r="G531" s="56">
        <v>2450000</v>
      </c>
    </row>
    <row r="532" spans="2:7" x14ac:dyDescent="0.15">
      <c r="B532">
        <v>2025</v>
      </c>
      <c r="C532">
        <v>11</v>
      </c>
      <c r="D532" t="s">
        <v>77</v>
      </c>
      <c r="E532" t="s">
        <v>107</v>
      </c>
      <c r="F532" t="s">
        <v>62</v>
      </c>
      <c r="G532" s="56">
        <v>1650000</v>
      </c>
    </row>
    <row r="533" spans="2:7" x14ac:dyDescent="0.15">
      <c r="B533">
        <v>2025</v>
      </c>
      <c r="C533">
        <v>11</v>
      </c>
      <c r="D533" t="s">
        <v>77</v>
      </c>
      <c r="E533" t="s">
        <v>107</v>
      </c>
      <c r="F533" t="s">
        <v>75</v>
      </c>
      <c r="G533" s="56">
        <v>1308000</v>
      </c>
    </row>
    <row r="534" spans="2:7" x14ac:dyDescent="0.15">
      <c r="B534">
        <v>2025</v>
      </c>
      <c r="C534">
        <v>11</v>
      </c>
      <c r="D534" t="s">
        <v>77</v>
      </c>
      <c r="E534" t="s">
        <v>107</v>
      </c>
      <c r="F534" t="s">
        <v>88</v>
      </c>
      <c r="G534" s="56">
        <v>1068000</v>
      </c>
    </row>
    <row r="535" spans="2:7" x14ac:dyDescent="0.15">
      <c r="B535">
        <v>2025</v>
      </c>
      <c r="C535">
        <v>11</v>
      </c>
      <c r="D535" t="s">
        <v>77</v>
      </c>
      <c r="E535" t="s">
        <v>107</v>
      </c>
      <c r="F535" t="s">
        <v>93</v>
      </c>
      <c r="G535" s="56">
        <v>653000</v>
      </c>
    </row>
    <row r="536" spans="2:7" x14ac:dyDescent="0.15">
      <c r="B536">
        <v>2025</v>
      </c>
      <c r="C536">
        <v>11</v>
      </c>
      <c r="D536" t="s">
        <v>77</v>
      </c>
      <c r="E536" t="s">
        <v>78</v>
      </c>
      <c r="F536" t="s">
        <v>55</v>
      </c>
      <c r="G536" s="56">
        <v>1670000</v>
      </c>
    </row>
    <row r="537" spans="2:7" x14ac:dyDescent="0.15">
      <c r="B537">
        <v>2025</v>
      </c>
      <c r="C537">
        <v>11</v>
      </c>
      <c r="D537" t="s">
        <v>77</v>
      </c>
      <c r="E537" t="s">
        <v>78</v>
      </c>
      <c r="F537" t="s">
        <v>62</v>
      </c>
      <c r="G537" s="56">
        <v>1112000</v>
      </c>
    </row>
    <row r="538" spans="2:7" x14ac:dyDescent="0.15">
      <c r="B538">
        <v>2025</v>
      </c>
      <c r="C538">
        <v>11</v>
      </c>
      <c r="D538" t="s">
        <v>77</v>
      </c>
      <c r="E538" t="s">
        <v>78</v>
      </c>
      <c r="F538" t="s">
        <v>75</v>
      </c>
      <c r="G538" s="56">
        <v>873000</v>
      </c>
    </row>
    <row r="539" spans="2:7" x14ac:dyDescent="0.15">
      <c r="B539">
        <v>2025</v>
      </c>
      <c r="C539">
        <v>11</v>
      </c>
      <c r="D539" t="s">
        <v>77</v>
      </c>
      <c r="E539" t="s">
        <v>78</v>
      </c>
      <c r="F539" t="s">
        <v>88</v>
      </c>
      <c r="G539" s="56">
        <v>706000</v>
      </c>
    </row>
    <row r="540" spans="2:7" x14ac:dyDescent="0.15">
      <c r="B540">
        <v>2025</v>
      </c>
      <c r="C540">
        <v>11</v>
      </c>
      <c r="D540" t="s">
        <v>77</v>
      </c>
      <c r="E540" t="s">
        <v>78</v>
      </c>
      <c r="F540" t="s">
        <v>93</v>
      </c>
      <c r="G540" s="56">
        <v>432000</v>
      </c>
    </row>
    <row r="541" spans="2:7" x14ac:dyDescent="0.15">
      <c r="B541">
        <v>2025</v>
      </c>
      <c r="C541">
        <v>11</v>
      </c>
      <c r="D541" t="s">
        <v>57</v>
      </c>
      <c r="E541" t="s">
        <v>81</v>
      </c>
      <c r="F541" t="s">
        <v>55</v>
      </c>
      <c r="G541" s="56">
        <v>2132000</v>
      </c>
    </row>
    <row r="542" spans="2:7" x14ac:dyDescent="0.15">
      <c r="B542">
        <v>2025</v>
      </c>
      <c r="C542">
        <v>11</v>
      </c>
      <c r="D542" t="s">
        <v>57</v>
      </c>
      <c r="E542" t="s">
        <v>81</v>
      </c>
      <c r="F542" t="s">
        <v>62</v>
      </c>
      <c r="G542" s="56">
        <v>1379000</v>
      </c>
    </row>
    <row r="543" spans="2:7" x14ac:dyDescent="0.15">
      <c r="B543">
        <v>2025</v>
      </c>
      <c r="C543">
        <v>11</v>
      </c>
      <c r="D543" t="s">
        <v>57</v>
      </c>
      <c r="E543" t="s">
        <v>81</v>
      </c>
      <c r="F543" t="s">
        <v>75</v>
      </c>
      <c r="G543" s="56">
        <v>1132000</v>
      </c>
    </row>
    <row r="544" spans="2:7" x14ac:dyDescent="0.15">
      <c r="B544">
        <v>2025</v>
      </c>
      <c r="C544">
        <v>11</v>
      </c>
      <c r="D544" t="s">
        <v>57</v>
      </c>
      <c r="E544" t="s">
        <v>81</v>
      </c>
      <c r="F544" t="s">
        <v>88</v>
      </c>
      <c r="G544" s="56">
        <v>915000</v>
      </c>
    </row>
    <row r="545" spans="2:7" x14ac:dyDescent="0.15">
      <c r="B545">
        <v>2025</v>
      </c>
      <c r="C545">
        <v>11</v>
      </c>
      <c r="D545" t="s">
        <v>57</v>
      </c>
      <c r="E545" t="s">
        <v>81</v>
      </c>
      <c r="F545" t="s">
        <v>93</v>
      </c>
      <c r="G545" s="56">
        <v>548000</v>
      </c>
    </row>
    <row r="546" spans="2:7" x14ac:dyDescent="0.15">
      <c r="B546">
        <v>2025</v>
      </c>
      <c r="C546">
        <v>11</v>
      </c>
      <c r="D546" t="s">
        <v>57</v>
      </c>
      <c r="E546" t="s">
        <v>58</v>
      </c>
      <c r="F546" t="s">
        <v>55</v>
      </c>
      <c r="G546" s="56">
        <v>1277000</v>
      </c>
    </row>
    <row r="547" spans="2:7" x14ac:dyDescent="0.15">
      <c r="B547">
        <v>2025</v>
      </c>
      <c r="C547">
        <v>11</v>
      </c>
      <c r="D547" t="s">
        <v>57</v>
      </c>
      <c r="E547" t="s">
        <v>58</v>
      </c>
      <c r="F547" t="s">
        <v>62</v>
      </c>
      <c r="G547" s="56">
        <v>849000</v>
      </c>
    </row>
    <row r="548" spans="2:7" x14ac:dyDescent="0.15">
      <c r="B548">
        <v>2025</v>
      </c>
      <c r="C548">
        <v>11</v>
      </c>
      <c r="D548" t="s">
        <v>57</v>
      </c>
      <c r="E548" t="s">
        <v>58</v>
      </c>
      <c r="F548" t="s">
        <v>75</v>
      </c>
      <c r="G548" s="56">
        <v>672000</v>
      </c>
    </row>
    <row r="549" spans="2:7" x14ac:dyDescent="0.15">
      <c r="B549">
        <v>2025</v>
      </c>
      <c r="C549">
        <v>11</v>
      </c>
      <c r="D549" t="s">
        <v>57</v>
      </c>
      <c r="E549" t="s">
        <v>58</v>
      </c>
      <c r="F549" t="s">
        <v>88</v>
      </c>
      <c r="G549" s="56">
        <v>559000</v>
      </c>
    </row>
    <row r="550" spans="2:7" x14ac:dyDescent="0.15">
      <c r="B550">
        <v>2025</v>
      </c>
      <c r="C550">
        <v>11</v>
      </c>
      <c r="D550" t="s">
        <v>57</v>
      </c>
      <c r="E550" t="s">
        <v>58</v>
      </c>
      <c r="F550" t="s">
        <v>93</v>
      </c>
      <c r="G550" s="56">
        <v>338000</v>
      </c>
    </row>
    <row r="551" spans="2:7" x14ac:dyDescent="0.15">
      <c r="B551">
        <v>2025</v>
      </c>
      <c r="C551">
        <v>11</v>
      </c>
      <c r="D551" t="s">
        <v>125</v>
      </c>
      <c r="E551" t="s">
        <v>138</v>
      </c>
      <c r="F551" t="s">
        <v>55</v>
      </c>
      <c r="G551" s="56">
        <v>1518000</v>
      </c>
    </row>
    <row r="552" spans="2:7" x14ac:dyDescent="0.15">
      <c r="B552">
        <v>2025</v>
      </c>
      <c r="C552">
        <v>11</v>
      </c>
      <c r="D552" t="s">
        <v>125</v>
      </c>
      <c r="E552" t="s">
        <v>138</v>
      </c>
      <c r="F552" t="s">
        <v>62</v>
      </c>
      <c r="G552" s="56">
        <v>1038000</v>
      </c>
    </row>
    <row r="553" spans="2:7" x14ac:dyDescent="0.15">
      <c r="B553">
        <v>2025</v>
      </c>
      <c r="C553">
        <v>11</v>
      </c>
      <c r="D553" t="s">
        <v>125</v>
      </c>
      <c r="E553" t="s">
        <v>138</v>
      </c>
      <c r="F553" t="s">
        <v>75</v>
      </c>
      <c r="G553" s="56">
        <v>830000</v>
      </c>
    </row>
    <row r="554" spans="2:7" x14ac:dyDescent="0.15">
      <c r="B554">
        <v>2025</v>
      </c>
      <c r="C554">
        <v>11</v>
      </c>
      <c r="D554" t="s">
        <v>125</v>
      </c>
      <c r="E554" t="s">
        <v>138</v>
      </c>
      <c r="F554" t="s">
        <v>88</v>
      </c>
      <c r="G554" s="56">
        <v>664000</v>
      </c>
    </row>
    <row r="555" spans="2:7" x14ac:dyDescent="0.15">
      <c r="B555">
        <v>2025</v>
      </c>
      <c r="C555">
        <v>11</v>
      </c>
      <c r="D555" t="s">
        <v>125</v>
      </c>
      <c r="E555" t="s">
        <v>138</v>
      </c>
      <c r="F555" t="s">
        <v>93</v>
      </c>
      <c r="G555" s="56">
        <v>405000</v>
      </c>
    </row>
    <row r="556" spans="2:7" x14ac:dyDescent="0.15">
      <c r="B556">
        <v>2025</v>
      </c>
      <c r="C556">
        <v>11</v>
      </c>
      <c r="D556" t="s">
        <v>125</v>
      </c>
      <c r="E556" t="s">
        <v>126</v>
      </c>
      <c r="F556" t="s">
        <v>55</v>
      </c>
      <c r="G556" s="56">
        <v>838000</v>
      </c>
    </row>
    <row r="557" spans="2:7" x14ac:dyDescent="0.15">
      <c r="B557">
        <v>2025</v>
      </c>
      <c r="C557">
        <v>11</v>
      </c>
      <c r="D557" t="s">
        <v>125</v>
      </c>
      <c r="E557" t="s">
        <v>126</v>
      </c>
      <c r="F557" t="s">
        <v>62</v>
      </c>
      <c r="G557" s="56">
        <v>558000</v>
      </c>
    </row>
    <row r="558" spans="2:7" x14ac:dyDescent="0.15">
      <c r="B558">
        <v>2025</v>
      </c>
      <c r="C558">
        <v>11</v>
      </c>
      <c r="D558" t="s">
        <v>125</v>
      </c>
      <c r="E558" t="s">
        <v>126</v>
      </c>
      <c r="F558" t="s">
        <v>75</v>
      </c>
      <c r="G558" s="56">
        <v>431000</v>
      </c>
    </row>
    <row r="559" spans="2:7" x14ac:dyDescent="0.15">
      <c r="B559">
        <v>2025</v>
      </c>
      <c r="C559">
        <v>11</v>
      </c>
      <c r="D559" t="s">
        <v>125</v>
      </c>
      <c r="E559" t="s">
        <v>126</v>
      </c>
      <c r="F559" t="s">
        <v>88</v>
      </c>
      <c r="G559" s="56">
        <v>361000</v>
      </c>
    </row>
    <row r="560" spans="2:7" x14ac:dyDescent="0.15">
      <c r="B560">
        <v>2025</v>
      </c>
      <c r="C560">
        <v>11</v>
      </c>
      <c r="D560" t="s">
        <v>125</v>
      </c>
      <c r="E560" t="s">
        <v>126</v>
      </c>
      <c r="F560" t="s">
        <v>93</v>
      </c>
      <c r="G560" s="56">
        <v>220000</v>
      </c>
    </row>
    <row r="561" spans="2:7" x14ac:dyDescent="0.15">
      <c r="B561">
        <v>2025</v>
      </c>
      <c r="C561">
        <v>11</v>
      </c>
      <c r="D561" t="s">
        <v>70</v>
      </c>
      <c r="E561" t="s">
        <v>84</v>
      </c>
      <c r="F561" t="s">
        <v>55</v>
      </c>
      <c r="G561" s="56">
        <v>1364000</v>
      </c>
    </row>
    <row r="562" spans="2:7" x14ac:dyDescent="0.15">
      <c r="B562">
        <v>2025</v>
      </c>
      <c r="C562">
        <v>11</v>
      </c>
      <c r="D562" t="s">
        <v>70</v>
      </c>
      <c r="E562" t="s">
        <v>84</v>
      </c>
      <c r="F562" t="s">
        <v>62</v>
      </c>
      <c r="G562" s="56">
        <v>903000</v>
      </c>
    </row>
    <row r="563" spans="2:7" x14ac:dyDescent="0.15">
      <c r="B563">
        <v>2025</v>
      </c>
      <c r="C563">
        <v>11</v>
      </c>
      <c r="D563" t="s">
        <v>70</v>
      </c>
      <c r="E563" t="s">
        <v>84</v>
      </c>
      <c r="F563" t="s">
        <v>75</v>
      </c>
      <c r="G563" s="56">
        <v>716000</v>
      </c>
    </row>
    <row r="564" spans="2:7" x14ac:dyDescent="0.15">
      <c r="B564">
        <v>2025</v>
      </c>
      <c r="C564">
        <v>11</v>
      </c>
      <c r="D564" t="s">
        <v>70</v>
      </c>
      <c r="E564" t="s">
        <v>84</v>
      </c>
      <c r="F564" t="s">
        <v>88</v>
      </c>
      <c r="G564" s="56">
        <v>582000</v>
      </c>
    </row>
    <row r="565" spans="2:7" x14ac:dyDescent="0.15">
      <c r="B565">
        <v>2025</v>
      </c>
      <c r="C565">
        <v>11</v>
      </c>
      <c r="D565" t="s">
        <v>70</v>
      </c>
      <c r="E565" t="s">
        <v>84</v>
      </c>
      <c r="F565" t="s">
        <v>93</v>
      </c>
      <c r="G565" s="56">
        <v>349000</v>
      </c>
    </row>
    <row r="566" spans="2:7" x14ac:dyDescent="0.15">
      <c r="B566">
        <v>2025</v>
      </c>
      <c r="C566">
        <v>11</v>
      </c>
      <c r="D566" t="s">
        <v>70</v>
      </c>
      <c r="E566" t="s">
        <v>71</v>
      </c>
      <c r="F566" t="s">
        <v>55</v>
      </c>
      <c r="G566" s="56">
        <v>996000</v>
      </c>
    </row>
    <row r="567" spans="2:7" x14ac:dyDescent="0.15">
      <c r="B567">
        <v>2025</v>
      </c>
      <c r="C567">
        <v>11</v>
      </c>
      <c r="D567" t="s">
        <v>70</v>
      </c>
      <c r="E567" t="s">
        <v>71</v>
      </c>
      <c r="F567" t="s">
        <v>62</v>
      </c>
      <c r="G567" s="56">
        <v>644000</v>
      </c>
    </row>
    <row r="568" spans="2:7" x14ac:dyDescent="0.15">
      <c r="B568">
        <v>2025</v>
      </c>
      <c r="C568">
        <v>11</v>
      </c>
      <c r="D568" t="s">
        <v>70</v>
      </c>
      <c r="E568" t="s">
        <v>71</v>
      </c>
      <c r="F568" t="s">
        <v>75</v>
      </c>
      <c r="G568" s="56">
        <v>523000</v>
      </c>
    </row>
    <row r="569" spans="2:7" x14ac:dyDescent="0.15">
      <c r="B569">
        <v>2025</v>
      </c>
      <c r="C569">
        <v>11</v>
      </c>
      <c r="D569" t="s">
        <v>70</v>
      </c>
      <c r="E569" t="s">
        <v>71</v>
      </c>
      <c r="F569" t="s">
        <v>88</v>
      </c>
      <c r="G569" s="56">
        <v>426000</v>
      </c>
    </row>
    <row r="570" spans="2:7" x14ac:dyDescent="0.15">
      <c r="B570">
        <v>2025</v>
      </c>
      <c r="C570">
        <v>11</v>
      </c>
      <c r="D570" t="s">
        <v>70</v>
      </c>
      <c r="E570" t="s">
        <v>71</v>
      </c>
      <c r="F570" t="s">
        <v>93</v>
      </c>
      <c r="G570" s="56">
        <v>255000</v>
      </c>
    </row>
    <row r="571" spans="2:7" x14ac:dyDescent="0.15">
      <c r="B571">
        <v>2025</v>
      </c>
      <c r="C571">
        <v>12</v>
      </c>
      <c r="D571" t="s">
        <v>64</v>
      </c>
      <c r="E571" t="s">
        <v>65</v>
      </c>
      <c r="F571" t="s">
        <v>55</v>
      </c>
      <c r="G571" s="56">
        <v>5363000</v>
      </c>
    </row>
    <row r="572" spans="2:7" x14ac:dyDescent="0.15">
      <c r="B572">
        <v>2025</v>
      </c>
      <c r="C572">
        <v>12</v>
      </c>
      <c r="D572" t="s">
        <v>64</v>
      </c>
      <c r="E572" t="s">
        <v>65</v>
      </c>
      <c r="F572" t="s">
        <v>62</v>
      </c>
      <c r="G572" s="56">
        <v>3084000</v>
      </c>
    </row>
    <row r="573" spans="2:7" x14ac:dyDescent="0.15">
      <c r="B573">
        <v>2025</v>
      </c>
      <c r="C573">
        <v>12</v>
      </c>
      <c r="D573" t="s">
        <v>64</v>
      </c>
      <c r="E573" t="s">
        <v>65</v>
      </c>
      <c r="F573" t="s">
        <v>75</v>
      </c>
      <c r="G573" s="56">
        <v>2652000</v>
      </c>
    </row>
    <row r="574" spans="2:7" x14ac:dyDescent="0.15">
      <c r="B574">
        <v>2025</v>
      </c>
      <c r="C574">
        <v>12</v>
      </c>
      <c r="D574" t="s">
        <v>64</v>
      </c>
      <c r="E574" t="s">
        <v>65</v>
      </c>
      <c r="F574" t="s">
        <v>88</v>
      </c>
      <c r="G574" s="56">
        <v>2314000</v>
      </c>
    </row>
    <row r="575" spans="2:7" x14ac:dyDescent="0.15">
      <c r="B575">
        <v>2025</v>
      </c>
      <c r="C575">
        <v>12</v>
      </c>
      <c r="D575" t="s">
        <v>64</v>
      </c>
      <c r="E575" t="s">
        <v>65</v>
      </c>
      <c r="F575" t="s">
        <v>93</v>
      </c>
      <c r="G575" s="56">
        <v>1228000</v>
      </c>
    </row>
    <row r="576" spans="2:7" x14ac:dyDescent="0.15">
      <c r="B576">
        <v>2025</v>
      </c>
      <c r="C576">
        <v>12</v>
      </c>
      <c r="D576" t="s">
        <v>64</v>
      </c>
      <c r="E576" t="s">
        <v>96</v>
      </c>
      <c r="F576" t="s">
        <v>55</v>
      </c>
      <c r="G576" s="56">
        <v>4393000</v>
      </c>
    </row>
    <row r="577" spans="2:7" x14ac:dyDescent="0.15">
      <c r="B577">
        <v>2025</v>
      </c>
      <c r="C577">
        <v>12</v>
      </c>
      <c r="D577" t="s">
        <v>64</v>
      </c>
      <c r="E577" t="s">
        <v>96</v>
      </c>
      <c r="F577" t="s">
        <v>62</v>
      </c>
      <c r="G577" s="56">
        <v>2526000</v>
      </c>
    </row>
    <row r="578" spans="2:7" x14ac:dyDescent="0.15">
      <c r="B578">
        <v>2025</v>
      </c>
      <c r="C578">
        <v>12</v>
      </c>
      <c r="D578" t="s">
        <v>64</v>
      </c>
      <c r="E578" t="s">
        <v>96</v>
      </c>
      <c r="F578" t="s">
        <v>75</v>
      </c>
      <c r="G578" s="56">
        <v>2157000</v>
      </c>
    </row>
    <row r="579" spans="2:7" x14ac:dyDescent="0.15">
      <c r="B579">
        <v>2025</v>
      </c>
      <c r="C579">
        <v>12</v>
      </c>
      <c r="D579" t="s">
        <v>64</v>
      </c>
      <c r="E579" t="s">
        <v>96</v>
      </c>
      <c r="F579" t="s">
        <v>88</v>
      </c>
      <c r="G579" s="56">
        <v>1862000</v>
      </c>
    </row>
    <row r="580" spans="2:7" x14ac:dyDescent="0.15">
      <c r="B580">
        <v>2025</v>
      </c>
      <c r="C580">
        <v>12</v>
      </c>
      <c r="D580" t="s">
        <v>64</v>
      </c>
      <c r="E580" t="s">
        <v>96</v>
      </c>
      <c r="F580" t="s">
        <v>93</v>
      </c>
      <c r="G580" s="56">
        <v>995000</v>
      </c>
    </row>
    <row r="581" spans="2:7" x14ac:dyDescent="0.15">
      <c r="B581">
        <v>2025</v>
      </c>
      <c r="C581">
        <v>12</v>
      </c>
      <c r="D581" t="s">
        <v>77</v>
      </c>
      <c r="E581" t="s">
        <v>107</v>
      </c>
      <c r="F581" t="s">
        <v>55</v>
      </c>
      <c r="G581" s="56">
        <v>3730000</v>
      </c>
    </row>
    <row r="582" spans="2:7" x14ac:dyDescent="0.15">
      <c r="B582">
        <v>2025</v>
      </c>
      <c r="C582">
        <v>12</v>
      </c>
      <c r="D582" t="s">
        <v>77</v>
      </c>
      <c r="E582" t="s">
        <v>107</v>
      </c>
      <c r="F582" t="s">
        <v>62</v>
      </c>
      <c r="G582" s="56">
        <v>2131000</v>
      </c>
    </row>
    <row r="583" spans="2:7" x14ac:dyDescent="0.15">
      <c r="B583">
        <v>2025</v>
      </c>
      <c r="C583">
        <v>12</v>
      </c>
      <c r="D583" t="s">
        <v>77</v>
      </c>
      <c r="E583" t="s">
        <v>107</v>
      </c>
      <c r="F583" t="s">
        <v>75</v>
      </c>
      <c r="G583" s="56">
        <v>1857000</v>
      </c>
    </row>
    <row r="584" spans="2:7" x14ac:dyDescent="0.15">
      <c r="B584">
        <v>2025</v>
      </c>
      <c r="C584">
        <v>12</v>
      </c>
      <c r="D584" t="s">
        <v>77</v>
      </c>
      <c r="E584" t="s">
        <v>107</v>
      </c>
      <c r="F584" t="s">
        <v>88</v>
      </c>
      <c r="G584" s="56">
        <v>1595000</v>
      </c>
    </row>
    <row r="585" spans="2:7" x14ac:dyDescent="0.15">
      <c r="B585">
        <v>2025</v>
      </c>
      <c r="C585">
        <v>12</v>
      </c>
      <c r="D585" t="s">
        <v>77</v>
      </c>
      <c r="E585" t="s">
        <v>107</v>
      </c>
      <c r="F585" t="s">
        <v>93</v>
      </c>
      <c r="G585" s="56">
        <v>849000</v>
      </c>
    </row>
    <row r="586" spans="2:7" x14ac:dyDescent="0.15">
      <c r="B586">
        <v>2025</v>
      </c>
      <c r="C586">
        <v>12</v>
      </c>
      <c r="D586" t="s">
        <v>77</v>
      </c>
      <c r="E586" t="s">
        <v>78</v>
      </c>
      <c r="F586" t="s">
        <v>55</v>
      </c>
      <c r="G586" s="56">
        <v>2506000</v>
      </c>
    </row>
    <row r="587" spans="2:7" x14ac:dyDescent="0.15">
      <c r="B587">
        <v>2025</v>
      </c>
      <c r="C587">
        <v>12</v>
      </c>
      <c r="D587" t="s">
        <v>77</v>
      </c>
      <c r="E587" t="s">
        <v>78</v>
      </c>
      <c r="F587" t="s">
        <v>62</v>
      </c>
      <c r="G587" s="56">
        <v>1413000</v>
      </c>
    </row>
    <row r="588" spans="2:7" x14ac:dyDescent="0.15">
      <c r="B588">
        <v>2025</v>
      </c>
      <c r="C588">
        <v>12</v>
      </c>
      <c r="D588" t="s">
        <v>77</v>
      </c>
      <c r="E588" t="s">
        <v>78</v>
      </c>
      <c r="F588" t="s">
        <v>75</v>
      </c>
      <c r="G588" s="56">
        <v>1232000</v>
      </c>
    </row>
    <row r="589" spans="2:7" x14ac:dyDescent="0.15">
      <c r="B589">
        <v>2025</v>
      </c>
      <c r="C589">
        <v>12</v>
      </c>
      <c r="D589" t="s">
        <v>77</v>
      </c>
      <c r="E589" t="s">
        <v>78</v>
      </c>
      <c r="F589" t="s">
        <v>88</v>
      </c>
      <c r="G589" s="56">
        <v>1037000</v>
      </c>
    </row>
    <row r="590" spans="2:7" x14ac:dyDescent="0.15">
      <c r="B590">
        <v>2025</v>
      </c>
      <c r="C590">
        <v>12</v>
      </c>
      <c r="D590" t="s">
        <v>77</v>
      </c>
      <c r="E590" t="s">
        <v>78</v>
      </c>
      <c r="F590" t="s">
        <v>93</v>
      </c>
      <c r="G590" s="56">
        <v>571000</v>
      </c>
    </row>
    <row r="591" spans="2:7" x14ac:dyDescent="0.15">
      <c r="B591">
        <v>2025</v>
      </c>
      <c r="C591">
        <v>12</v>
      </c>
      <c r="D591" t="s">
        <v>57</v>
      </c>
      <c r="E591" t="s">
        <v>81</v>
      </c>
      <c r="F591" t="s">
        <v>55</v>
      </c>
      <c r="G591" s="56">
        <v>3140000</v>
      </c>
    </row>
    <row r="592" spans="2:7" x14ac:dyDescent="0.15">
      <c r="B592">
        <v>2025</v>
      </c>
      <c r="C592">
        <v>12</v>
      </c>
      <c r="D592" t="s">
        <v>57</v>
      </c>
      <c r="E592" t="s">
        <v>81</v>
      </c>
      <c r="F592" t="s">
        <v>62</v>
      </c>
      <c r="G592" s="56">
        <v>1783000</v>
      </c>
    </row>
    <row r="593" spans="2:7" x14ac:dyDescent="0.15">
      <c r="B593">
        <v>2025</v>
      </c>
      <c r="C593">
        <v>12</v>
      </c>
      <c r="D593" t="s">
        <v>57</v>
      </c>
      <c r="E593" t="s">
        <v>81</v>
      </c>
      <c r="F593" t="s">
        <v>75</v>
      </c>
      <c r="G593" s="56">
        <v>1540000</v>
      </c>
    </row>
    <row r="594" spans="2:7" x14ac:dyDescent="0.15">
      <c r="B594">
        <v>2025</v>
      </c>
      <c r="C594">
        <v>12</v>
      </c>
      <c r="D594" t="s">
        <v>57</v>
      </c>
      <c r="E594" t="s">
        <v>81</v>
      </c>
      <c r="F594" t="s">
        <v>88</v>
      </c>
      <c r="G594" s="56">
        <v>1355000</v>
      </c>
    </row>
    <row r="595" spans="2:7" x14ac:dyDescent="0.15">
      <c r="B595">
        <v>2025</v>
      </c>
      <c r="C595">
        <v>12</v>
      </c>
      <c r="D595" t="s">
        <v>57</v>
      </c>
      <c r="E595" t="s">
        <v>81</v>
      </c>
      <c r="F595" t="s">
        <v>93</v>
      </c>
      <c r="G595" s="56">
        <v>706000</v>
      </c>
    </row>
    <row r="596" spans="2:7" x14ac:dyDescent="0.15">
      <c r="B596">
        <v>2025</v>
      </c>
      <c r="C596">
        <v>12</v>
      </c>
      <c r="D596" t="s">
        <v>57</v>
      </c>
      <c r="E596" t="s">
        <v>58</v>
      </c>
      <c r="F596" t="s">
        <v>55</v>
      </c>
      <c r="G596" s="56">
        <v>1909000</v>
      </c>
    </row>
    <row r="597" spans="2:7" x14ac:dyDescent="0.15">
      <c r="B597">
        <v>2025</v>
      </c>
      <c r="C597">
        <v>12</v>
      </c>
      <c r="D597" t="s">
        <v>57</v>
      </c>
      <c r="E597" t="s">
        <v>58</v>
      </c>
      <c r="F597" t="s">
        <v>62</v>
      </c>
      <c r="G597" s="56">
        <v>1091000</v>
      </c>
    </row>
    <row r="598" spans="2:7" x14ac:dyDescent="0.15">
      <c r="B598">
        <v>2025</v>
      </c>
      <c r="C598">
        <v>12</v>
      </c>
      <c r="D598" t="s">
        <v>57</v>
      </c>
      <c r="E598" t="s">
        <v>58</v>
      </c>
      <c r="F598" t="s">
        <v>75</v>
      </c>
      <c r="G598" s="56">
        <v>960000</v>
      </c>
    </row>
    <row r="599" spans="2:7" x14ac:dyDescent="0.15">
      <c r="B599">
        <v>2025</v>
      </c>
      <c r="C599">
        <v>12</v>
      </c>
      <c r="D599" t="s">
        <v>57</v>
      </c>
      <c r="E599" t="s">
        <v>58</v>
      </c>
      <c r="F599" t="s">
        <v>88</v>
      </c>
      <c r="G599" s="56">
        <v>840000</v>
      </c>
    </row>
    <row r="600" spans="2:7" x14ac:dyDescent="0.15">
      <c r="B600">
        <v>2025</v>
      </c>
      <c r="C600">
        <v>12</v>
      </c>
      <c r="D600" t="s">
        <v>57</v>
      </c>
      <c r="E600" t="s">
        <v>58</v>
      </c>
      <c r="F600" t="s">
        <v>93</v>
      </c>
      <c r="G600" s="56">
        <v>448000</v>
      </c>
    </row>
    <row r="601" spans="2:7" x14ac:dyDescent="0.15">
      <c r="B601">
        <v>2025</v>
      </c>
      <c r="C601">
        <v>12</v>
      </c>
      <c r="D601" t="s">
        <v>125</v>
      </c>
      <c r="E601" t="s">
        <v>138</v>
      </c>
      <c r="F601" t="s">
        <v>55</v>
      </c>
      <c r="G601" s="56">
        <v>2359000</v>
      </c>
    </row>
    <row r="602" spans="2:7" x14ac:dyDescent="0.15">
      <c r="B602">
        <v>2025</v>
      </c>
      <c r="C602">
        <v>12</v>
      </c>
      <c r="D602" t="s">
        <v>125</v>
      </c>
      <c r="E602" t="s">
        <v>138</v>
      </c>
      <c r="F602" t="s">
        <v>62</v>
      </c>
      <c r="G602" s="56">
        <v>1305000</v>
      </c>
    </row>
    <row r="603" spans="2:7" x14ac:dyDescent="0.15">
      <c r="B603">
        <v>2025</v>
      </c>
      <c r="C603">
        <v>12</v>
      </c>
      <c r="D603" t="s">
        <v>125</v>
      </c>
      <c r="E603" t="s">
        <v>138</v>
      </c>
      <c r="F603" t="s">
        <v>75</v>
      </c>
      <c r="G603" s="56">
        <v>1144000</v>
      </c>
    </row>
    <row r="604" spans="2:7" x14ac:dyDescent="0.15">
      <c r="B604">
        <v>2025</v>
      </c>
      <c r="C604">
        <v>12</v>
      </c>
      <c r="D604" t="s">
        <v>125</v>
      </c>
      <c r="E604" t="s">
        <v>138</v>
      </c>
      <c r="F604" t="s">
        <v>88</v>
      </c>
      <c r="G604" s="56">
        <v>1004000</v>
      </c>
    </row>
    <row r="605" spans="2:7" x14ac:dyDescent="0.15">
      <c r="B605">
        <v>2025</v>
      </c>
      <c r="C605">
        <v>12</v>
      </c>
      <c r="D605" t="s">
        <v>125</v>
      </c>
      <c r="E605" t="s">
        <v>138</v>
      </c>
      <c r="F605" t="s">
        <v>93</v>
      </c>
      <c r="G605" s="56">
        <v>518000</v>
      </c>
    </row>
    <row r="606" spans="2:7" x14ac:dyDescent="0.15">
      <c r="B606">
        <v>2025</v>
      </c>
      <c r="C606">
        <v>12</v>
      </c>
      <c r="D606" t="s">
        <v>125</v>
      </c>
      <c r="E606" t="s">
        <v>126</v>
      </c>
      <c r="F606" t="s">
        <v>55</v>
      </c>
      <c r="G606" s="56">
        <v>1237000</v>
      </c>
    </row>
    <row r="607" spans="2:7" x14ac:dyDescent="0.15">
      <c r="B607">
        <v>2025</v>
      </c>
      <c r="C607">
        <v>12</v>
      </c>
      <c r="D607" t="s">
        <v>125</v>
      </c>
      <c r="E607" t="s">
        <v>126</v>
      </c>
      <c r="F607" t="s">
        <v>62</v>
      </c>
      <c r="G607" s="56">
        <v>705000</v>
      </c>
    </row>
    <row r="608" spans="2:7" x14ac:dyDescent="0.15">
      <c r="B608">
        <v>2025</v>
      </c>
      <c r="C608">
        <v>12</v>
      </c>
      <c r="D608" t="s">
        <v>125</v>
      </c>
      <c r="E608" t="s">
        <v>126</v>
      </c>
      <c r="F608" t="s">
        <v>75</v>
      </c>
      <c r="G608" s="56">
        <v>622000</v>
      </c>
    </row>
    <row r="609" spans="2:7" x14ac:dyDescent="0.15">
      <c r="B609">
        <v>2025</v>
      </c>
      <c r="C609">
        <v>12</v>
      </c>
      <c r="D609" t="s">
        <v>125</v>
      </c>
      <c r="E609" t="s">
        <v>126</v>
      </c>
      <c r="F609" t="s">
        <v>88</v>
      </c>
      <c r="G609" s="56">
        <v>539000</v>
      </c>
    </row>
    <row r="610" spans="2:7" x14ac:dyDescent="0.15">
      <c r="B610">
        <v>2025</v>
      </c>
      <c r="C610">
        <v>12</v>
      </c>
      <c r="D610" t="s">
        <v>125</v>
      </c>
      <c r="E610" t="s">
        <v>126</v>
      </c>
      <c r="F610" t="s">
        <v>93</v>
      </c>
      <c r="G610" s="56">
        <v>284000</v>
      </c>
    </row>
    <row r="611" spans="2:7" x14ac:dyDescent="0.15">
      <c r="B611">
        <v>2025</v>
      </c>
      <c r="C611">
        <v>12</v>
      </c>
      <c r="D611" t="s">
        <v>70</v>
      </c>
      <c r="E611" t="s">
        <v>84</v>
      </c>
      <c r="F611" t="s">
        <v>55</v>
      </c>
      <c r="G611" s="56">
        <v>2037000</v>
      </c>
    </row>
    <row r="612" spans="2:7" x14ac:dyDescent="0.15">
      <c r="B612">
        <v>2025</v>
      </c>
      <c r="C612">
        <v>12</v>
      </c>
      <c r="D612" t="s">
        <v>70</v>
      </c>
      <c r="E612" t="s">
        <v>84</v>
      </c>
      <c r="F612" t="s">
        <v>62</v>
      </c>
      <c r="G612" s="56">
        <v>1134000</v>
      </c>
    </row>
    <row r="613" spans="2:7" x14ac:dyDescent="0.15">
      <c r="B613">
        <v>2025</v>
      </c>
      <c r="C613">
        <v>12</v>
      </c>
      <c r="D613" t="s">
        <v>70</v>
      </c>
      <c r="E613" t="s">
        <v>84</v>
      </c>
      <c r="F613" t="s">
        <v>75</v>
      </c>
      <c r="G613" s="56">
        <v>994000</v>
      </c>
    </row>
    <row r="614" spans="2:7" x14ac:dyDescent="0.15">
      <c r="B614">
        <v>2025</v>
      </c>
      <c r="C614">
        <v>12</v>
      </c>
      <c r="D614" t="s">
        <v>70</v>
      </c>
      <c r="E614" t="s">
        <v>84</v>
      </c>
      <c r="F614" t="s">
        <v>88</v>
      </c>
      <c r="G614" s="56">
        <v>846000</v>
      </c>
    </row>
    <row r="615" spans="2:7" x14ac:dyDescent="0.15">
      <c r="B615">
        <v>2025</v>
      </c>
      <c r="C615">
        <v>12</v>
      </c>
      <c r="D615" t="s">
        <v>70</v>
      </c>
      <c r="E615" t="s">
        <v>84</v>
      </c>
      <c r="F615" t="s">
        <v>93</v>
      </c>
      <c r="G615" s="56">
        <v>455000</v>
      </c>
    </row>
    <row r="616" spans="2:7" x14ac:dyDescent="0.15">
      <c r="B616">
        <v>2025</v>
      </c>
      <c r="C616">
        <v>12</v>
      </c>
      <c r="D616" t="s">
        <v>70</v>
      </c>
      <c r="E616" t="s">
        <v>71</v>
      </c>
      <c r="F616" t="s">
        <v>55</v>
      </c>
      <c r="G616" s="56">
        <v>1486000</v>
      </c>
    </row>
    <row r="617" spans="2:7" x14ac:dyDescent="0.15">
      <c r="B617">
        <v>2025</v>
      </c>
      <c r="C617">
        <v>12</v>
      </c>
      <c r="D617" t="s">
        <v>70</v>
      </c>
      <c r="E617" t="s">
        <v>71</v>
      </c>
      <c r="F617" t="s">
        <v>62</v>
      </c>
      <c r="G617" s="56">
        <v>841000</v>
      </c>
    </row>
    <row r="618" spans="2:7" x14ac:dyDescent="0.15">
      <c r="B618">
        <v>2025</v>
      </c>
      <c r="C618">
        <v>12</v>
      </c>
      <c r="D618" t="s">
        <v>70</v>
      </c>
      <c r="E618" t="s">
        <v>71</v>
      </c>
      <c r="F618" t="s">
        <v>75</v>
      </c>
      <c r="G618" s="56">
        <v>723000</v>
      </c>
    </row>
    <row r="619" spans="2:7" x14ac:dyDescent="0.15">
      <c r="B619">
        <v>2025</v>
      </c>
      <c r="C619">
        <v>12</v>
      </c>
      <c r="D619" t="s">
        <v>70</v>
      </c>
      <c r="E619" t="s">
        <v>71</v>
      </c>
      <c r="F619" t="s">
        <v>88</v>
      </c>
      <c r="G619" s="56">
        <v>618000</v>
      </c>
    </row>
    <row r="620" spans="2:7" x14ac:dyDescent="0.15">
      <c r="B620">
        <v>2025</v>
      </c>
      <c r="C620">
        <v>12</v>
      </c>
      <c r="D620" t="s">
        <v>70</v>
      </c>
      <c r="E620" t="s">
        <v>71</v>
      </c>
      <c r="F620" t="s">
        <v>93</v>
      </c>
      <c r="G620" s="56">
        <v>327000</v>
      </c>
    </row>
    <row r="621" spans="2:7" x14ac:dyDescent="0.15">
      <c r="B621">
        <v>2026</v>
      </c>
      <c r="C621">
        <v>1</v>
      </c>
      <c r="D621" t="s">
        <v>64</v>
      </c>
      <c r="E621" t="s">
        <v>65</v>
      </c>
      <c r="F621" t="s">
        <v>55</v>
      </c>
      <c r="G621" s="56">
        <v>3088000</v>
      </c>
    </row>
    <row r="622" spans="2:7" x14ac:dyDescent="0.15">
      <c r="B622">
        <v>2026</v>
      </c>
      <c r="C622">
        <v>1</v>
      </c>
      <c r="D622" t="s">
        <v>64</v>
      </c>
      <c r="E622" t="s">
        <v>65</v>
      </c>
      <c r="F622" t="s">
        <v>62</v>
      </c>
      <c r="G622" s="56">
        <v>2011000</v>
      </c>
    </row>
    <row r="623" spans="2:7" x14ac:dyDescent="0.15">
      <c r="B623">
        <v>2026</v>
      </c>
      <c r="C623">
        <v>1</v>
      </c>
      <c r="D623" t="s">
        <v>64</v>
      </c>
      <c r="E623" t="s">
        <v>65</v>
      </c>
      <c r="F623" t="s">
        <v>75</v>
      </c>
      <c r="G623" s="56">
        <v>1577000</v>
      </c>
    </row>
    <row r="624" spans="2:7" x14ac:dyDescent="0.15">
      <c r="B624">
        <v>2026</v>
      </c>
      <c r="C624">
        <v>1</v>
      </c>
      <c r="D624" t="s">
        <v>64</v>
      </c>
      <c r="E624" t="s">
        <v>65</v>
      </c>
      <c r="F624" t="s">
        <v>88</v>
      </c>
      <c r="G624" s="56">
        <v>1320000</v>
      </c>
    </row>
    <row r="625" spans="2:7" x14ac:dyDescent="0.15">
      <c r="B625">
        <v>2026</v>
      </c>
      <c r="C625">
        <v>1</v>
      </c>
      <c r="D625" t="s">
        <v>64</v>
      </c>
      <c r="E625" t="s">
        <v>65</v>
      </c>
      <c r="F625" t="s">
        <v>93</v>
      </c>
      <c r="G625" s="56">
        <v>798000</v>
      </c>
    </row>
    <row r="626" spans="2:7" x14ac:dyDescent="0.15">
      <c r="B626">
        <v>2026</v>
      </c>
      <c r="C626">
        <v>1</v>
      </c>
      <c r="D626" t="s">
        <v>64</v>
      </c>
      <c r="E626" t="s">
        <v>96</v>
      </c>
      <c r="F626" t="s">
        <v>55</v>
      </c>
      <c r="G626" s="56">
        <v>2542000</v>
      </c>
    </row>
    <row r="627" spans="2:7" x14ac:dyDescent="0.15">
      <c r="B627">
        <v>2026</v>
      </c>
      <c r="C627">
        <v>1</v>
      </c>
      <c r="D627" t="s">
        <v>64</v>
      </c>
      <c r="E627" t="s">
        <v>96</v>
      </c>
      <c r="F627" t="s">
        <v>62</v>
      </c>
      <c r="G627" s="56">
        <v>1620000</v>
      </c>
    </row>
    <row r="628" spans="2:7" x14ac:dyDescent="0.15">
      <c r="B628">
        <v>2026</v>
      </c>
      <c r="C628">
        <v>1</v>
      </c>
      <c r="D628" t="s">
        <v>64</v>
      </c>
      <c r="E628" t="s">
        <v>96</v>
      </c>
      <c r="F628" t="s">
        <v>75</v>
      </c>
      <c r="G628" s="56">
        <v>1268000</v>
      </c>
    </row>
    <row r="629" spans="2:7" x14ac:dyDescent="0.15">
      <c r="B629">
        <v>2026</v>
      </c>
      <c r="C629">
        <v>1</v>
      </c>
      <c r="D629" t="s">
        <v>64</v>
      </c>
      <c r="E629" t="s">
        <v>96</v>
      </c>
      <c r="F629" t="s">
        <v>88</v>
      </c>
      <c r="G629" s="56">
        <v>1073000</v>
      </c>
    </row>
    <row r="630" spans="2:7" x14ac:dyDescent="0.15">
      <c r="B630">
        <v>2026</v>
      </c>
      <c r="C630">
        <v>1</v>
      </c>
      <c r="D630" t="s">
        <v>64</v>
      </c>
      <c r="E630" t="s">
        <v>96</v>
      </c>
      <c r="F630" t="s">
        <v>93</v>
      </c>
      <c r="G630" s="56">
        <v>662000</v>
      </c>
    </row>
    <row r="631" spans="2:7" x14ac:dyDescent="0.15">
      <c r="B631">
        <v>2026</v>
      </c>
      <c r="C631">
        <v>1</v>
      </c>
      <c r="D631" t="s">
        <v>77</v>
      </c>
      <c r="E631" t="s">
        <v>107</v>
      </c>
      <c r="F631" t="s">
        <v>55</v>
      </c>
      <c r="G631" s="56">
        <v>2179000</v>
      </c>
    </row>
    <row r="632" spans="2:7" x14ac:dyDescent="0.15">
      <c r="B632">
        <v>2026</v>
      </c>
      <c r="C632">
        <v>1</v>
      </c>
      <c r="D632" t="s">
        <v>77</v>
      </c>
      <c r="E632" t="s">
        <v>107</v>
      </c>
      <c r="F632" t="s">
        <v>62</v>
      </c>
      <c r="G632" s="56">
        <v>1388000</v>
      </c>
    </row>
    <row r="633" spans="2:7" x14ac:dyDescent="0.15">
      <c r="B633">
        <v>2026</v>
      </c>
      <c r="C633">
        <v>1</v>
      </c>
      <c r="D633" t="s">
        <v>77</v>
      </c>
      <c r="E633" t="s">
        <v>107</v>
      </c>
      <c r="F633" t="s">
        <v>75</v>
      </c>
      <c r="G633" s="56">
        <v>1089000</v>
      </c>
    </row>
    <row r="634" spans="2:7" x14ac:dyDescent="0.15">
      <c r="B634">
        <v>2026</v>
      </c>
      <c r="C634">
        <v>1</v>
      </c>
      <c r="D634" t="s">
        <v>77</v>
      </c>
      <c r="E634" t="s">
        <v>107</v>
      </c>
      <c r="F634" t="s">
        <v>88</v>
      </c>
      <c r="G634" s="56">
        <v>902000</v>
      </c>
    </row>
    <row r="635" spans="2:7" x14ac:dyDescent="0.15">
      <c r="B635">
        <v>2026</v>
      </c>
      <c r="C635">
        <v>1</v>
      </c>
      <c r="D635" t="s">
        <v>77</v>
      </c>
      <c r="E635" t="s">
        <v>107</v>
      </c>
      <c r="F635" t="s">
        <v>93</v>
      </c>
      <c r="G635" s="56">
        <v>565000</v>
      </c>
    </row>
    <row r="636" spans="2:7" x14ac:dyDescent="0.15">
      <c r="B636">
        <v>2026</v>
      </c>
      <c r="C636">
        <v>1</v>
      </c>
      <c r="D636" t="s">
        <v>77</v>
      </c>
      <c r="E636" t="s">
        <v>78</v>
      </c>
      <c r="F636" t="s">
        <v>55</v>
      </c>
      <c r="G636" s="56">
        <v>1438000</v>
      </c>
    </row>
    <row r="637" spans="2:7" x14ac:dyDescent="0.15">
      <c r="B637">
        <v>2026</v>
      </c>
      <c r="C637">
        <v>1</v>
      </c>
      <c r="D637" t="s">
        <v>77</v>
      </c>
      <c r="E637" t="s">
        <v>78</v>
      </c>
      <c r="F637" t="s">
        <v>62</v>
      </c>
      <c r="G637" s="56">
        <v>932000</v>
      </c>
    </row>
    <row r="638" spans="2:7" x14ac:dyDescent="0.15">
      <c r="B638">
        <v>2026</v>
      </c>
      <c r="C638">
        <v>1</v>
      </c>
      <c r="D638" t="s">
        <v>77</v>
      </c>
      <c r="E638" t="s">
        <v>78</v>
      </c>
      <c r="F638" t="s">
        <v>75</v>
      </c>
      <c r="G638" s="56">
        <v>733000</v>
      </c>
    </row>
    <row r="639" spans="2:7" x14ac:dyDescent="0.15">
      <c r="B639">
        <v>2026</v>
      </c>
      <c r="C639">
        <v>1</v>
      </c>
      <c r="D639" t="s">
        <v>77</v>
      </c>
      <c r="E639" t="s">
        <v>78</v>
      </c>
      <c r="F639" t="s">
        <v>88</v>
      </c>
      <c r="G639" s="56">
        <v>595000</v>
      </c>
    </row>
    <row r="640" spans="2:7" x14ac:dyDescent="0.15">
      <c r="B640">
        <v>2026</v>
      </c>
      <c r="C640">
        <v>1</v>
      </c>
      <c r="D640" t="s">
        <v>77</v>
      </c>
      <c r="E640" t="s">
        <v>78</v>
      </c>
      <c r="F640" t="s">
        <v>93</v>
      </c>
      <c r="G640" s="56">
        <v>376000</v>
      </c>
    </row>
    <row r="641" spans="2:7" x14ac:dyDescent="0.15">
      <c r="B641">
        <v>2026</v>
      </c>
      <c r="C641">
        <v>1</v>
      </c>
      <c r="D641" t="s">
        <v>57</v>
      </c>
      <c r="E641" t="s">
        <v>81</v>
      </c>
      <c r="F641" t="s">
        <v>55</v>
      </c>
      <c r="G641" s="56">
        <v>1826000</v>
      </c>
    </row>
    <row r="642" spans="2:7" x14ac:dyDescent="0.15">
      <c r="B642">
        <v>2026</v>
      </c>
      <c r="C642">
        <v>1</v>
      </c>
      <c r="D642" t="s">
        <v>57</v>
      </c>
      <c r="E642" t="s">
        <v>81</v>
      </c>
      <c r="F642" t="s">
        <v>62</v>
      </c>
      <c r="G642" s="56">
        <v>1182000</v>
      </c>
    </row>
    <row r="643" spans="2:7" x14ac:dyDescent="0.15">
      <c r="B643">
        <v>2026</v>
      </c>
      <c r="C643">
        <v>1</v>
      </c>
      <c r="D643" t="s">
        <v>57</v>
      </c>
      <c r="E643" t="s">
        <v>81</v>
      </c>
      <c r="F643" t="s">
        <v>75</v>
      </c>
      <c r="G643" s="56">
        <v>913000</v>
      </c>
    </row>
    <row r="644" spans="2:7" x14ac:dyDescent="0.15">
      <c r="B644">
        <v>2026</v>
      </c>
      <c r="C644">
        <v>1</v>
      </c>
      <c r="D644" t="s">
        <v>57</v>
      </c>
      <c r="E644" t="s">
        <v>81</v>
      </c>
      <c r="F644" t="s">
        <v>88</v>
      </c>
      <c r="G644" s="56">
        <v>780000</v>
      </c>
    </row>
    <row r="645" spans="2:7" x14ac:dyDescent="0.15">
      <c r="B645">
        <v>2026</v>
      </c>
      <c r="C645">
        <v>1</v>
      </c>
      <c r="D645" t="s">
        <v>57</v>
      </c>
      <c r="E645" t="s">
        <v>81</v>
      </c>
      <c r="F645" t="s">
        <v>93</v>
      </c>
      <c r="G645" s="56">
        <v>473000</v>
      </c>
    </row>
    <row r="646" spans="2:7" x14ac:dyDescent="0.15">
      <c r="B646">
        <v>2026</v>
      </c>
      <c r="C646">
        <v>1</v>
      </c>
      <c r="D646" t="s">
        <v>57</v>
      </c>
      <c r="E646" t="s">
        <v>58</v>
      </c>
      <c r="F646" t="s">
        <v>55</v>
      </c>
      <c r="G646" s="56">
        <v>1128000</v>
      </c>
    </row>
    <row r="647" spans="2:7" x14ac:dyDescent="0.15">
      <c r="B647">
        <v>2026</v>
      </c>
      <c r="C647">
        <v>1</v>
      </c>
      <c r="D647" t="s">
        <v>57</v>
      </c>
      <c r="E647" t="s">
        <v>58</v>
      </c>
      <c r="F647" t="s">
        <v>62</v>
      </c>
      <c r="G647" s="56">
        <v>733000</v>
      </c>
    </row>
    <row r="648" spans="2:7" x14ac:dyDescent="0.15">
      <c r="B648">
        <v>2026</v>
      </c>
      <c r="C648">
        <v>1</v>
      </c>
      <c r="D648" t="s">
        <v>57</v>
      </c>
      <c r="E648" t="s">
        <v>58</v>
      </c>
      <c r="F648" t="s">
        <v>75</v>
      </c>
      <c r="G648" s="56">
        <v>566000</v>
      </c>
    </row>
    <row r="649" spans="2:7" x14ac:dyDescent="0.15">
      <c r="B649">
        <v>2026</v>
      </c>
      <c r="C649">
        <v>1</v>
      </c>
      <c r="D649" t="s">
        <v>57</v>
      </c>
      <c r="E649" t="s">
        <v>58</v>
      </c>
      <c r="F649" t="s">
        <v>88</v>
      </c>
      <c r="G649" s="56">
        <v>478000</v>
      </c>
    </row>
    <row r="650" spans="2:7" x14ac:dyDescent="0.15">
      <c r="B650">
        <v>2026</v>
      </c>
      <c r="C650">
        <v>1</v>
      </c>
      <c r="D650" t="s">
        <v>57</v>
      </c>
      <c r="E650" t="s">
        <v>58</v>
      </c>
      <c r="F650" t="s">
        <v>93</v>
      </c>
      <c r="G650" s="56">
        <v>294000</v>
      </c>
    </row>
    <row r="651" spans="2:7" x14ac:dyDescent="0.15">
      <c r="B651">
        <v>2026</v>
      </c>
      <c r="C651">
        <v>1</v>
      </c>
      <c r="D651" t="s">
        <v>125</v>
      </c>
      <c r="E651" t="s">
        <v>138</v>
      </c>
      <c r="F651" t="s">
        <v>55</v>
      </c>
      <c r="G651" s="56">
        <v>1362000</v>
      </c>
    </row>
    <row r="652" spans="2:7" x14ac:dyDescent="0.15">
      <c r="B652">
        <v>2026</v>
      </c>
      <c r="C652">
        <v>1</v>
      </c>
      <c r="D652" t="s">
        <v>125</v>
      </c>
      <c r="E652" t="s">
        <v>138</v>
      </c>
      <c r="F652" t="s">
        <v>62</v>
      </c>
      <c r="G652" s="56">
        <v>879000</v>
      </c>
    </row>
    <row r="653" spans="2:7" x14ac:dyDescent="0.15">
      <c r="B653">
        <v>2026</v>
      </c>
      <c r="C653">
        <v>1</v>
      </c>
      <c r="D653" t="s">
        <v>125</v>
      </c>
      <c r="E653" t="s">
        <v>138</v>
      </c>
      <c r="F653" t="s">
        <v>75</v>
      </c>
      <c r="G653" s="56">
        <v>669000</v>
      </c>
    </row>
    <row r="654" spans="2:7" x14ac:dyDescent="0.15">
      <c r="B654">
        <v>2026</v>
      </c>
      <c r="C654">
        <v>1</v>
      </c>
      <c r="D654" t="s">
        <v>125</v>
      </c>
      <c r="E654" t="s">
        <v>138</v>
      </c>
      <c r="F654" t="s">
        <v>88</v>
      </c>
      <c r="G654" s="56">
        <v>562000</v>
      </c>
    </row>
    <row r="655" spans="2:7" x14ac:dyDescent="0.15">
      <c r="B655">
        <v>2026</v>
      </c>
      <c r="C655">
        <v>1</v>
      </c>
      <c r="D655" t="s">
        <v>125</v>
      </c>
      <c r="E655" t="s">
        <v>138</v>
      </c>
      <c r="F655" t="s">
        <v>93</v>
      </c>
      <c r="G655" s="56">
        <v>344000</v>
      </c>
    </row>
    <row r="656" spans="2:7" x14ac:dyDescent="0.15">
      <c r="B656">
        <v>2026</v>
      </c>
      <c r="C656">
        <v>1</v>
      </c>
      <c r="D656" t="s">
        <v>125</v>
      </c>
      <c r="E656" t="s">
        <v>126</v>
      </c>
      <c r="F656" t="s">
        <v>55</v>
      </c>
      <c r="G656" s="56">
        <v>719000</v>
      </c>
    </row>
    <row r="657" spans="2:7" x14ac:dyDescent="0.15">
      <c r="B657">
        <v>2026</v>
      </c>
      <c r="C657">
        <v>1</v>
      </c>
      <c r="D657" t="s">
        <v>125</v>
      </c>
      <c r="E657" t="s">
        <v>126</v>
      </c>
      <c r="F657" t="s">
        <v>62</v>
      </c>
      <c r="G657" s="56">
        <v>476000</v>
      </c>
    </row>
    <row r="658" spans="2:7" x14ac:dyDescent="0.15">
      <c r="B658">
        <v>2026</v>
      </c>
      <c r="C658">
        <v>1</v>
      </c>
      <c r="D658" t="s">
        <v>125</v>
      </c>
      <c r="E658" t="s">
        <v>126</v>
      </c>
      <c r="F658" t="s">
        <v>75</v>
      </c>
      <c r="G658" s="56">
        <v>357000</v>
      </c>
    </row>
    <row r="659" spans="2:7" x14ac:dyDescent="0.15">
      <c r="B659">
        <v>2026</v>
      </c>
      <c r="C659">
        <v>1</v>
      </c>
      <c r="D659" t="s">
        <v>125</v>
      </c>
      <c r="E659" t="s">
        <v>126</v>
      </c>
      <c r="F659" t="s">
        <v>88</v>
      </c>
      <c r="G659" s="56">
        <v>300000</v>
      </c>
    </row>
    <row r="660" spans="2:7" x14ac:dyDescent="0.15">
      <c r="B660">
        <v>2026</v>
      </c>
      <c r="C660">
        <v>1</v>
      </c>
      <c r="D660" t="s">
        <v>125</v>
      </c>
      <c r="E660" t="s">
        <v>126</v>
      </c>
      <c r="F660" t="s">
        <v>93</v>
      </c>
      <c r="G660" s="56">
        <v>187000</v>
      </c>
    </row>
    <row r="661" spans="2:7" x14ac:dyDescent="0.15">
      <c r="B661">
        <v>2026</v>
      </c>
      <c r="C661">
        <v>1</v>
      </c>
      <c r="D661" t="s">
        <v>70</v>
      </c>
      <c r="E661" t="s">
        <v>84</v>
      </c>
      <c r="F661" t="s">
        <v>55</v>
      </c>
      <c r="G661" s="56">
        <v>1178000</v>
      </c>
    </row>
    <row r="662" spans="2:7" x14ac:dyDescent="0.15">
      <c r="B662">
        <v>2026</v>
      </c>
      <c r="C662">
        <v>1</v>
      </c>
      <c r="D662" t="s">
        <v>70</v>
      </c>
      <c r="E662" t="s">
        <v>84</v>
      </c>
      <c r="F662" t="s">
        <v>62</v>
      </c>
      <c r="G662" s="56">
        <v>737000</v>
      </c>
    </row>
    <row r="663" spans="2:7" x14ac:dyDescent="0.15">
      <c r="B663">
        <v>2026</v>
      </c>
      <c r="C663">
        <v>1</v>
      </c>
      <c r="D663" t="s">
        <v>70</v>
      </c>
      <c r="E663" t="s">
        <v>84</v>
      </c>
      <c r="F663" t="s">
        <v>75</v>
      </c>
      <c r="G663" s="56">
        <v>581000</v>
      </c>
    </row>
    <row r="664" spans="2:7" x14ac:dyDescent="0.15">
      <c r="B664">
        <v>2026</v>
      </c>
      <c r="C664">
        <v>1</v>
      </c>
      <c r="D664" t="s">
        <v>70</v>
      </c>
      <c r="E664" t="s">
        <v>84</v>
      </c>
      <c r="F664" t="s">
        <v>88</v>
      </c>
      <c r="G664" s="56">
        <v>486000</v>
      </c>
    </row>
    <row r="665" spans="2:7" x14ac:dyDescent="0.15">
      <c r="B665">
        <v>2026</v>
      </c>
      <c r="C665">
        <v>1</v>
      </c>
      <c r="D665" t="s">
        <v>70</v>
      </c>
      <c r="E665" t="s">
        <v>84</v>
      </c>
      <c r="F665" t="s">
        <v>93</v>
      </c>
      <c r="G665" s="56">
        <v>301000</v>
      </c>
    </row>
    <row r="666" spans="2:7" x14ac:dyDescent="0.15">
      <c r="B666">
        <v>2026</v>
      </c>
      <c r="C666">
        <v>1</v>
      </c>
      <c r="D666" t="s">
        <v>70</v>
      </c>
      <c r="E666" t="s">
        <v>71</v>
      </c>
      <c r="F666" t="s">
        <v>55</v>
      </c>
      <c r="G666" s="56">
        <v>843000</v>
      </c>
    </row>
    <row r="667" spans="2:7" x14ac:dyDescent="0.15">
      <c r="B667">
        <v>2026</v>
      </c>
      <c r="C667">
        <v>1</v>
      </c>
      <c r="D667" t="s">
        <v>70</v>
      </c>
      <c r="E667" t="s">
        <v>71</v>
      </c>
      <c r="F667" t="s">
        <v>62</v>
      </c>
      <c r="G667" s="56">
        <v>533000</v>
      </c>
    </row>
    <row r="668" spans="2:7" x14ac:dyDescent="0.15">
      <c r="B668">
        <v>2026</v>
      </c>
      <c r="C668">
        <v>1</v>
      </c>
      <c r="D668" t="s">
        <v>70</v>
      </c>
      <c r="E668" t="s">
        <v>71</v>
      </c>
      <c r="F668" t="s">
        <v>75</v>
      </c>
      <c r="G668" s="56">
        <v>418000</v>
      </c>
    </row>
    <row r="669" spans="2:7" x14ac:dyDescent="0.15">
      <c r="B669">
        <v>2026</v>
      </c>
      <c r="C669">
        <v>1</v>
      </c>
      <c r="D669" t="s">
        <v>70</v>
      </c>
      <c r="E669" t="s">
        <v>71</v>
      </c>
      <c r="F669" t="s">
        <v>88</v>
      </c>
      <c r="G669" s="56">
        <v>355000</v>
      </c>
    </row>
    <row r="670" spans="2:7" x14ac:dyDescent="0.15">
      <c r="B670">
        <v>2026</v>
      </c>
      <c r="C670">
        <v>1</v>
      </c>
      <c r="D670" t="s">
        <v>70</v>
      </c>
      <c r="E670" t="s">
        <v>71</v>
      </c>
      <c r="F670" t="s">
        <v>93</v>
      </c>
      <c r="G670" s="56">
        <v>222000</v>
      </c>
    </row>
    <row r="671" spans="2:7" x14ac:dyDescent="0.15">
      <c r="B671">
        <v>2026</v>
      </c>
      <c r="C671">
        <v>2</v>
      </c>
      <c r="D671" t="s">
        <v>64</v>
      </c>
      <c r="E671" t="s">
        <v>65</v>
      </c>
      <c r="F671" t="s">
        <v>55</v>
      </c>
      <c r="G671" s="56">
        <v>3042000</v>
      </c>
    </row>
    <row r="672" spans="2:7" x14ac:dyDescent="0.15">
      <c r="B672">
        <v>2026</v>
      </c>
      <c r="C672">
        <v>2</v>
      </c>
      <c r="D672" t="s">
        <v>64</v>
      </c>
      <c r="E672" t="s">
        <v>65</v>
      </c>
      <c r="F672" t="s">
        <v>62</v>
      </c>
      <c r="G672" s="56">
        <v>1934000</v>
      </c>
    </row>
    <row r="673" spans="2:7" x14ac:dyDescent="0.15">
      <c r="B673">
        <v>2026</v>
      </c>
      <c r="C673">
        <v>2</v>
      </c>
      <c r="D673" t="s">
        <v>64</v>
      </c>
      <c r="E673" t="s">
        <v>65</v>
      </c>
      <c r="F673" t="s">
        <v>75</v>
      </c>
      <c r="G673" s="56">
        <v>1503000</v>
      </c>
    </row>
    <row r="674" spans="2:7" x14ac:dyDescent="0.15">
      <c r="B674">
        <v>2026</v>
      </c>
      <c r="C674">
        <v>2</v>
      </c>
      <c r="D674" t="s">
        <v>64</v>
      </c>
      <c r="E674" t="s">
        <v>65</v>
      </c>
      <c r="F674" t="s">
        <v>88</v>
      </c>
      <c r="G674" s="56">
        <v>1233000</v>
      </c>
    </row>
    <row r="675" spans="2:7" x14ac:dyDescent="0.15">
      <c r="B675">
        <v>2026</v>
      </c>
      <c r="C675">
        <v>2</v>
      </c>
      <c r="D675" t="s">
        <v>64</v>
      </c>
      <c r="E675" t="s">
        <v>65</v>
      </c>
      <c r="F675" t="s">
        <v>93</v>
      </c>
      <c r="G675" s="56">
        <v>777000</v>
      </c>
    </row>
    <row r="676" spans="2:7" x14ac:dyDescent="0.15">
      <c r="B676">
        <v>2026</v>
      </c>
      <c r="C676">
        <v>2</v>
      </c>
      <c r="D676" t="s">
        <v>64</v>
      </c>
      <c r="E676" t="s">
        <v>96</v>
      </c>
      <c r="F676" t="s">
        <v>55</v>
      </c>
      <c r="G676" s="56">
        <v>2494000</v>
      </c>
    </row>
    <row r="677" spans="2:7" x14ac:dyDescent="0.15">
      <c r="B677">
        <v>2026</v>
      </c>
      <c r="C677">
        <v>2</v>
      </c>
      <c r="D677" t="s">
        <v>64</v>
      </c>
      <c r="E677" t="s">
        <v>96</v>
      </c>
      <c r="F677" t="s">
        <v>62</v>
      </c>
      <c r="G677" s="56">
        <v>1592000</v>
      </c>
    </row>
    <row r="678" spans="2:7" x14ac:dyDescent="0.15">
      <c r="B678">
        <v>2026</v>
      </c>
      <c r="C678">
        <v>2</v>
      </c>
      <c r="D678" t="s">
        <v>64</v>
      </c>
      <c r="E678" t="s">
        <v>96</v>
      </c>
      <c r="F678" t="s">
        <v>75</v>
      </c>
      <c r="G678" s="56">
        <v>1197000</v>
      </c>
    </row>
    <row r="679" spans="2:7" x14ac:dyDescent="0.15">
      <c r="B679">
        <v>2026</v>
      </c>
      <c r="C679">
        <v>2</v>
      </c>
      <c r="D679" t="s">
        <v>64</v>
      </c>
      <c r="E679" t="s">
        <v>96</v>
      </c>
      <c r="F679" t="s">
        <v>88</v>
      </c>
      <c r="G679" s="56">
        <v>1037000</v>
      </c>
    </row>
    <row r="680" spans="2:7" x14ac:dyDescent="0.15">
      <c r="B680">
        <v>2026</v>
      </c>
      <c r="C680">
        <v>2</v>
      </c>
      <c r="D680" t="s">
        <v>64</v>
      </c>
      <c r="E680" t="s">
        <v>96</v>
      </c>
      <c r="F680" t="s">
        <v>93</v>
      </c>
      <c r="G680" s="56">
        <v>640000</v>
      </c>
    </row>
    <row r="681" spans="2:7" x14ac:dyDescent="0.15">
      <c r="B681">
        <v>2026</v>
      </c>
      <c r="C681">
        <v>2</v>
      </c>
      <c r="D681" t="s">
        <v>77</v>
      </c>
      <c r="E681" t="s">
        <v>107</v>
      </c>
      <c r="F681" t="s">
        <v>55</v>
      </c>
      <c r="G681" s="56">
        <v>2121000</v>
      </c>
    </row>
    <row r="682" spans="2:7" x14ac:dyDescent="0.15">
      <c r="B682">
        <v>2026</v>
      </c>
      <c r="C682">
        <v>2</v>
      </c>
      <c r="D682" t="s">
        <v>77</v>
      </c>
      <c r="E682" t="s">
        <v>107</v>
      </c>
      <c r="F682" t="s">
        <v>62</v>
      </c>
      <c r="G682" s="56">
        <v>1367000</v>
      </c>
    </row>
    <row r="683" spans="2:7" x14ac:dyDescent="0.15">
      <c r="B683">
        <v>2026</v>
      </c>
      <c r="C683">
        <v>2</v>
      </c>
      <c r="D683" t="s">
        <v>77</v>
      </c>
      <c r="E683" t="s">
        <v>107</v>
      </c>
      <c r="F683" t="s">
        <v>75</v>
      </c>
      <c r="G683" s="56">
        <v>1041000</v>
      </c>
    </row>
    <row r="684" spans="2:7" x14ac:dyDescent="0.15">
      <c r="B684">
        <v>2026</v>
      </c>
      <c r="C684">
        <v>2</v>
      </c>
      <c r="D684" t="s">
        <v>77</v>
      </c>
      <c r="E684" t="s">
        <v>107</v>
      </c>
      <c r="F684" t="s">
        <v>88</v>
      </c>
      <c r="G684" s="56">
        <v>863000</v>
      </c>
    </row>
    <row r="685" spans="2:7" x14ac:dyDescent="0.15">
      <c r="B685">
        <v>2026</v>
      </c>
      <c r="C685">
        <v>2</v>
      </c>
      <c r="D685" t="s">
        <v>77</v>
      </c>
      <c r="E685" t="s">
        <v>107</v>
      </c>
      <c r="F685" t="s">
        <v>93</v>
      </c>
      <c r="G685" s="56">
        <v>545000</v>
      </c>
    </row>
    <row r="686" spans="2:7" x14ac:dyDescent="0.15">
      <c r="B686">
        <v>2026</v>
      </c>
      <c r="C686">
        <v>2</v>
      </c>
      <c r="D686" t="s">
        <v>77</v>
      </c>
      <c r="E686" t="s">
        <v>78</v>
      </c>
      <c r="F686" t="s">
        <v>55</v>
      </c>
      <c r="G686" s="56">
        <v>1399000</v>
      </c>
    </row>
    <row r="687" spans="2:7" x14ac:dyDescent="0.15">
      <c r="B687">
        <v>2026</v>
      </c>
      <c r="C687">
        <v>2</v>
      </c>
      <c r="D687" t="s">
        <v>77</v>
      </c>
      <c r="E687" t="s">
        <v>78</v>
      </c>
      <c r="F687" t="s">
        <v>62</v>
      </c>
      <c r="G687" s="56">
        <v>896000</v>
      </c>
    </row>
    <row r="688" spans="2:7" x14ac:dyDescent="0.15">
      <c r="B688">
        <v>2026</v>
      </c>
      <c r="C688">
        <v>2</v>
      </c>
      <c r="D688" t="s">
        <v>77</v>
      </c>
      <c r="E688" t="s">
        <v>78</v>
      </c>
      <c r="F688" t="s">
        <v>75</v>
      </c>
      <c r="G688" s="56">
        <v>681000</v>
      </c>
    </row>
    <row r="689" spans="2:7" x14ac:dyDescent="0.15">
      <c r="B689">
        <v>2026</v>
      </c>
      <c r="C689">
        <v>2</v>
      </c>
      <c r="D689" t="s">
        <v>77</v>
      </c>
      <c r="E689" t="s">
        <v>78</v>
      </c>
      <c r="F689" t="s">
        <v>88</v>
      </c>
      <c r="G689" s="56">
        <v>578000</v>
      </c>
    </row>
    <row r="690" spans="2:7" x14ac:dyDescent="0.15">
      <c r="B690">
        <v>2026</v>
      </c>
      <c r="C690">
        <v>2</v>
      </c>
      <c r="D690" t="s">
        <v>77</v>
      </c>
      <c r="E690" t="s">
        <v>78</v>
      </c>
      <c r="F690" t="s">
        <v>93</v>
      </c>
      <c r="G690" s="56">
        <v>364000</v>
      </c>
    </row>
    <row r="691" spans="2:7" x14ac:dyDescent="0.15">
      <c r="B691">
        <v>2026</v>
      </c>
      <c r="C691">
        <v>2</v>
      </c>
      <c r="D691" t="s">
        <v>57</v>
      </c>
      <c r="E691" t="s">
        <v>81</v>
      </c>
      <c r="F691" t="s">
        <v>55</v>
      </c>
      <c r="G691" s="56">
        <v>1792000</v>
      </c>
    </row>
    <row r="692" spans="2:7" x14ac:dyDescent="0.15">
      <c r="B692">
        <v>2026</v>
      </c>
      <c r="C692">
        <v>2</v>
      </c>
      <c r="D692" t="s">
        <v>57</v>
      </c>
      <c r="E692" t="s">
        <v>81</v>
      </c>
      <c r="F692" t="s">
        <v>62</v>
      </c>
      <c r="G692" s="56">
        <v>1123000</v>
      </c>
    </row>
    <row r="693" spans="2:7" x14ac:dyDescent="0.15">
      <c r="B693">
        <v>2026</v>
      </c>
      <c r="C693">
        <v>2</v>
      </c>
      <c r="D693" t="s">
        <v>57</v>
      </c>
      <c r="E693" t="s">
        <v>81</v>
      </c>
      <c r="F693" t="s">
        <v>75</v>
      </c>
      <c r="G693" s="56">
        <v>877000</v>
      </c>
    </row>
    <row r="694" spans="2:7" x14ac:dyDescent="0.15">
      <c r="B694">
        <v>2026</v>
      </c>
      <c r="C694">
        <v>2</v>
      </c>
      <c r="D694" t="s">
        <v>57</v>
      </c>
      <c r="E694" t="s">
        <v>81</v>
      </c>
      <c r="F694" t="s">
        <v>88</v>
      </c>
      <c r="G694" s="56">
        <v>726000</v>
      </c>
    </row>
    <row r="695" spans="2:7" x14ac:dyDescent="0.15">
      <c r="B695">
        <v>2026</v>
      </c>
      <c r="C695">
        <v>2</v>
      </c>
      <c r="D695" t="s">
        <v>57</v>
      </c>
      <c r="E695" t="s">
        <v>81</v>
      </c>
      <c r="F695" t="s">
        <v>93</v>
      </c>
      <c r="G695" s="56">
        <v>470000</v>
      </c>
    </row>
    <row r="696" spans="2:7" x14ac:dyDescent="0.15">
      <c r="B696">
        <v>2026</v>
      </c>
      <c r="C696">
        <v>2</v>
      </c>
      <c r="D696" t="s">
        <v>57</v>
      </c>
      <c r="E696" t="s">
        <v>58</v>
      </c>
      <c r="F696" t="s">
        <v>55</v>
      </c>
      <c r="G696" s="56">
        <v>1083000</v>
      </c>
    </row>
    <row r="697" spans="2:7" x14ac:dyDescent="0.15">
      <c r="B697">
        <v>2026</v>
      </c>
      <c r="C697">
        <v>2</v>
      </c>
      <c r="D697" t="s">
        <v>57</v>
      </c>
      <c r="E697" t="s">
        <v>58</v>
      </c>
      <c r="F697" t="s">
        <v>62</v>
      </c>
      <c r="G697" s="56">
        <v>701000</v>
      </c>
    </row>
    <row r="698" spans="2:7" x14ac:dyDescent="0.15">
      <c r="B698">
        <v>2026</v>
      </c>
      <c r="C698">
        <v>2</v>
      </c>
      <c r="D698" t="s">
        <v>57</v>
      </c>
      <c r="E698" t="s">
        <v>58</v>
      </c>
      <c r="F698" t="s">
        <v>75</v>
      </c>
      <c r="G698" s="56">
        <v>534000</v>
      </c>
    </row>
    <row r="699" spans="2:7" x14ac:dyDescent="0.15">
      <c r="B699">
        <v>2026</v>
      </c>
      <c r="C699">
        <v>2</v>
      </c>
      <c r="D699" t="s">
        <v>57</v>
      </c>
      <c r="E699" t="s">
        <v>58</v>
      </c>
      <c r="F699" t="s">
        <v>88</v>
      </c>
      <c r="G699" s="56">
        <v>456000</v>
      </c>
    </row>
    <row r="700" spans="2:7" x14ac:dyDescent="0.15">
      <c r="B700">
        <v>2026</v>
      </c>
      <c r="C700">
        <v>2</v>
      </c>
      <c r="D700" t="s">
        <v>57</v>
      </c>
      <c r="E700" t="s">
        <v>58</v>
      </c>
      <c r="F700" t="s">
        <v>93</v>
      </c>
      <c r="G700" s="56">
        <v>288000</v>
      </c>
    </row>
    <row r="701" spans="2:7" x14ac:dyDescent="0.15">
      <c r="B701">
        <v>2026</v>
      </c>
      <c r="C701">
        <v>2</v>
      </c>
      <c r="D701" t="s">
        <v>125</v>
      </c>
      <c r="E701" t="s">
        <v>138</v>
      </c>
      <c r="F701" t="s">
        <v>55</v>
      </c>
      <c r="G701" s="56">
        <v>1340000</v>
      </c>
    </row>
    <row r="702" spans="2:7" x14ac:dyDescent="0.15">
      <c r="B702">
        <v>2026</v>
      </c>
      <c r="C702">
        <v>2</v>
      </c>
      <c r="D702" t="s">
        <v>125</v>
      </c>
      <c r="E702" t="s">
        <v>138</v>
      </c>
      <c r="F702" t="s">
        <v>62</v>
      </c>
      <c r="G702" s="56">
        <v>834000</v>
      </c>
    </row>
    <row r="703" spans="2:7" x14ac:dyDescent="0.15">
      <c r="B703">
        <v>2026</v>
      </c>
      <c r="C703">
        <v>2</v>
      </c>
      <c r="D703" t="s">
        <v>125</v>
      </c>
      <c r="E703" t="s">
        <v>138</v>
      </c>
      <c r="F703" t="s">
        <v>75</v>
      </c>
      <c r="G703" s="56">
        <v>633000</v>
      </c>
    </row>
    <row r="704" spans="2:7" x14ac:dyDescent="0.15">
      <c r="B704">
        <v>2026</v>
      </c>
      <c r="C704">
        <v>2</v>
      </c>
      <c r="D704" t="s">
        <v>125</v>
      </c>
      <c r="E704" t="s">
        <v>138</v>
      </c>
      <c r="F704" t="s">
        <v>88</v>
      </c>
      <c r="G704" s="56">
        <v>536000</v>
      </c>
    </row>
    <row r="705" spans="2:7" x14ac:dyDescent="0.15">
      <c r="B705">
        <v>2026</v>
      </c>
      <c r="C705">
        <v>2</v>
      </c>
      <c r="D705" t="s">
        <v>125</v>
      </c>
      <c r="E705" t="s">
        <v>138</v>
      </c>
      <c r="F705" t="s">
        <v>93</v>
      </c>
      <c r="G705" s="56">
        <v>344000</v>
      </c>
    </row>
    <row r="706" spans="2:7" x14ac:dyDescent="0.15">
      <c r="B706">
        <v>2026</v>
      </c>
      <c r="C706">
        <v>2</v>
      </c>
      <c r="D706" t="s">
        <v>125</v>
      </c>
      <c r="E706" t="s">
        <v>126</v>
      </c>
      <c r="F706" t="s">
        <v>55</v>
      </c>
      <c r="G706" s="56">
        <v>698000</v>
      </c>
    </row>
    <row r="707" spans="2:7" x14ac:dyDescent="0.15">
      <c r="B707">
        <v>2026</v>
      </c>
      <c r="C707">
        <v>2</v>
      </c>
      <c r="D707" t="s">
        <v>125</v>
      </c>
      <c r="E707" t="s">
        <v>126</v>
      </c>
      <c r="F707" t="s">
        <v>62</v>
      </c>
      <c r="G707" s="56">
        <v>453000</v>
      </c>
    </row>
    <row r="708" spans="2:7" x14ac:dyDescent="0.15">
      <c r="B708">
        <v>2026</v>
      </c>
      <c r="C708">
        <v>2</v>
      </c>
      <c r="D708" t="s">
        <v>125</v>
      </c>
      <c r="E708" t="s">
        <v>126</v>
      </c>
      <c r="F708" t="s">
        <v>75</v>
      </c>
      <c r="G708" s="56">
        <v>350000</v>
      </c>
    </row>
    <row r="709" spans="2:7" x14ac:dyDescent="0.15">
      <c r="B709">
        <v>2026</v>
      </c>
      <c r="C709">
        <v>2</v>
      </c>
      <c r="D709" t="s">
        <v>125</v>
      </c>
      <c r="E709" t="s">
        <v>126</v>
      </c>
      <c r="F709" t="s">
        <v>88</v>
      </c>
      <c r="G709" s="56">
        <v>287000</v>
      </c>
    </row>
    <row r="710" spans="2:7" x14ac:dyDescent="0.15">
      <c r="B710">
        <v>2026</v>
      </c>
      <c r="C710">
        <v>2</v>
      </c>
      <c r="D710" t="s">
        <v>125</v>
      </c>
      <c r="E710" t="s">
        <v>126</v>
      </c>
      <c r="F710" t="s">
        <v>93</v>
      </c>
      <c r="G710" s="56">
        <v>181000</v>
      </c>
    </row>
    <row r="711" spans="2:7" x14ac:dyDescent="0.15">
      <c r="B711">
        <v>2026</v>
      </c>
      <c r="C711">
        <v>2</v>
      </c>
      <c r="D711" t="s">
        <v>70</v>
      </c>
      <c r="E711" t="s">
        <v>84</v>
      </c>
      <c r="F711" t="s">
        <v>55</v>
      </c>
      <c r="G711" s="56">
        <v>1150000</v>
      </c>
    </row>
    <row r="712" spans="2:7" x14ac:dyDescent="0.15">
      <c r="B712">
        <v>2026</v>
      </c>
      <c r="C712">
        <v>2</v>
      </c>
      <c r="D712" t="s">
        <v>70</v>
      </c>
      <c r="E712" t="s">
        <v>84</v>
      </c>
      <c r="F712" t="s">
        <v>62</v>
      </c>
      <c r="G712" s="56">
        <v>706000</v>
      </c>
    </row>
    <row r="713" spans="2:7" x14ac:dyDescent="0.15">
      <c r="B713">
        <v>2026</v>
      </c>
      <c r="C713">
        <v>2</v>
      </c>
      <c r="D713" t="s">
        <v>70</v>
      </c>
      <c r="E713" t="s">
        <v>84</v>
      </c>
      <c r="F713" t="s">
        <v>75</v>
      </c>
      <c r="G713" s="56">
        <v>541000</v>
      </c>
    </row>
    <row r="714" spans="2:7" x14ac:dyDescent="0.15">
      <c r="B714">
        <v>2026</v>
      </c>
      <c r="C714">
        <v>2</v>
      </c>
      <c r="D714" t="s">
        <v>70</v>
      </c>
      <c r="E714" t="s">
        <v>84</v>
      </c>
      <c r="F714" t="s">
        <v>88</v>
      </c>
      <c r="G714" s="56">
        <v>453000</v>
      </c>
    </row>
    <row r="715" spans="2:7" x14ac:dyDescent="0.15">
      <c r="B715">
        <v>2026</v>
      </c>
      <c r="C715">
        <v>2</v>
      </c>
      <c r="D715" t="s">
        <v>70</v>
      </c>
      <c r="E715" t="s">
        <v>84</v>
      </c>
      <c r="F715" t="s">
        <v>93</v>
      </c>
      <c r="G715" s="56">
        <v>287000</v>
      </c>
    </row>
    <row r="716" spans="2:7" x14ac:dyDescent="0.15">
      <c r="B716">
        <v>2026</v>
      </c>
      <c r="C716">
        <v>2</v>
      </c>
      <c r="D716" t="s">
        <v>70</v>
      </c>
      <c r="E716" t="s">
        <v>71</v>
      </c>
      <c r="F716" t="s">
        <v>55</v>
      </c>
      <c r="G716" s="56">
        <v>833000</v>
      </c>
    </row>
    <row r="717" spans="2:7" x14ac:dyDescent="0.15">
      <c r="B717">
        <v>2026</v>
      </c>
      <c r="C717">
        <v>2</v>
      </c>
      <c r="D717" t="s">
        <v>70</v>
      </c>
      <c r="E717" t="s">
        <v>71</v>
      </c>
      <c r="F717" t="s">
        <v>62</v>
      </c>
      <c r="G717" s="56">
        <v>521000</v>
      </c>
    </row>
    <row r="718" spans="2:7" x14ac:dyDescent="0.15">
      <c r="B718">
        <v>2026</v>
      </c>
      <c r="C718">
        <v>2</v>
      </c>
      <c r="D718" t="s">
        <v>70</v>
      </c>
      <c r="E718" t="s">
        <v>71</v>
      </c>
      <c r="F718" t="s">
        <v>75</v>
      </c>
      <c r="G718" s="56">
        <v>399000</v>
      </c>
    </row>
    <row r="719" spans="2:7" x14ac:dyDescent="0.15">
      <c r="B719">
        <v>2026</v>
      </c>
      <c r="C719">
        <v>2</v>
      </c>
      <c r="D719" t="s">
        <v>70</v>
      </c>
      <c r="E719" t="s">
        <v>71</v>
      </c>
      <c r="F719" t="s">
        <v>88</v>
      </c>
      <c r="G719" s="56">
        <v>338000</v>
      </c>
    </row>
    <row r="720" spans="2:7" x14ac:dyDescent="0.15">
      <c r="B720">
        <v>2026</v>
      </c>
      <c r="C720">
        <v>2</v>
      </c>
      <c r="D720" t="s">
        <v>70</v>
      </c>
      <c r="E720" t="s">
        <v>71</v>
      </c>
      <c r="F720" t="s">
        <v>93</v>
      </c>
      <c r="G720" s="56">
        <v>213000</v>
      </c>
    </row>
    <row r="721" spans="2:7" x14ac:dyDescent="0.15">
      <c r="B721">
        <v>2026</v>
      </c>
      <c r="C721">
        <v>3</v>
      </c>
      <c r="D721" t="s">
        <v>64</v>
      </c>
      <c r="E721" t="s">
        <v>65</v>
      </c>
      <c r="F721" t="s">
        <v>55</v>
      </c>
      <c r="G721" s="56">
        <v>3766000</v>
      </c>
    </row>
    <row r="722" spans="2:7" x14ac:dyDescent="0.15">
      <c r="B722">
        <v>2026</v>
      </c>
      <c r="C722">
        <v>3</v>
      </c>
      <c r="D722" t="s">
        <v>64</v>
      </c>
      <c r="E722" t="s">
        <v>65</v>
      </c>
      <c r="F722" t="s">
        <v>62</v>
      </c>
      <c r="G722" s="56">
        <v>2271000</v>
      </c>
    </row>
    <row r="723" spans="2:7" x14ac:dyDescent="0.15">
      <c r="B723">
        <v>2026</v>
      </c>
      <c r="C723">
        <v>3</v>
      </c>
      <c r="D723" t="s">
        <v>64</v>
      </c>
      <c r="E723" t="s">
        <v>65</v>
      </c>
      <c r="F723" t="s">
        <v>75</v>
      </c>
      <c r="G723" s="56">
        <v>1771000</v>
      </c>
    </row>
    <row r="724" spans="2:7" x14ac:dyDescent="0.15">
      <c r="B724">
        <v>2026</v>
      </c>
      <c r="C724">
        <v>3</v>
      </c>
      <c r="D724" t="s">
        <v>64</v>
      </c>
      <c r="E724" t="s">
        <v>65</v>
      </c>
      <c r="F724" t="s">
        <v>88</v>
      </c>
      <c r="G724" s="56">
        <v>1463000</v>
      </c>
    </row>
    <row r="725" spans="2:7" x14ac:dyDescent="0.15">
      <c r="B725">
        <v>2026</v>
      </c>
      <c r="C725">
        <v>3</v>
      </c>
      <c r="D725" t="s">
        <v>64</v>
      </c>
      <c r="E725" t="s">
        <v>65</v>
      </c>
      <c r="F725" t="s">
        <v>93</v>
      </c>
      <c r="G725" s="56">
        <v>941000</v>
      </c>
    </row>
    <row r="726" spans="2:7" x14ac:dyDescent="0.15">
      <c r="B726">
        <v>2026</v>
      </c>
      <c r="C726">
        <v>3</v>
      </c>
      <c r="D726" t="s">
        <v>64</v>
      </c>
      <c r="E726" t="s">
        <v>96</v>
      </c>
      <c r="F726" t="s">
        <v>55</v>
      </c>
      <c r="G726" s="56">
        <v>3070000</v>
      </c>
    </row>
    <row r="727" spans="2:7" x14ac:dyDescent="0.15">
      <c r="B727">
        <v>2026</v>
      </c>
      <c r="C727">
        <v>3</v>
      </c>
      <c r="D727" t="s">
        <v>64</v>
      </c>
      <c r="E727" t="s">
        <v>96</v>
      </c>
      <c r="F727" t="s">
        <v>62</v>
      </c>
      <c r="G727" s="56">
        <v>1878000</v>
      </c>
    </row>
    <row r="728" spans="2:7" x14ac:dyDescent="0.15">
      <c r="B728">
        <v>2026</v>
      </c>
      <c r="C728">
        <v>3</v>
      </c>
      <c r="D728" t="s">
        <v>64</v>
      </c>
      <c r="E728" t="s">
        <v>96</v>
      </c>
      <c r="F728" t="s">
        <v>75</v>
      </c>
      <c r="G728" s="56">
        <v>1428000</v>
      </c>
    </row>
    <row r="729" spans="2:7" x14ac:dyDescent="0.15">
      <c r="B729">
        <v>2026</v>
      </c>
      <c r="C729">
        <v>3</v>
      </c>
      <c r="D729" t="s">
        <v>64</v>
      </c>
      <c r="E729" t="s">
        <v>96</v>
      </c>
      <c r="F729" t="s">
        <v>88</v>
      </c>
      <c r="G729" s="56">
        <v>1196000</v>
      </c>
    </row>
    <row r="730" spans="2:7" x14ac:dyDescent="0.15">
      <c r="B730">
        <v>2026</v>
      </c>
      <c r="C730">
        <v>3</v>
      </c>
      <c r="D730" t="s">
        <v>64</v>
      </c>
      <c r="E730" t="s">
        <v>96</v>
      </c>
      <c r="F730" t="s">
        <v>93</v>
      </c>
      <c r="G730" s="56">
        <v>767000</v>
      </c>
    </row>
    <row r="731" spans="2:7" x14ac:dyDescent="0.15">
      <c r="B731">
        <v>2026</v>
      </c>
      <c r="C731">
        <v>3</v>
      </c>
      <c r="D731" t="s">
        <v>77</v>
      </c>
      <c r="E731" t="s">
        <v>107</v>
      </c>
      <c r="F731" t="s">
        <v>55</v>
      </c>
      <c r="G731" s="56">
        <v>2594000</v>
      </c>
    </row>
    <row r="732" spans="2:7" x14ac:dyDescent="0.15">
      <c r="B732">
        <v>2026</v>
      </c>
      <c r="C732">
        <v>3</v>
      </c>
      <c r="D732" t="s">
        <v>77</v>
      </c>
      <c r="E732" t="s">
        <v>107</v>
      </c>
      <c r="F732" t="s">
        <v>62</v>
      </c>
      <c r="G732" s="56">
        <v>1587000</v>
      </c>
    </row>
    <row r="733" spans="2:7" x14ac:dyDescent="0.15">
      <c r="B733">
        <v>2026</v>
      </c>
      <c r="C733">
        <v>3</v>
      </c>
      <c r="D733" t="s">
        <v>77</v>
      </c>
      <c r="E733" t="s">
        <v>107</v>
      </c>
      <c r="F733" t="s">
        <v>75</v>
      </c>
      <c r="G733" s="56">
        <v>1198000</v>
      </c>
    </row>
    <row r="734" spans="2:7" x14ac:dyDescent="0.15">
      <c r="B734">
        <v>2026</v>
      </c>
      <c r="C734">
        <v>3</v>
      </c>
      <c r="D734" t="s">
        <v>77</v>
      </c>
      <c r="E734" t="s">
        <v>107</v>
      </c>
      <c r="F734" t="s">
        <v>88</v>
      </c>
      <c r="G734" s="56">
        <v>1044000</v>
      </c>
    </row>
    <row r="735" spans="2:7" x14ac:dyDescent="0.15">
      <c r="B735">
        <v>2026</v>
      </c>
      <c r="C735">
        <v>3</v>
      </c>
      <c r="D735" t="s">
        <v>77</v>
      </c>
      <c r="E735" t="s">
        <v>107</v>
      </c>
      <c r="F735" t="s">
        <v>93</v>
      </c>
      <c r="G735" s="56">
        <v>666000</v>
      </c>
    </row>
    <row r="736" spans="2:7" x14ac:dyDescent="0.15">
      <c r="B736">
        <v>2026</v>
      </c>
      <c r="C736">
        <v>3</v>
      </c>
      <c r="D736" t="s">
        <v>77</v>
      </c>
      <c r="E736" t="s">
        <v>78</v>
      </c>
      <c r="F736" t="s">
        <v>55</v>
      </c>
      <c r="G736" s="56">
        <v>1698000</v>
      </c>
    </row>
    <row r="737" spans="2:7" x14ac:dyDescent="0.15">
      <c r="B737">
        <v>2026</v>
      </c>
      <c r="C737">
        <v>3</v>
      </c>
      <c r="D737" t="s">
        <v>77</v>
      </c>
      <c r="E737" t="s">
        <v>78</v>
      </c>
      <c r="F737" t="s">
        <v>62</v>
      </c>
      <c r="G737" s="56">
        <v>1072000</v>
      </c>
    </row>
    <row r="738" spans="2:7" x14ac:dyDescent="0.15">
      <c r="B738">
        <v>2026</v>
      </c>
      <c r="C738">
        <v>3</v>
      </c>
      <c r="D738" t="s">
        <v>77</v>
      </c>
      <c r="E738" t="s">
        <v>78</v>
      </c>
      <c r="F738" t="s">
        <v>75</v>
      </c>
      <c r="G738" s="56">
        <v>796000</v>
      </c>
    </row>
    <row r="739" spans="2:7" x14ac:dyDescent="0.15">
      <c r="B739">
        <v>2026</v>
      </c>
      <c r="C739">
        <v>3</v>
      </c>
      <c r="D739" t="s">
        <v>77</v>
      </c>
      <c r="E739" t="s">
        <v>78</v>
      </c>
      <c r="F739" t="s">
        <v>88</v>
      </c>
      <c r="G739" s="56">
        <v>688000</v>
      </c>
    </row>
    <row r="740" spans="2:7" x14ac:dyDescent="0.15">
      <c r="B740">
        <v>2026</v>
      </c>
      <c r="C740">
        <v>3</v>
      </c>
      <c r="D740" t="s">
        <v>77</v>
      </c>
      <c r="E740" t="s">
        <v>78</v>
      </c>
      <c r="F740" t="s">
        <v>93</v>
      </c>
      <c r="G740" s="56">
        <v>443000</v>
      </c>
    </row>
    <row r="741" spans="2:7" x14ac:dyDescent="0.15">
      <c r="B741">
        <v>2026</v>
      </c>
      <c r="C741">
        <v>3</v>
      </c>
      <c r="D741" t="s">
        <v>57</v>
      </c>
      <c r="E741" t="s">
        <v>81</v>
      </c>
      <c r="F741" t="s">
        <v>55</v>
      </c>
      <c r="G741" s="56">
        <v>2176000</v>
      </c>
    </row>
    <row r="742" spans="2:7" x14ac:dyDescent="0.15">
      <c r="B742">
        <v>2026</v>
      </c>
      <c r="C742">
        <v>3</v>
      </c>
      <c r="D742" t="s">
        <v>57</v>
      </c>
      <c r="E742" t="s">
        <v>81</v>
      </c>
      <c r="F742" t="s">
        <v>62</v>
      </c>
      <c r="G742" s="56">
        <v>1386000</v>
      </c>
    </row>
    <row r="743" spans="2:7" x14ac:dyDescent="0.15">
      <c r="B743">
        <v>2026</v>
      </c>
      <c r="C743">
        <v>3</v>
      </c>
      <c r="D743" t="s">
        <v>57</v>
      </c>
      <c r="E743" t="s">
        <v>81</v>
      </c>
      <c r="F743" t="s">
        <v>75</v>
      </c>
      <c r="G743" s="56">
        <v>1033000</v>
      </c>
    </row>
    <row r="744" spans="2:7" x14ac:dyDescent="0.15">
      <c r="B744">
        <v>2026</v>
      </c>
      <c r="C744">
        <v>3</v>
      </c>
      <c r="D744" t="s">
        <v>57</v>
      </c>
      <c r="E744" t="s">
        <v>81</v>
      </c>
      <c r="F744" t="s">
        <v>88</v>
      </c>
      <c r="G744" s="56">
        <v>875000</v>
      </c>
    </row>
    <row r="745" spans="2:7" x14ac:dyDescent="0.15">
      <c r="B745">
        <v>2026</v>
      </c>
      <c r="C745">
        <v>3</v>
      </c>
      <c r="D745" t="s">
        <v>57</v>
      </c>
      <c r="E745" t="s">
        <v>81</v>
      </c>
      <c r="F745" t="s">
        <v>93</v>
      </c>
      <c r="G745" s="56">
        <v>564000</v>
      </c>
    </row>
    <row r="746" spans="2:7" x14ac:dyDescent="0.15">
      <c r="B746">
        <v>2026</v>
      </c>
      <c r="C746">
        <v>3</v>
      </c>
      <c r="D746" t="s">
        <v>57</v>
      </c>
      <c r="E746" t="s">
        <v>58</v>
      </c>
      <c r="F746" t="s">
        <v>55</v>
      </c>
      <c r="G746" s="56">
        <v>1351000</v>
      </c>
    </row>
    <row r="747" spans="2:7" x14ac:dyDescent="0.15">
      <c r="B747">
        <v>2026</v>
      </c>
      <c r="C747">
        <v>3</v>
      </c>
      <c r="D747" t="s">
        <v>57</v>
      </c>
      <c r="E747" t="s">
        <v>58</v>
      </c>
      <c r="F747" t="s">
        <v>62</v>
      </c>
      <c r="G747" s="56">
        <v>840000</v>
      </c>
    </row>
    <row r="748" spans="2:7" x14ac:dyDescent="0.15">
      <c r="B748">
        <v>2026</v>
      </c>
      <c r="C748">
        <v>3</v>
      </c>
      <c r="D748" t="s">
        <v>57</v>
      </c>
      <c r="E748" t="s">
        <v>58</v>
      </c>
      <c r="F748" t="s">
        <v>75</v>
      </c>
      <c r="G748" s="56">
        <v>637000</v>
      </c>
    </row>
    <row r="749" spans="2:7" x14ac:dyDescent="0.15">
      <c r="B749">
        <v>2026</v>
      </c>
      <c r="C749">
        <v>3</v>
      </c>
      <c r="D749" t="s">
        <v>57</v>
      </c>
      <c r="E749" t="s">
        <v>58</v>
      </c>
      <c r="F749" t="s">
        <v>88</v>
      </c>
      <c r="G749" s="56">
        <v>541000</v>
      </c>
    </row>
    <row r="750" spans="2:7" x14ac:dyDescent="0.15">
      <c r="B750">
        <v>2026</v>
      </c>
      <c r="C750">
        <v>3</v>
      </c>
      <c r="D750" t="s">
        <v>57</v>
      </c>
      <c r="E750" t="s">
        <v>58</v>
      </c>
      <c r="F750" t="s">
        <v>93</v>
      </c>
      <c r="G750" s="56">
        <v>348000</v>
      </c>
    </row>
    <row r="751" spans="2:7" x14ac:dyDescent="0.15">
      <c r="B751">
        <v>2026</v>
      </c>
      <c r="C751">
        <v>3</v>
      </c>
      <c r="D751" t="s">
        <v>125</v>
      </c>
      <c r="E751" t="s">
        <v>138</v>
      </c>
      <c r="F751" t="s">
        <v>55</v>
      </c>
      <c r="G751" s="56">
        <v>1619000</v>
      </c>
    </row>
    <row r="752" spans="2:7" x14ac:dyDescent="0.15">
      <c r="B752">
        <v>2026</v>
      </c>
      <c r="C752">
        <v>3</v>
      </c>
      <c r="D752" t="s">
        <v>125</v>
      </c>
      <c r="E752" t="s">
        <v>138</v>
      </c>
      <c r="F752" t="s">
        <v>62</v>
      </c>
      <c r="G752" s="56">
        <v>1007000</v>
      </c>
    </row>
    <row r="753" spans="2:7" x14ac:dyDescent="0.15">
      <c r="B753">
        <v>2026</v>
      </c>
      <c r="C753">
        <v>3</v>
      </c>
      <c r="D753" t="s">
        <v>125</v>
      </c>
      <c r="E753" t="s">
        <v>138</v>
      </c>
      <c r="F753" t="s">
        <v>75</v>
      </c>
      <c r="G753" s="56">
        <v>764000</v>
      </c>
    </row>
    <row r="754" spans="2:7" x14ac:dyDescent="0.15">
      <c r="B754">
        <v>2026</v>
      </c>
      <c r="C754">
        <v>3</v>
      </c>
      <c r="D754" t="s">
        <v>125</v>
      </c>
      <c r="E754" t="s">
        <v>138</v>
      </c>
      <c r="F754" t="s">
        <v>88</v>
      </c>
      <c r="G754" s="56">
        <v>639000</v>
      </c>
    </row>
    <row r="755" spans="2:7" x14ac:dyDescent="0.15">
      <c r="B755">
        <v>2026</v>
      </c>
      <c r="C755">
        <v>3</v>
      </c>
      <c r="D755" t="s">
        <v>125</v>
      </c>
      <c r="E755" t="s">
        <v>138</v>
      </c>
      <c r="F755" t="s">
        <v>93</v>
      </c>
      <c r="G755" s="56">
        <v>416000</v>
      </c>
    </row>
    <row r="756" spans="2:7" x14ac:dyDescent="0.15">
      <c r="B756">
        <v>2026</v>
      </c>
      <c r="C756">
        <v>3</v>
      </c>
      <c r="D756" t="s">
        <v>125</v>
      </c>
      <c r="E756" t="s">
        <v>126</v>
      </c>
      <c r="F756" t="s">
        <v>55</v>
      </c>
      <c r="G756" s="56">
        <v>869000</v>
      </c>
    </row>
    <row r="757" spans="2:7" x14ac:dyDescent="0.15">
      <c r="B757">
        <v>2026</v>
      </c>
      <c r="C757">
        <v>3</v>
      </c>
      <c r="D757" t="s">
        <v>125</v>
      </c>
      <c r="E757" t="s">
        <v>126</v>
      </c>
      <c r="F757" t="s">
        <v>62</v>
      </c>
      <c r="G757" s="56">
        <v>527000</v>
      </c>
    </row>
    <row r="758" spans="2:7" x14ac:dyDescent="0.15">
      <c r="B758">
        <v>2026</v>
      </c>
      <c r="C758">
        <v>3</v>
      </c>
      <c r="D758" t="s">
        <v>125</v>
      </c>
      <c r="E758" t="s">
        <v>126</v>
      </c>
      <c r="F758" t="s">
        <v>75</v>
      </c>
      <c r="G758" s="56">
        <v>410000</v>
      </c>
    </row>
    <row r="759" spans="2:7" x14ac:dyDescent="0.15">
      <c r="B759">
        <v>2026</v>
      </c>
      <c r="C759">
        <v>3</v>
      </c>
      <c r="D759" t="s">
        <v>125</v>
      </c>
      <c r="E759" t="s">
        <v>126</v>
      </c>
      <c r="F759" t="s">
        <v>88</v>
      </c>
      <c r="G759" s="56">
        <v>342000</v>
      </c>
    </row>
    <row r="760" spans="2:7" x14ac:dyDescent="0.15">
      <c r="B760">
        <v>2026</v>
      </c>
      <c r="C760">
        <v>3</v>
      </c>
      <c r="D760" t="s">
        <v>125</v>
      </c>
      <c r="E760" t="s">
        <v>126</v>
      </c>
      <c r="F760" t="s">
        <v>93</v>
      </c>
      <c r="G760" s="56">
        <v>219000</v>
      </c>
    </row>
    <row r="761" spans="2:7" x14ac:dyDescent="0.15">
      <c r="B761">
        <v>2026</v>
      </c>
      <c r="C761">
        <v>3</v>
      </c>
      <c r="D761" t="s">
        <v>70</v>
      </c>
      <c r="E761" t="s">
        <v>84</v>
      </c>
      <c r="F761" t="s">
        <v>55</v>
      </c>
      <c r="G761" s="56">
        <v>1376000</v>
      </c>
    </row>
    <row r="762" spans="2:7" x14ac:dyDescent="0.15">
      <c r="B762">
        <v>2026</v>
      </c>
      <c r="C762">
        <v>3</v>
      </c>
      <c r="D762" t="s">
        <v>70</v>
      </c>
      <c r="E762" t="s">
        <v>84</v>
      </c>
      <c r="F762" t="s">
        <v>62</v>
      </c>
      <c r="G762" s="56">
        <v>860000</v>
      </c>
    </row>
    <row r="763" spans="2:7" x14ac:dyDescent="0.15">
      <c r="B763">
        <v>2026</v>
      </c>
      <c r="C763">
        <v>3</v>
      </c>
      <c r="D763" t="s">
        <v>70</v>
      </c>
      <c r="E763" t="s">
        <v>84</v>
      </c>
      <c r="F763" t="s">
        <v>75</v>
      </c>
      <c r="G763" s="56">
        <v>631000</v>
      </c>
    </row>
    <row r="764" spans="2:7" x14ac:dyDescent="0.15">
      <c r="B764">
        <v>2026</v>
      </c>
      <c r="C764">
        <v>3</v>
      </c>
      <c r="D764" t="s">
        <v>70</v>
      </c>
      <c r="E764" t="s">
        <v>84</v>
      </c>
      <c r="F764" t="s">
        <v>88</v>
      </c>
      <c r="G764" s="56">
        <v>537000</v>
      </c>
    </row>
    <row r="765" spans="2:7" x14ac:dyDescent="0.15">
      <c r="B765">
        <v>2026</v>
      </c>
      <c r="C765">
        <v>3</v>
      </c>
      <c r="D765" t="s">
        <v>70</v>
      </c>
      <c r="E765" t="s">
        <v>84</v>
      </c>
      <c r="F765" t="s">
        <v>93</v>
      </c>
      <c r="G765" s="56">
        <v>346000</v>
      </c>
    </row>
    <row r="766" spans="2:7" x14ac:dyDescent="0.15">
      <c r="B766">
        <v>2026</v>
      </c>
      <c r="C766">
        <v>3</v>
      </c>
      <c r="D766" t="s">
        <v>70</v>
      </c>
      <c r="E766" t="s">
        <v>71</v>
      </c>
      <c r="F766" t="s">
        <v>55</v>
      </c>
      <c r="G766" s="56">
        <v>992000</v>
      </c>
    </row>
    <row r="767" spans="2:7" x14ac:dyDescent="0.15">
      <c r="B767">
        <v>2026</v>
      </c>
      <c r="C767">
        <v>3</v>
      </c>
      <c r="D767" t="s">
        <v>70</v>
      </c>
      <c r="E767" t="s">
        <v>71</v>
      </c>
      <c r="F767" t="s">
        <v>62</v>
      </c>
      <c r="G767" s="56">
        <v>604000</v>
      </c>
    </row>
    <row r="768" spans="2:7" x14ac:dyDescent="0.15">
      <c r="B768">
        <v>2026</v>
      </c>
      <c r="C768">
        <v>3</v>
      </c>
      <c r="D768" t="s">
        <v>70</v>
      </c>
      <c r="E768" t="s">
        <v>71</v>
      </c>
      <c r="F768" t="s">
        <v>75</v>
      </c>
      <c r="G768" s="56">
        <v>461000</v>
      </c>
    </row>
    <row r="769" spans="2:7" x14ac:dyDescent="0.15">
      <c r="B769">
        <v>2026</v>
      </c>
      <c r="C769">
        <v>3</v>
      </c>
      <c r="D769" t="s">
        <v>70</v>
      </c>
      <c r="E769" t="s">
        <v>71</v>
      </c>
      <c r="F769" t="s">
        <v>88</v>
      </c>
      <c r="G769" s="56">
        <v>389000</v>
      </c>
    </row>
    <row r="770" spans="2:7" x14ac:dyDescent="0.15">
      <c r="B770">
        <v>2026</v>
      </c>
      <c r="C770">
        <v>3</v>
      </c>
      <c r="D770" t="s">
        <v>70</v>
      </c>
      <c r="E770" t="s">
        <v>71</v>
      </c>
      <c r="F770" t="s">
        <v>93</v>
      </c>
      <c r="G770" s="56">
        <v>252000</v>
      </c>
    </row>
    <row r="771" spans="2:7" x14ac:dyDescent="0.15">
      <c r="B771">
        <v>2026</v>
      </c>
      <c r="C771">
        <v>4</v>
      </c>
      <c r="D771" t="s">
        <v>64</v>
      </c>
      <c r="E771" t="s">
        <v>65</v>
      </c>
      <c r="F771" t="s">
        <v>55</v>
      </c>
      <c r="G771" s="56">
        <v>3627000</v>
      </c>
    </row>
    <row r="772" spans="2:7" x14ac:dyDescent="0.15">
      <c r="B772">
        <v>2026</v>
      </c>
      <c r="C772">
        <v>4</v>
      </c>
      <c r="D772" t="s">
        <v>64</v>
      </c>
      <c r="E772" t="s">
        <v>65</v>
      </c>
      <c r="F772" t="s">
        <v>62</v>
      </c>
      <c r="G772" s="56">
        <v>2247000</v>
      </c>
    </row>
    <row r="773" spans="2:7" x14ac:dyDescent="0.15">
      <c r="B773">
        <v>2026</v>
      </c>
      <c r="C773">
        <v>4</v>
      </c>
      <c r="D773" t="s">
        <v>64</v>
      </c>
      <c r="E773" t="s">
        <v>65</v>
      </c>
      <c r="F773" t="s">
        <v>75</v>
      </c>
      <c r="G773" s="56">
        <v>1653000</v>
      </c>
    </row>
    <row r="774" spans="2:7" x14ac:dyDescent="0.15">
      <c r="B774">
        <v>2026</v>
      </c>
      <c r="C774">
        <v>4</v>
      </c>
      <c r="D774" t="s">
        <v>64</v>
      </c>
      <c r="E774" t="s">
        <v>65</v>
      </c>
      <c r="F774" t="s">
        <v>88</v>
      </c>
      <c r="G774" s="56">
        <v>1452000</v>
      </c>
    </row>
    <row r="775" spans="2:7" x14ac:dyDescent="0.15">
      <c r="B775">
        <v>2026</v>
      </c>
      <c r="C775">
        <v>4</v>
      </c>
      <c r="D775" t="s">
        <v>64</v>
      </c>
      <c r="E775" t="s">
        <v>65</v>
      </c>
      <c r="F775" t="s">
        <v>93</v>
      </c>
      <c r="G775" s="56">
        <v>919000</v>
      </c>
    </row>
    <row r="776" spans="2:7" x14ac:dyDescent="0.15">
      <c r="B776">
        <v>2026</v>
      </c>
      <c r="C776">
        <v>4</v>
      </c>
      <c r="D776" t="s">
        <v>64</v>
      </c>
      <c r="E776" t="s">
        <v>96</v>
      </c>
      <c r="F776" t="s">
        <v>55</v>
      </c>
      <c r="G776" s="56">
        <v>2980000</v>
      </c>
    </row>
    <row r="777" spans="2:7" x14ac:dyDescent="0.15">
      <c r="B777">
        <v>2026</v>
      </c>
      <c r="C777">
        <v>4</v>
      </c>
      <c r="D777" t="s">
        <v>64</v>
      </c>
      <c r="E777" t="s">
        <v>96</v>
      </c>
      <c r="F777" t="s">
        <v>62</v>
      </c>
      <c r="G777" s="56">
        <v>1830000</v>
      </c>
    </row>
    <row r="778" spans="2:7" x14ac:dyDescent="0.15">
      <c r="B778">
        <v>2026</v>
      </c>
      <c r="C778">
        <v>4</v>
      </c>
      <c r="D778" t="s">
        <v>64</v>
      </c>
      <c r="E778" t="s">
        <v>96</v>
      </c>
      <c r="F778" t="s">
        <v>75</v>
      </c>
      <c r="G778" s="56">
        <v>1378000</v>
      </c>
    </row>
    <row r="779" spans="2:7" x14ac:dyDescent="0.15">
      <c r="B779">
        <v>2026</v>
      </c>
      <c r="C779">
        <v>4</v>
      </c>
      <c r="D779" t="s">
        <v>64</v>
      </c>
      <c r="E779" t="s">
        <v>96</v>
      </c>
      <c r="F779" t="s">
        <v>88</v>
      </c>
      <c r="G779" s="56">
        <v>1169000</v>
      </c>
    </row>
    <row r="780" spans="2:7" x14ac:dyDescent="0.15">
      <c r="B780">
        <v>2026</v>
      </c>
      <c r="C780">
        <v>4</v>
      </c>
      <c r="D780" t="s">
        <v>64</v>
      </c>
      <c r="E780" t="s">
        <v>96</v>
      </c>
      <c r="F780" t="s">
        <v>93</v>
      </c>
      <c r="G780" s="56">
        <v>741000</v>
      </c>
    </row>
    <row r="781" spans="2:7" x14ac:dyDescent="0.15">
      <c r="B781">
        <v>2026</v>
      </c>
      <c r="C781">
        <v>4</v>
      </c>
      <c r="D781" t="s">
        <v>77</v>
      </c>
      <c r="E781" t="s">
        <v>107</v>
      </c>
      <c r="F781" t="s">
        <v>55</v>
      </c>
      <c r="G781" s="56">
        <v>2551000</v>
      </c>
    </row>
    <row r="782" spans="2:7" x14ac:dyDescent="0.15">
      <c r="B782">
        <v>2026</v>
      </c>
      <c r="C782">
        <v>4</v>
      </c>
      <c r="D782" t="s">
        <v>77</v>
      </c>
      <c r="E782" t="s">
        <v>107</v>
      </c>
      <c r="F782" t="s">
        <v>62</v>
      </c>
      <c r="G782" s="56">
        <v>1589000</v>
      </c>
    </row>
    <row r="783" spans="2:7" x14ac:dyDescent="0.15">
      <c r="B783">
        <v>2026</v>
      </c>
      <c r="C783">
        <v>4</v>
      </c>
      <c r="D783" t="s">
        <v>77</v>
      </c>
      <c r="E783" t="s">
        <v>107</v>
      </c>
      <c r="F783" t="s">
        <v>75</v>
      </c>
      <c r="G783" s="56">
        <v>1176000</v>
      </c>
    </row>
    <row r="784" spans="2:7" x14ac:dyDescent="0.15">
      <c r="B784">
        <v>2026</v>
      </c>
      <c r="C784">
        <v>4</v>
      </c>
      <c r="D784" t="s">
        <v>77</v>
      </c>
      <c r="E784" t="s">
        <v>107</v>
      </c>
      <c r="F784" t="s">
        <v>88</v>
      </c>
      <c r="G784" s="56">
        <v>1019000</v>
      </c>
    </row>
    <row r="785" spans="2:7" x14ac:dyDescent="0.15">
      <c r="B785">
        <v>2026</v>
      </c>
      <c r="C785">
        <v>4</v>
      </c>
      <c r="D785" t="s">
        <v>77</v>
      </c>
      <c r="E785" t="s">
        <v>107</v>
      </c>
      <c r="F785" t="s">
        <v>93</v>
      </c>
      <c r="G785" s="56">
        <v>655000</v>
      </c>
    </row>
    <row r="786" spans="2:7" x14ac:dyDescent="0.15">
      <c r="B786">
        <v>2026</v>
      </c>
      <c r="C786">
        <v>4</v>
      </c>
      <c r="D786" t="s">
        <v>77</v>
      </c>
      <c r="E786" t="s">
        <v>78</v>
      </c>
      <c r="F786" t="s">
        <v>55</v>
      </c>
      <c r="G786" s="56">
        <v>1708000</v>
      </c>
    </row>
    <row r="787" spans="2:7" x14ac:dyDescent="0.15">
      <c r="B787">
        <v>2026</v>
      </c>
      <c r="C787">
        <v>4</v>
      </c>
      <c r="D787" t="s">
        <v>77</v>
      </c>
      <c r="E787" t="s">
        <v>78</v>
      </c>
      <c r="F787" t="s">
        <v>62</v>
      </c>
      <c r="G787" s="56">
        <v>1039000</v>
      </c>
    </row>
    <row r="788" spans="2:7" x14ac:dyDescent="0.15">
      <c r="B788">
        <v>2026</v>
      </c>
      <c r="C788">
        <v>4</v>
      </c>
      <c r="D788" t="s">
        <v>77</v>
      </c>
      <c r="E788" t="s">
        <v>78</v>
      </c>
      <c r="F788" t="s">
        <v>75</v>
      </c>
      <c r="G788" s="56">
        <v>764000</v>
      </c>
    </row>
    <row r="789" spans="2:7" x14ac:dyDescent="0.15">
      <c r="B789">
        <v>2026</v>
      </c>
      <c r="C789">
        <v>4</v>
      </c>
      <c r="D789" t="s">
        <v>77</v>
      </c>
      <c r="E789" t="s">
        <v>78</v>
      </c>
      <c r="F789" t="s">
        <v>88</v>
      </c>
      <c r="G789" s="56">
        <v>655000</v>
      </c>
    </row>
    <row r="790" spans="2:7" x14ac:dyDescent="0.15">
      <c r="B790">
        <v>2026</v>
      </c>
      <c r="C790">
        <v>4</v>
      </c>
      <c r="D790" t="s">
        <v>77</v>
      </c>
      <c r="E790" t="s">
        <v>78</v>
      </c>
      <c r="F790" t="s">
        <v>93</v>
      </c>
      <c r="G790" s="56">
        <v>438000</v>
      </c>
    </row>
    <row r="791" spans="2:7" x14ac:dyDescent="0.15">
      <c r="B791">
        <v>2026</v>
      </c>
      <c r="C791">
        <v>4</v>
      </c>
      <c r="D791" t="s">
        <v>57</v>
      </c>
      <c r="E791" t="s">
        <v>81</v>
      </c>
      <c r="F791" t="s">
        <v>55</v>
      </c>
      <c r="G791" s="56">
        <v>2128000</v>
      </c>
    </row>
    <row r="792" spans="2:7" x14ac:dyDescent="0.15">
      <c r="B792">
        <v>2026</v>
      </c>
      <c r="C792">
        <v>4</v>
      </c>
      <c r="D792" t="s">
        <v>57</v>
      </c>
      <c r="E792" t="s">
        <v>81</v>
      </c>
      <c r="F792" t="s">
        <v>62</v>
      </c>
      <c r="G792" s="56">
        <v>1314000</v>
      </c>
    </row>
    <row r="793" spans="2:7" x14ac:dyDescent="0.15">
      <c r="B793">
        <v>2026</v>
      </c>
      <c r="C793">
        <v>4</v>
      </c>
      <c r="D793" t="s">
        <v>57</v>
      </c>
      <c r="E793" t="s">
        <v>81</v>
      </c>
      <c r="F793" t="s">
        <v>75</v>
      </c>
      <c r="G793" s="56">
        <v>983000</v>
      </c>
    </row>
    <row r="794" spans="2:7" x14ac:dyDescent="0.15">
      <c r="B794">
        <v>2026</v>
      </c>
      <c r="C794">
        <v>4</v>
      </c>
      <c r="D794" t="s">
        <v>57</v>
      </c>
      <c r="E794" t="s">
        <v>81</v>
      </c>
      <c r="F794" t="s">
        <v>88</v>
      </c>
      <c r="G794" s="56">
        <v>837000</v>
      </c>
    </row>
    <row r="795" spans="2:7" x14ac:dyDescent="0.15">
      <c r="B795">
        <v>2026</v>
      </c>
      <c r="C795">
        <v>4</v>
      </c>
      <c r="D795" t="s">
        <v>57</v>
      </c>
      <c r="E795" t="s">
        <v>81</v>
      </c>
      <c r="F795" t="s">
        <v>93</v>
      </c>
      <c r="G795" s="56">
        <v>549000</v>
      </c>
    </row>
    <row r="796" spans="2:7" x14ac:dyDescent="0.15">
      <c r="B796">
        <v>2026</v>
      </c>
      <c r="C796">
        <v>4</v>
      </c>
      <c r="D796" t="s">
        <v>57</v>
      </c>
      <c r="E796" t="s">
        <v>58</v>
      </c>
      <c r="F796" t="s">
        <v>55</v>
      </c>
      <c r="G796" s="56">
        <v>1332000</v>
      </c>
    </row>
    <row r="797" spans="2:7" x14ac:dyDescent="0.15">
      <c r="B797">
        <v>2026</v>
      </c>
      <c r="C797">
        <v>4</v>
      </c>
      <c r="D797" t="s">
        <v>57</v>
      </c>
      <c r="E797" t="s">
        <v>58</v>
      </c>
      <c r="F797" t="s">
        <v>62</v>
      </c>
      <c r="G797" s="56">
        <v>800000</v>
      </c>
    </row>
    <row r="798" spans="2:7" x14ac:dyDescent="0.15">
      <c r="B798">
        <v>2026</v>
      </c>
      <c r="C798">
        <v>4</v>
      </c>
      <c r="D798" t="s">
        <v>57</v>
      </c>
      <c r="E798" t="s">
        <v>58</v>
      </c>
      <c r="F798" t="s">
        <v>75</v>
      </c>
      <c r="G798" s="56">
        <v>610000</v>
      </c>
    </row>
    <row r="799" spans="2:7" x14ac:dyDescent="0.15">
      <c r="B799">
        <v>2026</v>
      </c>
      <c r="C799">
        <v>4</v>
      </c>
      <c r="D799" t="s">
        <v>57</v>
      </c>
      <c r="E799" t="s">
        <v>58</v>
      </c>
      <c r="F799" t="s">
        <v>88</v>
      </c>
      <c r="G799" s="56">
        <v>522000</v>
      </c>
    </row>
    <row r="800" spans="2:7" x14ac:dyDescent="0.15">
      <c r="B800">
        <v>2026</v>
      </c>
      <c r="C800">
        <v>4</v>
      </c>
      <c r="D800" t="s">
        <v>57</v>
      </c>
      <c r="E800" t="s">
        <v>58</v>
      </c>
      <c r="F800" t="s">
        <v>93</v>
      </c>
      <c r="G800" s="56">
        <v>340000</v>
      </c>
    </row>
    <row r="801" spans="2:7" x14ac:dyDescent="0.15">
      <c r="B801">
        <v>2026</v>
      </c>
      <c r="C801">
        <v>4</v>
      </c>
      <c r="D801" t="s">
        <v>125</v>
      </c>
      <c r="E801" t="s">
        <v>138</v>
      </c>
      <c r="F801" t="s">
        <v>55</v>
      </c>
      <c r="G801" s="56">
        <v>1562000</v>
      </c>
    </row>
    <row r="802" spans="2:7" x14ac:dyDescent="0.15">
      <c r="B802">
        <v>2026</v>
      </c>
      <c r="C802">
        <v>4</v>
      </c>
      <c r="D802" t="s">
        <v>125</v>
      </c>
      <c r="E802" t="s">
        <v>138</v>
      </c>
      <c r="F802" t="s">
        <v>62</v>
      </c>
      <c r="G802" s="56">
        <v>984000</v>
      </c>
    </row>
    <row r="803" spans="2:7" x14ac:dyDescent="0.15">
      <c r="B803">
        <v>2026</v>
      </c>
      <c r="C803">
        <v>4</v>
      </c>
      <c r="D803" t="s">
        <v>125</v>
      </c>
      <c r="E803" t="s">
        <v>138</v>
      </c>
      <c r="F803" t="s">
        <v>75</v>
      </c>
      <c r="G803" s="56">
        <v>712000</v>
      </c>
    </row>
    <row r="804" spans="2:7" x14ac:dyDescent="0.15">
      <c r="B804">
        <v>2026</v>
      </c>
      <c r="C804">
        <v>4</v>
      </c>
      <c r="D804" t="s">
        <v>125</v>
      </c>
      <c r="E804" t="s">
        <v>138</v>
      </c>
      <c r="F804" t="s">
        <v>88</v>
      </c>
      <c r="G804" s="56">
        <v>607000</v>
      </c>
    </row>
    <row r="805" spans="2:7" x14ac:dyDescent="0.15">
      <c r="B805">
        <v>2026</v>
      </c>
      <c r="C805">
        <v>4</v>
      </c>
      <c r="D805" t="s">
        <v>125</v>
      </c>
      <c r="E805" t="s">
        <v>138</v>
      </c>
      <c r="F805" t="s">
        <v>93</v>
      </c>
      <c r="G805" s="56">
        <v>393000</v>
      </c>
    </row>
    <row r="806" spans="2:7" x14ac:dyDescent="0.15">
      <c r="B806">
        <v>2026</v>
      </c>
      <c r="C806">
        <v>4</v>
      </c>
      <c r="D806" t="s">
        <v>125</v>
      </c>
      <c r="E806" t="s">
        <v>126</v>
      </c>
      <c r="F806" t="s">
        <v>55</v>
      </c>
      <c r="G806" s="56">
        <v>848000</v>
      </c>
    </row>
    <row r="807" spans="2:7" x14ac:dyDescent="0.15">
      <c r="B807">
        <v>2026</v>
      </c>
      <c r="C807">
        <v>4</v>
      </c>
      <c r="D807" t="s">
        <v>125</v>
      </c>
      <c r="E807" t="s">
        <v>126</v>
      </c>
      <c r="F807" t="s">
        <v>62</v>
      </c>
      <c r="G807" s="56">
        <v>519000</v>
      </c>
    </row>
    <row r="808" spans="2:7" x14ac:dyDescent="0.15">
      <c r="B808">
        <v>2026</v>
      </c>
      <c r="C808">
        <v>4</v>
      </c>
      <c r="D808" t="s">
        <v>125</v>
      </c>
      <c r="E808" t="s">
        <v>126</v>
      </c>
      <c r="F808" t="s">
        <v>75</v>
      </c>
      <c r="G808" s="56">
        <v>387000</v>
      </c>
    </row>
    <row r="809" spans="2:7" x14ac:dyDescent="0.15">
      <c r="B809">
        <v>2026</v>
      </c>
      <c r="C809">
        <v>4</v>
      </c>
      <c r="D809" t="s">
        <v>125</v>
      </c>
      <c r="E809" t="s">
        <v>126</v>
      </c>
      <c r="F809" t="s">
        <v>88</v>
      </c>
      <c r="G809" s="56">
        <v>339000</v>
      </c>
    </row>
    <row r="810" spans="2:7" x14ac:dyDescent="0.15">
      <c r="B810">
        <v>2026</v>
      </c>
      <c r="C810">
        <v>4</v>
      </c>
      <c r="D810" t="s">
        <v>125</v>
      </c>
      <c r="E810" t="s">
        <v>126</v>
      </c>
      <c r="F810" t="s">
        <v>93</v>
      </c>
      <c r="G810" s="56">
        <v>219000</v>
      </c>
    </row>
    <row r="811" spans="2:7" x14ac:dyDescent="0.15">
      <c r="B811">
        <v>2026</v>
      </c>
      <c r="C811">
        <v>4</v>
      </c>
      <c r="D811" t="s">
        <v>70</v>
      </c>
      <c r="E811" t="s">
        <v>84</v>
      </c>
      <c r="F811" t="s">
        <v>55</v>
      </c>
      <c r="G811" s="56">
        <v>1319000</v>
      </c>
    </row>
    <row r="812" spans="2:7" x14ac:dyDescent="0.15">
      <c r="B812">
        <v>2026</v>
      </c>
      <c r="C812">
        <v>4</v>
      </c>
      <c r="D812" t="s">
        <v>70</v>
      </c>
      <c r="E812" t="s">
        <v>84</v>
      </c>
      <c r="F812" t="s">
        <v>62</v>
      </c>
      <c r="G812" s="56">
        <v>809000</v>
      </c>
    </row>
    <row r="813" spans="2:7" x14ac:dyDescent="0.15">
      <c r="B813">
        <v>2026</v>
      </c>
      <c r="C813">
        <v>4</v>
      </c>
      <c r="D813" t="s">
        <v>70</v>
      </c>
      <c r="E813" t="s">
        <v>84</v>
      </c>
      <c r="F813" t="s">
        <v>75</v>
      </c>
      <c r="G813" s="56">
        <v>610000</v>
      </c>
    </row>
    <row r="814" spans="2:7" x14ac:dyDescent="0.15">
      <c r="B814">
        <v>2026</v>
      </c>
      <c r="C814">
        <v>4</v>
      </c>
      <c r="D814" t="s">
        <v>70</v>
      </c>
      <c r="E814" t="s">
        <v>84</v>
      </c>
      <c r="F814" t="s">
        <v>88</v>
      </c>
      <c r="G814" s="56">
        <v>515000</v>
      </c>
    </row>
    <row r="815" spans="2:7" x14ac:dyDescent="0.15">
      <c r="B815">
        <v>2026</v>
      </c>
      <c r="C815">
        <v>4</v>
      </c>
      <c r="D815" t="s">
        <v>70</v>
      </c>
      <c r="E815" t="s">
        <v>84</v>
      </c>
      <c r="F815" t="s">
        <v>93</v>
      </c>
      <c r="G815" s="56">
        <v>339000</v>
      </c>
    </row>
    <row r="816" spans="2:7" x14ac:dyDescent="0.15">
      <c r="B816">
        <v>2026</v>
      </c>
      <c r="C816">
        <v>4</v>
      </c>
      <c r="D816" t="s">
        <v>70</v>
      </c>
      <c r="E816" t="s">
        <v>71</v>
      </c>
      <c r="F816" t="s">
        <v>55</v>
      </c>
      <c r="G816" s="56">
        <v>980000</v>
      </c>
    </row>
    <row r="817" spans="2:7" x14ac:dyDescent="0.15">
      <c r="B817">
        <v>2026</v>
      </c>
      <c r="C817">
        <v>4</v>
      </c>
      <c r="D817" t="s">
        <v>70</v>
      </c>
      <c r="E817" t="s">
        <v>71</v>
      </c>
      <c r="F817" t="s">
        <v>62</v>
      </c>
      <c r="G817" s="56">
        <v>599000</v>
      </c>
    </row>
    <row r="818" spans="2:7" x14ac:dyDescent="0.15">
      <c r="B818">
        <v>2026</v>
      </c>
      <c r="C818">
        <v>4</v>
      </c>
      <c r="D818" t="s">
        <v>70</v>
      </c>
      <c r="E818" t="s">
        <v>71</v>
      </c>
      <c r="F818" t="s">
        <v>75</v>
      </c>
      <c r="G818" s="56">
        <v>449000</v>
      </c>
    </row>
    <row r="819" spans="2:7" x14ac:dyDescent="0.15">
      <c r="B819">
        <v>2026</v>
      </c>
      <c r="C819">
        <v>4</v>
      </c>
      <c r="D819" t="s">
        <v>70</v>
      </c>
      <c r="E819" t="s">
        <v>71</v>
      </c>
      <c r="F819" t="s">
        <v>88</v>
      </c>
      <c r="G819" s="56">
        <v>380000</v>
      </c>
    </row>
    <row r="820" spans="2:7" x14ac:dyDescent="0.15">
      <c r="B820">
        <v>2026</v>
      </c>
      <c r="C820">
        <v>4</v>
      </c>
      <c r="D820" t="s">
        <v>70</v>
      </c>
      <c r="E820" t="s">
        <v>71</v>
      </c>
      <c r="F820" t="s">
        <v>93</v>
      </c>
      <c r="G820" s="56">
        <v>239000</v>
      </c>
    </row>
    <row r="821" spans="2:7" x14ac:dyDescent="0.15">
      <c r="B821">
        <v>2026</v>
      </c>
      <c r="C821">
        <v>5</v>
      </c>
      <c r="D821" t="s">
        <v>64</v>
      </c>
      <c r="E821" t="s">
        <v>65</v>
      </c>
      <c r="F821" t="s">
        <v>55</v>
      </c>
      <c r="G821" s="56">
        <v>4104000</v>
      </c>
    </row>
    <row r="822" spans="2:7" x14ac:dyDescent="0.15">
      <c r="B822">
        <v>2026</v>
      </c>
      <c r="C822">
        <v>5</v>
      </c>
      <c r="D822" t="s">
        <v>64</v>
      </c>
      <c r="E822" t="s">
        <v>65</v>
      </c>
      <c r="F822" t="s">
        <v>62</v>
      </c>
      <c r="G822" s="56">
        <v>2414000</v>
      </c>
    </row>
    <row r="823" spans="2:7" x14ac:dyDescent="0.15">
      <c r="B823">
        <v>2026</v>
      </c>
      <c r="C823">
        <v>5</v>
      </c>
      <c r="D823" t="s">
        <v>64</v>
      </c>
      <c r="E823" t="s">
        <v>65</v>
      </c>
      <c r="F823" t="s">
        <v>75</v>
      </c>
      <c r="G823" s="56">
        <v>1791000</v>
      </c>
    </row>
    <row r="824" spans="2:7" x14ac:dyDescent="0.15">
      <c r="B824">
        <v>2026</v>
      </c>
      <c r="C824">
        <v>5</v>
      </c>
      <c r="D824" t="s">
        <v>64</v>
      </c>
      <c r="E824" t="s">
        <v>65</v>
      </c>
      <c r="F824" t="s">
        <v>88</v>
      </c>
      <c r="G824" s="56">
        <v>1828000</v>
      </c>
    </row>
    <row r="825" spans="2:7" x14ac:dyDescent="0.15">
      <c r="B825">
        <v>2026</v>
      </c>
      <c r="C825">
        <v>5</v>
      </c>
      <c r="D825" t="s">
        <v>64</v>
      </c>
      <c r="E825" t="s">
        <v>65</v>
      </c>
      <c r="F825" t="s">
        <v>93</v>
      </c>
      <c r="G825" s="56">
        <v>1015000</v>
      </c>
    </row>
    <row r="826" spans="2:7" x14ac:dyDescent="0.15">
      <c r="B826">
        <v>2026</v>
      </c>
      <c r="C826">
        <v>5</v>
      </c>
      <c r="D826" t="s">
        <v>64</v>
      </c>
      <c r="E826" t="s">
        <v>96</v>
      </c>
      <c r="F826" t="s">
        <v>55</v>
      </c>
      <c r="G826" s="56">
        <v>3333000</v>
      </c>
    </row>
    <row r="827" spans="2:7" x14ac:dyDescent="0.15">
      <c r="B827">
        <v>2026</v>
      </c>
      <c r="C827">
        <v>5</v>
      </c>
      <c r="D827" t="s">
        <v>64</v>
      </c>
      <c r="E827" t="s">
        <v>96</v>
      </c>
      <c r="F827" t="s">
        <v>62</v>
      </c>
      <c r="G827" s="56">
        <v>1970000</v>
      </c>
    </row>
    <row r="828" spans="2:7" x14ac:dyDescent="0.15">
      <c r="B828">
        <v>2026</v>
      </c>
      <c r="C828">
        <v>5</v>
      </c>
      <c r="D828" t="s">
        <v>64</v>
      </c>
      <c r="E828" t="s">
        <v>96</v>
      </c>
      <c r="F828" t="s">
        <v>75</v>
      </c>
      <c r="G828" s="56">
        <v>1484000</v>
      </c>
    </row>
    <row r="829" spans="2:7" x14ac:dyDescent="0.15">
      <c r="B829">
        <v>2026</v>
      </c>
      <c r="C829">
        <v>5</v>
      </c>
      <c r="D829" t="s">
        <v>64</v>
      </c>
      <c r="E829" t="s">
        <v>96</v>
      </c>
      <c r="F829" t="s">
        <v>88</v>
      </c>
      <c r="G829" s="56">
        <v>1554000</v>
      </c>
    </row>
    <row r="830" spans="2:7" x14ac:dyDescent="0.15">
      <c r="B830">
        <v>2026</v>
      </c>
      <c r="C830">
        <v>5</v>
      </c>
      <c r="D830" t="s">
        <v>64</v>
      </c>
      <c r="E830" t="s">
        <v>96</v>
      </c>
      <c r="F830" t="s">
        <v>93</v>
      </c>
      <c r="G830" s="56">
        <v>844000</v>
      </c>
    </row>
    <row r="831" spans="2:7" x14ac:dyDescent="0.15">
      <c r="B831">
        <v>2026</v>
      </c>
      <c r="C831">
        <v>5</v>
      </c>
      <c r="D831" t="s">
        <v>77</v>
      </c>
      <c r="E831" t="s">
        <v>107</v>
      </c>
      <c r="F831" t="s">
        <v>55</v>
      </c>
      <c r="G831" s="56">
        <v>2795000</v>
      </c>
    </row>
    <row r="832" spans="2:7" x14ac:dyDescent="0.15">
      <c r="B832">
        <v>2026</v>
      </c>
      <c r="C832">
        <v>5</v>
      </c>
      <c r="D832" t="s">
        <v>77</v>
      </c>
      <c r="E832" t="s">
        <v>107</v>
      </c>
      <c r="F832" t="s">
        <v>62</v>
      </c>
      <c r="G832" s="56">
        <v>1695000</v>
      </c>
    </row>
    <row r="833" spans="2:7" x14ac:dyDescent="0.15">
      <c r="B833">
        <v>2026</v>
      </c>
      <c r="C833">
        <v>5</v>
      </c>
      <c r="D833" t="s">
        <v>77</v>
      </c>
      <c r="E833" t="s">
        <v>107</v>
      </c>
      <c r="F833" t="s">
        <v>75</v>
      </c>
      <c r="G833" s="56">
        <v>1254000</v>
      </c>
    </row>
    <row r="834" spans="2:7" x14ac:dyDescent="0.15">
      <c r="B834">
        <v>2026</v>
      </c>
      <c r="C834">
        <v>5</v>
      </c>
      <c r="D834" t="s">
        <v>77</v>
      </c>
      <c r="E834" t="s">
        <v>107</v>
      </c>
      <c r="F834" t="s">
        <v>88</v>
      </c>
      <c r="G834" s="56">
        <v>1317000</v>
      </c>
    </row>
    <row r="835" spans="2:7" x14ac:dyDescent="0.15">
      <c r="B835">
        <v>2026</v>
      </c>
      <c r="C835">
        <v>5</v>
      </c>
      <c r="D835" t="s">
        <v>77</v>
      </c>
      <c r="E835" t="s">
        <v>107</v>
      </c>
      <c r="F835" t="s">
        <v>93</v>
      </c>
      <c r="G835" s="56">
        <v>722000</v>
      </c>
    </row>
    <row r="836" spans="2:7" x14ac:dyDescent="0.15">
      <c r="B836">
        <v>2026</v>
      </c>
      <c r="C836">
        <v>5</v>
      </c>
      <c r="D836" t="s">
        <v>77</v>
      </c>
      <c r="E836" t="s">
        <v>78</v>
      </c>
      <c r="F836" t="s">
        <v>55</v>
      </c>
      <c r="G836" s="56">
        <v>1909000</v>
      </c>
    </row>
    <row r="837" spans="2:7" x14ac:dyDescent="0.15">
      <c r="B837">
        <v>2026</v>
      </c>
      <c r="C837">
        <v>5</v>
      </c>
      <c r="D837" t="s">
        <v>77</v>
      </c>
      <c r="E837" t="s">
        <v>78</v>
      </c>
      <c r="F837" t="s">
        <v>62</v>
      </c>
      <c r="G837" s="56">
        <v>1126000</v>
      </c>
    </row>
    <row r="838" spans="2:7" x14ac:dyDescent="0.15">
      <c r="B838">
        <v>2026</v>
      </c>
      <c r="C838">
        <v>5</v>
      </c>
      <c r="D838" t="s">
        <v>77</v>
      </c>
      <c r="E838" t="s">
        <v>78</v>
      </c>
      <c r="F838" t="s">
        <v>75</v>
      </c>
      <c r="G838" s="56">
        <v>833000</v>
      </c>
    </row>
    <row r="839" spans="2:7" x14ac:dyDescent="0.15">
      <c r="B839">
        <v>2026</v>
      </c>
      <c r="C839">
        <v>5</v>
      </c>
      <c r="D839" t="s">
        <v>77</v>
      </c>
      <c r="E839" t="s">
        <v>78</v>
      </c>
      <c r="F839" t="s">
        <v>88</v>
      </c>
      <c r="G839" s="56">
        <v>861000</v>
      </c>
    </row>
    <row r="840" spans="2:7" x14ac:dyDescent="0.15">
      <c r="B840">
        <v>2026</v>
      </c>
      <c r="C840">
        <v>5</v>
      </c>
      <c r="D840" t="s">
        <v>77</v>
      </c>
      <c r="E840" t="s">
        <v>78</v>
      </c>
      <c r="F840" t="s">
        <v>93</v>
      </c>
      <c r="G840" s="56">
        <v>466000</v>
      </c>
    </row>
    <row r="841" spans="2:7" x14ac:dyDescent="0.15">
      <c r="B841">
        <v>2026</v>
      </c>
      <c r="C841">
        <v>5</v>
      </c>
      <c r="D841" t="s">
        <v>57</v>
      </c>
      <c r="E841" t="s">
        <v>81</v>
      </c>
      <c r="F841" t="s">
        <v>55</v>
      </c>
      <c r="G841" s="56">
        <v>2390000</v>
      </c>
    </row>
    <row r="842" spans="2:7" x14ac:dyDescent="0.15">
      <c r="B842">
        <v>2026</v>
      </c>
      <c r="C842">
        <v>5</v>
      </c>
      <c r="D842" t="s">
        <v>57</v>
      </c>
      <c r="E842" t="s">
        <v>81</v>
      </c>
      <c r="F842" t="s">
        <v>62</v>
      </c>
      <c r="G842" s="56">
        <v>1419000</v>
      </c>
    </row>
    <row r="843" spans="2:7" x14ac:dyDescent="0.15">
      <c r="B843">
        <v>2026</v>
      </c>
      <c r="C843">
        <v>5</v>
      </c>
      <c r="D843" t="s">
        <v>57</v>
      </c>
      <c r="E843" t="s">
        <v>81</v>
      </c>
      <c r="F843" t="s">
        <v>75</v>
      </c>
      <c r="G843" s="56">
        <v>1083000</v>
      </c>
    </row>
    <row r="844" spans="2:7" x14ac:dyDescent="0.15">
      <c r="B844">
        <v>2026</v>
      </c>
      <c r="C844">
        <v>5</v>
      </c>
      <c r="D844" t="s">
        <v>57</v>
      </c>
      <c r="E844" t="s">
        <v>81</v>
      </c>
      <c r="F844" t="s">
        <v>88</v>
      </c>
      <c r="G844" s="56">
        <v>1122000</v>
      </c>
    </row>
    <row r="845" spans="2:7" x14ac:dyDescent="0.15">
      <c r="B845">
        <v>2026</v>
      </c>
      <c r="C845">
        <v>5</v>
      </c>
      <c r="D845" t="s">
        <v>57</v>
      </c>
      <c r="E845" t="s">
        <v>81</v>
      </c>
      <c r="F845" t="s">
        <v>93</v>
      </c>
      <c r="G845" s="56">
        <v>602000</v>
      </c>
    </row>
    <row r="846" spans="2:7" x14ac:dyDescent="0.15">
      <c r="B846">
        <v>2026</v>
      </c>
      <c r="C846">
        <v>5</v>
      </c>
      <c r="D846" t="s">
        <v>57</v>
      </c>
      <c r="E846" t="s">
        <v>58</v>
      </c>
      <c r="F846" t="s">
        <v>55</v>
      </c>
      <c r="G846" s="56">
        <v>1464000</v>
      </c>
    </row>
    <row r="847" spans="2:7" x14ac:dyDescent="0.15">
      <c r="B847">
        <v>2026</v>
      </c>
      <c r="C847">
        <v>5</v>
      </c>
      <c r="D847" t="s">
        <v>57</v>
      </c>
      <c r="E847" t="s">
        <v>58</v>
      </c>
      <c r="F847" t="s">
        <v>62</v>
      </c>
      <c r="G847" s="56">
        <v>880000</v>
      </c>
    </row>
    <row r="848" spans="2:7" x14ac:dyDescent="0.15">
      <c r="B848">
        <v>2026</v>
      </c>
      <c r="C848">
        <v>5</v>
      </c>
      <c r="D848" t="s">
        <v>57</v>
      </c>
      <c r="E848" t="s">
        <v>58</v>
      </c>
      <c r="F848" t="s">
        <v>75</v>
      </c>
      <c r="G848" s="56">
        <v>649000</v>
      </c>
    </row>
    <row r="849" spans="2:7" x14ac:dyDescent="0.15">
      <c r="B849">
        <v>2026</v>
      </c>
      <c r="C849">
        <v>5</v>
      </c>
      <c r="D849" t="s">
        <v>57</v>
      </c>
      <c r="E849" t="s">
        <v>58</v>
      </c>
      <c r="F849" t="s">
        <v>88</v>
      </c>
      <c r="G849" s="56">
        <v>667000</v>
      </c>
    </row>
    <row r="850" spans="2:7" x14ac:dyDescent="0.15">
      <c r="B850">
        <v>2026</v>
      </c>
      <c r="C850">
        <v>5</v>
      </c>
      <c r="D850" t="s">
        <v>57</v>
      </c>
      <c r="E850" t="s">
        <v>58</v>
      </c>
      <c r="F850" t="s">
        <v>93</v>
      </c>
      <c r="G850" s="56">
        <v>366000</v>
      </c>
    </row>
    <row r="851" spans="2:7" x14ac:dyDescent="0.15">
      <c r="B851">
        <v>2026</v>
      </c>
      <c r="C851">
        <v>5</v>
      </c>
      <c r="D851" t="s">
        <v>125</v>
      </c>
      <c r="E851" t="s">
        <v>138</v>
      </c>
      <c r="F851" t="s">
        <v>55</v>
      </c>
      <c r="G851" s="56">
        <v>1766000</v>
      </c>
    </row>
    <row r="852" spans="2:7" x14ac:dyDescent="0.15">
      <c r="B852">
        <v>2026</v>
      </c>
      <c r="C852">
        <v>5</v>
      </c>
      <c r="D852" t="s">
        <v>125</v>
      </c>
      <c r="E852" t="s">
        <v>138</v>
      </c>
      <c r="F852" t="s">
        <v>62</v>
      </c>
      <c r="G852" s="56">
        <v>1062000</v>
      </c>
    </row>
    <row r="853" spans="2:7" x14ac:dyDescent="0.15">
      <c r="B853">
        <v>2026</v>
      </c>
      <c r="C853">
        <v>5</v>
      </c>
      <c r="D853" t="s">
        <v>125</v>
      </c>
      <c r="E853" t="s">
        <v>138</v>
      </c>
      <c r="F853" t="s">
        <v>75</v>
      </c>
      <c r="G853" s="56">
        <v>792000</v>
      </c>
    </row>
    <row r="854" spans="2:7" x14ac:dyDescent="0.15">
      <c r="B854">
        <v>2026</v>
      </c>
      <c r="C854">
        <v>5</v>
      </c>
      <c r="D854" t="s">
        <v>125</v>
      </c>
      <c r="E854" t="s">
        <v>138</v>
      </c>
      <c r="F854" t="s">
        <v>88</v>
      </c>
      <c r="G854" s="56">
        <v>804000</v>
      </c>
    </row>
    <row r="855" spans="2:7" x14ac:dyDescent="0.15">
      <c r="B855">
        <v>2026</v>
      </c>
      <c r="C855">
        <v>5</v>
      </c>
      <c r="D855" t="s">
        <v>125</v>
      </c>
      <c r="E855" t="s">
        <v>138</v>
      </c>
      <c r="F855" t="s">
        <v>93</v>
      </c>
      <c r="G855" s="56">
        <v>439000</v>
      </c>
    </row>
    <row r="856" spans="2:7" x14ac:dyDescent="0.15">
      <c r="B856">
        <v>2026</v>
      </c>
      <c r="C856">
        <v>5</v>
      </c>
      <c r="D856" t="s">
        <v>125</v>
      </c>
      <c r="E856" t="s">
        <v>126</v>
      </c>
      <c r="F856" t="s">
        <v>55</v>
      </c>
      <c r="G856" s="56">
        <v>926000</v>
      </c>
    </row>
    <row r="857" spans="2:7" x14ac:dyDescent="0.15">
      <c r="B857">
        <v>2026</v>
      </c>
      <c r="C857">
        <v>5</v>
      </c>
      <c r="D857" t="s">
        <v>125</v>
      </c>
      <c r="E857" t="s">
        <v>126</v>
      </c>
      <c r="F857" t="s">
        <v>62</v>
      </c>
      <c r="G857" s="56">
        <v>561000</v>
      </c>
    </row>
    <row r="858" spans="2:7" x14ac:dyDescent="0.15">
      <c r="B858">
        <v>2026</v>
      </c>
      <c r="C858">
        <v>5</v>
      </c>
      <c r="D858" t="s">
        <v>125</v>
      </c>
      <c r="E858" t="s">
        <v>126</v>
      </c>
      <c r="F858" t="s">
        <v>75</v>
      </c>
      <c r="G858" s="56">
        <v>424000</v>
      </c>
    </row>
    <row r="859" spans="2:7" x14ac:dyDescent="0.15">
      <c r="B859">
        <v>2026</v>
      </c>
      <c r="C859">
        <v>5</v>
      </c>
      <c r="D859" t="s">
        <v>125</v>
      </c>
      <c r="E859" t="s">
        <v>126</v>
      </c>
      <c r="F859" t="s">
        <v>88</v>
      </c>
      <c r="G859" s="56">
        <v>439000</v>
      </c>
    </row>
    <row r="860" spans="2:7" x14ac:dyDescent="0.15">
      <c r="B860">
        <v>2026</v>
      </c>
      <c r="C860">
        <v>5</v>
      </c>
      <c r="D860" t="s">
        <v>125</v>
      </c>
      <c r="E860" t="s">
        <v>126</v>
      </c>
      <c r="F860" t="s">
        <v>93</v>
      </c>
      <c r="G860" s="56">
        <v>235000</v>
      </c>
    </row>
    <row r="861" spans="2:7" x14ac:dyDescent="0.15">
      <c r="B861">
        <v>2026</v>
      </c>
      <c r="C861">
        <v>5</v>
      </c>
      <c r="D861" t="s">
        <v>70</v>
      </c>
      <c r="E861" t="s">
        <v>84</v>
      </c>
      <c r="F861" t="s">
        <v>55</v>
      </c>
      <c r="G861" s="56">
        <v>1477000</v>
      </c>
    </row>
    <row r="862" spans="2:7" x14ac:dyDescent="0.15">
      <c r="B862">
        <v>2026</v>
      </c>
      <c r="C862">
        <v>5</v>
      </c>
      <c r="D862" t="s">
        <v>70</v>
      </c>
      <c r="E862" t="s">
        <v>84</v>
      </c>
      <c r="F862" t="s">
        <v>62</v>
      </c>
      <c r="G862" s="56">
        <v>876000</v>
      </c>
    </row>
    <row r="863" spans="2:7" x14ac:dyDescent="0.15">
      <c r="B863">
        <v>2026</v>
      </c>
      <c r="C863">
        <v>5</v>
      </c>
      <c r="D863" t="s">
        <v>70</v>
      </c>
      <c r="E863" t="s">
        <v>84</v>
      </c>
      <c r="F863" t="s">
        <v>75</v>
      </c>
      <c r="G863" s="56">
        <v>639000</v>
      </c>
    </row>
    <row r="864" spans="2:7" x14ac:dyDescent="0.15">
      <c r="B864">
        <v>2026</v>
      </c>
      <c r="C864">
        <v>5</v>
      </c>
      <c r="D864" t="s">
        <v>70</v>
      </c>
      <c r="E864" t="s">
        <v>84</v>
      </c>
      <c r="F864" t="s">
        <v>88</v>
      </c>
      <c r="G864" s="56">
        <v>677000</v>
      </c>
    </row>
    <row r="865" spans="2:7" x14ac:dyDescent="0.15">
      <c r="B865">
        <v>2026</v>
      </c>
      <c r="C865">
        <v>5</v>
      </c>
      <c r="D865" t="s">
        <v>70</v>
      </c>
      <c r="E865" t="s">
        <v>84</v>
      </c>
      <c r="F865" t="s">
        <v>93</v>
      </c>
      <c r="G865" s="56">
        <v>361000</v>
      </c>
    </row>
    <row r="866" spans="2:7" x14ac:dyDescent="0.15">
      <c r="B866">
        <v>2026</v>
      </c>
      <c r="C866">
        <v>5</v>
      </c>
      <c r="D866" t="s">
        <v>70</v>
      </c>
      <c r="E866" t="s">
        <v>71</v>
      </c>
      <c r="F866" t="s">
        <v>55</v>
      </c>
      <c r="G866" s="56">
        <v>1058000</v>
      </c>
    </row>
    <row r="867" spans="2:7" x14ac:dyDescent="0.15">
      <c r="B867">
        <v>2026</v>
      </c>
      <c r="C867">
        <v>5</v>
      </c>
      <c r="D867" t="s">
        <v>70</v>
      </c>
      <c r="E867" t="s">
        <v>71</v>
      </c>
      <c r="F867" t="s">
        <v>62</v>
      </c>
      <c r="G867" s="56">
        <v>643000</v>
      </c>
    </row>
    <row r="868" spans="2:7" x14ac:dyDescent="0.15">
      <c r="B868">
        <v>2026</v>
      </c>
      <c r="C868">
        <v>5</v>
      </c>
      <c r="D868" t="s">
        <v>70</v>
      </c>
      <c r="E868" t="s">
        <v>71</v>
      </c>
      <c r="F868" t="s">
        <v>75</v>
      </c>
      <c r="G868" s="56">
        <v>473000</v>
      </c>
    </row>
    <row r="869" spans="2:7" x14ac:dyDescent="0.15">
      <c r="B869">
        <v>2026</v>
      </c>
      <c r="C869">
        <v>5</v>
      </c>
      <c r="D869" t="s">
        <v>70</v>
      </c>
      <c r="E869" t="s">
        <v>71</v>
      </c>
      <c r="F869" t="s">
        <v>88</v>
      </c>
      <c r="G869" s="56">
        <v>482000</v>
      </c>
    </row>
    <row r="870" spans="2:7" x14ac:dyDescent="0.15">
      <c r="B870">
        <v>2026</v>
      </c>
      <c r="C870">
        <v>5</v>
      </c>
      <c r="D870" t="s">
        <v>70</v>
      </c>
      <c r="E870" t="s">
        <v>71</v>
      </c>
      <c r="F870" t="s">
        <v>93</v>
      </c>
      <c r="G870" s="56">
        <v>267000</v>
      </c>
    </row>
    <row r="871" spans="2:7" x14ac:dyDescent="0.15">
      <c r="B871">
        <v>2026</v>
      </c>
      <c r="C871">
        <v>6</v>
      </c>
      <c r="D871" t="s">
        <v>64</v>
      </c>
      <c r="E871" t="s">
        <v>65</v>
      </c>
      <c r="F871" t="s">
        <v>55</v>
      </c>
      <c r="G871" s="56">
        <v>4424000</v>
      </c>
    </row>
    <row r="872" spans="2:7" x14ac:dyDescent="0.15">
      <c r="B872">
        <v>2026</v>
      </c>
      <c r="C872">
        <v>6</v>
      </c>
      <c r="D872" t="s">
        <v>64</v>
      </c>
      <c r="E872" t="s">
        <v>65</v>
      </c>
      <c r="F872" t="s">
        <v>62</v>
      </c>
      <c r="G872" s="56">
        <v>2544000</v>
      </c>
    </row>
    <row r="873" spans="2:7" x14ac:dyDescent="0.15">
      <c r="B873">
        <v>2026</v>
      </c>
      <c r="C873">
        <v>6</v>
      </c>
      <c r="D873" t="s">
        <v>64</v>
      </c>
      <c r="E873" t="s">
        <v>65</v>
      </c>
      <c r="F873" t="s">
        <v>75</v>
      </c>
      <c r="G873" s="56">
        <v>1871000</v>
      </c>
    </row>
    <row r="874" spans="2:7" x14ac:dyDescent="0.15">
      <c r="B874">
        <v>2026</v>
      </c>
      <c r="C874">
        <v>6</v>
      </c>
      <c r="D874" t="s">
        <v>64</v>
      </c>
      <c r="E874" t="s">
        <v>65</v>
      </c>
      <c r="F874" t="s">
        <v>88</v>
      </c>
      <c r="G874" s="56">
        <v>2081000</v>
      </c>
    </row>
    <row r="875" spans="2:7" x14ac:dyDescent="0.15">
      <c r="B875">
        <v>2026</v>
      </c>
      <c r="C875">
        <v>6</v>
      </c>
      <c r="D875" t="s">
        <v>64</v>
      </c>
      <c r="E875" t="s">
        <v>65</v>
      </c>
      <c r="F875" t="s">
        <v>93</v>
      </c>
      <c r="G875" s="56">
        <v>1060000</v>
      </c>
    </row>
    <row r="876" spans="2:7" x14ac:dyDescent="0.15">
      <c r="B876">
        <v>2026</v>
      </c>
      <c r="C876">
        <v>6</v>
      </c>
      <c r="D876" t="s">
        <v>64</v>
      </c>
      <c r="E876" t="s">
        <v>96</v>
      </c>
      <c r="F876" t="s">
        <v>55</v>
      </c>
      <c r="G876" s="56">
        <v>3653000</v>
      </c>
    </row>
    <row r="877" spans="2:7" x14ac:dyDescent="0.15">
      <c r="B877">
        <v>2026</v>
      </c>
      <c r="C877">
        <v>6</v>
      </c>
      <c r="D877" t="s">
        <v>64</v>
      </c>
      <c r="E877" t="s">
        <v>96</v>
      </c>
      <c r="F877" t="s">
        <v>62</v>
      </c>
      <c r="G877" s="56">
        <v>2077000</v>
      </c>
    </row>
    <row r="878" spans="2:7" x14ac:dyDescent="0.15">
      <c r="B878">
        <v>2026</v>
      </c>
      <c r="C878">
        <v>6</v>
      </c>
      <c r="D878" t="s">
        <v>64</v>
      </c>
      <c r="E878" t="s">
        <v>96</v>
      </c>
      <c r="F878" t="s">
        <v>75</v>
      </c>
      <c r="G878" s="56">
        <v>1501000</v>
      </c>
    </row>
    <row r="879" spans="2:7" x14ac:dyDescent="0.15">
      <c r="B879">
        <v>2026</v>
      </c>
      <c r="C879">
        <v>6</v>
      </c>
      <c r="D879" t="s">
        <v>64</v>
      </c>
      <c r="E879" t="s">
        <v>96</v>
      </c>
      <c r="F879" t="s">
        <v>88</v>
      </c>
      <c r="G879" s="56">
        <v>1757000</v>
      </c>
    </row>
    <row r="880" spans="2:7" x14ac:dyDescent="0.15">
      <c r="B880">
        <v>2026</v>
      </c>
      <c r="C880">
        <v>6</v>
      </c>
      <c r="D880" t="s">
        <v>64</v>
      </c>
      <c r="E880" t="s">
        <v>96</v>
      </c>
      <c r="F880" t="s">
        <v>93</v>
      </c>
      <c r="G880" s="56">
        <v>894000</v>
      </c>
    </row>
    <row r="881" spans="2:7" x14ac:dyDescent="0.15">
      <c r="B881">
        <v>2026</v>
      </c>
      <c r="C881">
        <v>6</v>
      </c>
      <c r="D881" t="s">
        <v>77</v>
      </c>
      <c r="E881" t="s">
        <v>107</v>
      </c>
      <c r="F881" t="s">
        <v>55</v>
      </c>
      <c r="G881" s="56">
        <v>3134000</v>
      </c>
    </row>
    <row r="882" spans="2:7" x14ac:dyDescent="0.15">
      <c r="B882">
        <v>2026</v>
      </c>
      <c r="C882">
        <v>6</v>
      </c>
      <c r="D882" t="s">
        <v>77</v>
      </c>
      <c r="E882" t="s">
        <v>107</v>
      </c>
      <c r="F882" t="s">
        <v>62</v>
      </c>
      <c r="G882" s="56">
        <v>1781000</v>
      </c>
    </row>
    <row r="883" spans="2:7" x14ac:dyDescent="0.15">
      <c r="B883">
        <v>2026</v>
      </c>
      <c r="C883">
        <v>6</v>
      </c>
      <c r="D883" t="s">
        <v>77</v>
      </c>
      <c r="E883" t="s">
        <v>107</v>
      </c>
      <c r="F883" t="s">
        <v>75</v>
      </c>
      <c r="G883" s="56">
        <v>1304000</v>
      </c>
    </row>
    <row r="884" spans="2:7" x14ac:dyDescent="0.15">
      <c r="B884">
        <v>2026</v>
      </c>
      <c r="C884">
        <v>6</v>
      </c>
      <c r="D884" t="s">
        <v>77</v>
      </c>
      <c r="E884" t="s">
        <v>107</v>
      </c>
      <c r="F884" t="s">
        <v>88</v>
      </c>
      <c r="G884" s="56">
        <v>1501000</v>
      </c>
    </row>
    <row r="885" spans="2:7" x14ac:dyDescent="0.15">
      <c r="B885">
        <v>2026</v>
      </c>
      <c r="C885">
        <v>6</v>
      </c>
      <c r="D885" t="s">
        <v>77</v>
      </c>
      <c r="E885" t="s">
        <v>107</v>
      </c>
      <c r="F885" t="s">
        <v>93</v>
      </c>
      <c r="G885" s="56">
        <v>743000</v>
      </c>
    </row>
    <row r="886" spans="2:7" x14ac:dyDescent="0.15">
      <c r="B886">
        <v>2026</v>
      </c>
      <c r="C886">
        <v>6</v>
      </c>
      <c r="D886" t="s">
        <v>77</v>
      </c>
      <c r="E886" t="s">
        <v>78</v>
      </c>
      <c r="F886" t="s">
        <v>55</v>
      </c>
      <c r="G886" s="56">
        <v>2097000</v>
      </c>
    </row>
    <row r="887" spans="2:7" x14ac:dyDescent="0.15">
      <c r="B887">
        <v>2026</v>
      </c>
      <c r="C887">
        <v>6</v>
      </c>
      <c r="D887" t="s">
        <v>77</v>
      </c>
      <c r="E887" t="s">
        <v>78</v>
      </c>
      <c r="F887" t="s">
        <v>62</v>
      </c>
      <c r="G887" s="56">
        <v>1213000</v>
      </c>
    </row>
    <row r="888" spans="2:7" x14ac:dyDescent="0.15">
      <c r="B888">
        <v>2026</v>
      </c>
      <c r="C888">
        <v>6</v>
      </c>
      <c r="D888" t="s">
        <v>77</v>
      </c>
      <c r="E888" t="s">
        <v>78</v>
      </c>
      <c r="F888" t="s">
        <v>75</v>
      </c>
      <c r="G888" s="56">
        <v>882000</v>
      </c>
    </row>
    <row r="889" spans="2:7" x14ac:dyDescent="0.15">
      <c r="B889">
        <v>2026</v>
      </c>
      <c r="C889">
        <v>6</v>
      </c>
      <c r="D889" t="s">
        <v>77</v>
      </c>
      <c r="E889" t="s">
        <v>78</v>
      </c>
      <c r="F889" t="s">
        <v>88</v>
      </c>
      <c r="G889" s="56">
        <v>992000</v>
      </c>
    </row>
    <row r="890" spans="2:7" x14ac:dyDescent="0.15">
      <c r="B890">
        <v>2026</v>
      </c>
      <c r="C890">
        <v>6</v>
      </c>
      <c r="D890" t="s">
        <v>77</v>
      </c>
      <c r="E890" t="s">
        <v>78</v>
      </c>
      <c r="F890" t="s">
        <v>93</v>
      </c>
      <c r="G890" s="56">
        <v>509000</v>
      </c>
    </row>
    <row r="891" spans="2:7" x14ac:dyDescent="0.15">
      <c r="B891">
        <v>2026</v>
      </c>
      <c r="C891">
        <v>6</v>
      </c>
      <c r="D891" t="s">
        <v>57</v>
      </c>
      <c r="E891" t="s">
        <v>81</v>
      </c>
      <c r="F891" t="s">
        <v>55</v>
      </c>
      <c r="G891" s="56">
        <v>2646000</v>
      </c>
    </row>
    <row r="892" spans="2:7" x14ac:dyDescent="0.15">
      <c r="B892">
        <v>2026</v>
      </c>
      <c r="C892">
        <v>6</v>
      </c>
      <c r="D892" t="s">
        <v>57</v>
      </c>
      <c r="E892" t="s">
        <v>81</v>
      </c>
      <c r="F892" t="s">
        <v>62</v>
      </c>
      <c r="G892" s="56">
        <v>1529000</v>
      </c>
    </row>
    <row r="893" spans="2:7" x14ac:dyDescent="0.15">
      <c r="B893">
        <v>2026</v>
      </c>
      <c r="C893">
        <v>6</v>
      </c>
      <c r="D893" t="s">
        <v>57</v>
      </c>
      <c r="E893" t="s">
        <v>81</v>
      </c>
      <c r="F893" t="s">
        <v>75</v>
      </c>
      <c r="G893" s="56">
        <v>1107000</v>
      </c>
    </row>
    <row r="894" spans="2:7" x14ac:dyDescent="0.15">
      <c r="B894">
        <v>2026</v>
      </c>
      <c r="C894">
        <v>6</v>
      </c>
      <c r="D894" t="s">
        <v>57</v>
      </c>
      <c r="E894" t="s">
        <v>81</v>
      </c>
      <c r="F894" t="s">
        <v>88</v>
      </c>
      <c r="G894" s="56">
        <v>1268000</v>
      </c>
    </row>
    <row r="895" spans="2:7" x14ac:dyDescent="0.15">
      <c r="B895">
        <v>2026</v>
      </c>
      <c r="C895">
        <v>6</v>
      </c>
      <c r="D895" t="s">
        <v>57</v>
      </c>
      <c r="E895" t="s">
        <v>81</v>
      </c>
      <c r="F895" t="s">
        <v>93</v>
      </c>
      <c r="G895" s="56">
        <v>632000</v>
      </c>
    </row>
    <row r="896" spans="2:7" x14ac:dyDescent="0.15">
      <c r="B896">
        <v>2026</v>
      </c>
      <c r="C896">
        <v>6</v>
      </c>
      <c r="D896" t="s">
        <v>57</v>
      </c>
      <c r="E896" t="s">
        <v>58</v>
      </c>
      <c r="F896" t="s">
        <v>55</v>
      </c>
      <c r="G896" s="56">
        <v>1646000</v>
      </c>
    </row>
    <row r="897" spans="2:7" x14ac:dyDescent="0.15">
      <c r="B897">
        <v>2026</v>
      </c>
      <c r="C897">
        <v>6</v>
      </c>
      <c r="D897" t="s">
        <v>57</v>
      </c>
      <c r="E897" t="s">
        <v>58</v>
      </c>
      <c r="F897" t="s">
        <v>62</v>
      </c>
      <c r="G897" s="56">
        <v>925000</v>
      </c>
    </row>
    <row r="898" spans="2:7" x14ac:dyDescent="0.15">
      <c r="B898">
        <v>2026</v>
      </c>
      <c r="C898">
        <v>6</v>
      </c>
      <c r="D898" t="s">
        <v>57</v>
      </c>
      <c r="E898" t="s">
        <v>58</v>
      </c>
      <c r="F898" t="s">
        <v>75</v>
      </c>
      <c r="G898" s="56">
        <v>678000</v>
      </c>
    </row>
    <row r="899" spans="2:7" x14ac:dyDescent="0.15">
      <c r="B899">
        <v>2026</v>
      </c>
      <c r="C899">
        <v>6</v>
      </c>
      <c r="D899" t="s">
        <v>57</v>
      </c>
      <c r="E899" t="s">
        <v>58</v>
      </c>
      <c r="F899" t="s">
        <v>88</v>
      </c>
      <c r="G899" s="56">
        <v>773000</v>
      </c>
    </row>
    <row r="900" spans="2:7" x14ac:dyDescent="0.15">
      <c r="B900">
        <v>2026</v>
      </c>
      <c r="C900">
        <v>6</v>
      </c>
      <c r="D900" t="s">
        <v>57</v>
      </c>
      <c r="E900" t="s">
        <v>58</v>
      </c>
      <c r="F900" t="s">
        <v>93</v>
      </c>
      <c r="G900" s="56">
        <v>381000</v>
      </c>
    </row>
    <row r="901" spans="2:7" x14ac:dyDescent="0.15">
      <c r="B901">
        <v>2026</v>
      </c>
      <c r="C901">
        <v>6</v>
      </c>
      <c r="D901" t="s">
        <v>125</v>
      </c>
      <c r="E901" t="s">
        <v>138</v>
      </c>
      <c r="F901" t="s">
        <v>55</v>
      </c>
      <c r="G901" s="56">
        <v>1965000</v>
      </c>
    </row>
    <row r="902" spans="2:7" x14ac:dyDescent="0.15">
      <c r="B902">
        <v>2026</v>
      </c>
      <c r="C902">
        <v>6</v>
      </c>
      <c r="D902" t="s">
        <v>125</v>
      </c>
      <c r="E902" t="s">
        <v>138</v>
      </c>
      <c r="F902" t="s">
        <v>62</v>
      </c>
      <c r="G902" s="56">
        <v>1098000</v>
      </c>
    </row>
    <row r="903" spans="2:7" x14ac:dyDescent="0.15">
      <c r="B903">
        <v>2026</v>
      </c>
      <c r="C903">
        <v>6</v>
      </c>
      <c r="D903" t="s">
        <v>125</v>
      </c>
      <c r="E903" t="s">
        <v>138</v>
      </c>
      <c r="F903" t="s">
        <v>75</v>
      </c>
      <c r="G903" s="56">
        <v>801000</v>
      </c>
    </row>
    <row r="904" spans="2:7" x14ac:dyDescent="0.15">
      <c r="B904">
        <v>2026</v>
      </c>
      <c r="C904">
        <v>6</v>
      </c>
      <c r="D904" t="s">
        <v>125</v>
      </c>
      <c r="E904" t="s">
        <v>138</v>
      </c>
      <c r="F904" t="s">
        <v>88</v>
      </c>
      <c r="G904" s="56">
        <v>914000</v>
      </c>
    </row>
    <row r="905" spans="2:7" x14ac:dyDescent="0.15">
      <c r="B905">
        <v>2026</v>
      </c>
      <c r="C905">
        <v>6</v>
      </c>
      <c r="D905" t="s">
        <v>125</v>
      </c>
      <c r="E905" t="s">
        <v>138</v>
      </c>
      <c r="F905" t="s">
        <v>93</v>
      </c>
      <c r="G905" s="56">
        <v>464000</v>
      </c>
    </row>
    <row r="906" spans="2:7" x14ac:dyDescent="0.15">
      <c r="B906">
        <v>2026</v>
      </c>
      <c r="C906">
        <v>6</v>
      </c>
      <c r="D906" t="s">
        <v>125</v>
      </c>
      <c r="E906" t="s">
        <v>126</v>
      </c>
      <c r="F906" t="s">
        <v>55</v>
      </c>
      <c r="G906" s="56">
        <v>1044000</v>
      </c>
    </row>
    <row r="907" spans="2:7" x14ac:dyDescent="0.15">
      <c r="B907">
        <v>2026</v>
      </c>
      <c r="C907">
        <v>6</v>
      </c>
      <c r="D907" t="s">
        <v>125</v>
      </c>
      <c r="E907" t="s">
        <v>126</v>
      </c>
      <c r="F907" t="s">
        <v>62</v>
      </c>
      <c r="G907" s="56">
        <v>594000</v>
      </c>
    </row>
    <row r="908" spans="2:7" x14ac:dyDescent="0.15">
      <c r="B908">
        <v>2026</v>
      </c>
      <c r="C908">
        <v>6</v>
      </c>
      <c r="D908" t="s">
        <v>125</v>
      </c>
      <c r="E908" t="s">
        <v>126</v>
      </c>
      <c r="F908" t="s">
        <v>75</v>
      </c>
      <c r="G908" s="56">
        <v>432000</v>
      </c>
    </row>
    <row r="909" spans="2:7" x14ac:dyDescent="0.15">
      <c r="B909">
        <v>2026</v>
      </c>
      <c r="C909">
        <v>6</v>
      </c>
      <c r="D909" t="s">
        <v>125</v>
      </c>
      <c r="E909" t="s">
        <v>126</v>
      </c>
      <c r="F909" t="s">
        <v>88</v>
      </c>
      <c r="G909" s="56">
        <v>488000</v>
      </c>
    </row>
    <row r="910" spans="2:7" x14ac:dyDescent="0.15">
      <c r="B910">
        <v>2026</v>
      </c>
      <c r="C910">
        <v>6</v>
      </c>
      <c r="D910" t="s">
        <v>125</v>
      </c>
      <c r="E910" t="s">
        <v>126</v>
      </c>
      <c r="F910" t="s">
        <v>93</v>
      </c>
      <c r="G910" s="56">
        <v>253000</v>
      </c>
    </row>
    <row r="911" spans="2:7" x14ac:dyDescent="0.15">
      <c r="B911">
        <v>2026</v>
      </c>
      <c r="C911">
        <v>6</v>
      </c>
      <c r="D911" t="s">
        <v>70</v>
      </c>
      <c r="E911" t="s">
        <v>84</v>
      </c>
      <c r="F911" t="s">
        <v>55</v>
      </c>
      <c r="G911" s="56">
        <v>1593000</v>
      </c>
    </row>
    <row r="912" spans="2:7" x14ac:dyDescent="0.15">
      <c r="B912">
        <v>2026</v>
      </c>
      <c r="C912">
        <v>6</v>
      </c>
      <c r="D912" t="s">
        <v>70</v>
      </c>
      <c r="E912" t="s">
        <v>84</v>
      </c>
      <c r="F912" t="s">
        <v>62</v>
      </c>
      <c r="G912" s="56">
        <v>900000</v>
      </c>
    </row>
    <row r="913" spans="2:7" x14ac:dyDescent="0.15">
      <c r="B913">
        <v>2026</v>
      </c>
      <c r="C913">
        <v>6</v>
      </c>
      <c r="D913" t="s">
        <v>70</v>
      </c>
      <c r="E913" t="s">
        <v>84</v>
      </c>
      <c r="F913" t="s">
        <v>75</v>
      </c>
      <c r="G913" s="56">
        <v>656000</v>
      </c>
    </row>
    <row r="914" spans="2:7" x14ac:dyDescent="0.15">
      <c r="B914">
        <v>2026</v>
      </c>
      <c r="C914">
        <v>6</v>
      </c>
      <c r="D914" t="s">
        <v>70</v>
      </c>
      <c r="E914" t="s">
        <v>84</v>
      </c>
      <c r="F914" t="s">
        <v>88</v>
      </c>
      <c r="G914" s="56">
        <v>742000</v>
      </c>
    </row>
    <row r="915" spans="2:7" x14ac:dyDescent="0.15">
      <c r="B915">
        <v>2026</v>
      </c>
      <c r="C915">
        <v>6</v>
      </c>
      <c r="D915" t="s">
        <v>70</v>
      </c>
      <c r="E915" t="s">
        <v>84</v>
      </c>
      <c r="F915" t="s">
        <v>93</v>
      </c>
      <c r="G915" s="56">
        <v>391000</v>
      </c>
    </row>
    <row r="916" spans="2:7" x14ac:dyDescent="0.15">
      <c r="B916">
        <v>2026</v>
      </c>
      <c r="C916">
        <v>6</v>
      </c>
      <c r="D916" t="s">
        <v>70</v>
      </c>
      <c r="E916" t="s">
        <v>71</v>
      </c>
      <c r="F916" t="s">
        <v>55</v>
      </c>
      <c r="G916" s="56">
        <v>1181000</v>
      </c>
    </row>
    <row r="917" spans="2:7" x14ac:dyDescent="0.15">
      <c r="B917">
        <v>2026</v>
      </c>
      <c r="C917">
        <v>6</v>
      </c>
      <c r="D917" t="s">
        <v>70</v>
      </c>
      <c r="E917" t="s">
        <v>71</v>
      </c>
      <c r="F917" t="s">
        <v>62</v>
      </c>
      <c r="G917" s="56">
        <v>663000</v>
      </c>
    </row>
    <row r="918" spans="2:7" x14ac:dyDescent="0.15">
      <c r="B918">
        <v>2026</v>
      </c>
      <c r="C918">
        <v>6</v>
      </c>
      <c r="D918" t="s">
        <v>70</v>
      </c>
      <c r="E918" t="s">
        <v>71</v>
      </c>
      <c r="F918" t="s">
        <v>75</v>
      </c>
      <c r="G918" s="56">
        <v>491000</v>
      </c>
    </row>
    <row r="919" spans="2:7" x14ac:dyDescent="0.15">
      <c r="B919">
        <v>2026</v>
      </c>
      <c r="C919">
        <v>6</v>
      </c>
      <c r="D919" t="s">
        <v>70</v>
      </c>
      <c r="E919" t="s">
        <v>71</v>
      </c>
      <c r="F919" t="s">
        <v>88</v>
      </c>
      <c r="G919" s="56">
        <v>542000</v>
      </c>
    </row>
    <row r="920" spans="2:7" x14ac:dyDescent="0.15">
      <c r="B920">
        <v>2026</v>
      </c>
      <c r="C920">
        <v>6</v>
      </c>
      <c r="D920" t="s">
        <v>70</v>
      </c>
      <c r="E920" t="s">
        <v>71</v>
      </c>
      <c r="F920" t="s">
        <v>93</v>
      </c>
      <c r="G920" s="56">
        <v>273000</v>
      </c>
    </row>
    <row r="921" spans="2:7" x14ac:dyDescent="0.15">
      <c r="B921">
        <v>2026</v>
      </c>
      <c r="C921">
        <v>7</v>
      </c>
      <c r="D921" t="s">
        <v>64</v>
      </c>
      <c r="E921" t="s">
        <v>65</v>
      </c>
      <c r="F921" t="s">
        <v>55</v>
      </c>
      <c r="G921" s="56">
        <v>4546000</v>
      </c>
    </row>
    <row r="922" spans="2:7" x14ac:dyDescent="0.15">
      <c r="B922">
        <v>2026</v>
      </c>
      <c r="C922">
        <v>7</v>
      </c>
      <c r="D922" t="s">
        <v>64</v>
      </c>
      <c r="E922" t="s">
        <v>65</v>
      </c>
      <c r="F922" t="s">
        <v>62</v>
      </c>
      <c r="G922" s="56">
        <v>2600000</v>
      </c>
    </row>
    <row r="923" spans="2:7" x14ac:dyDescent="0.15">
      <c r="B923">
        <v>2026</v>
      </c>
      <c r="C923">
        <v>7</v>
      </c>
      <c r="D923" t="s">
        <v>64</v>
      </c>
      <c r="E923" t="s">
        <v>65</v>
      </c>
      <c r="F923" t="s">
        <v>75</v>
      </c>
      <c r="G923" s="56">
        <v>1861000</v>
      </c>
    </row>
    <row r="924" spans="2:7" x14ac:dyDescent="0.15">
      <c r="B924">
        <v>2026</v>
      </c>
      <c r="C924">
        <v>7</v>
      </c>
      <c r="D924" t="s">
        <v>64</v>
      </c>
      <c r="E924" t="s">
        <v>65</v>
      </c>
      <c r="F924" t="s">
        <v>88</v>
      </c>
      <c r="G924" s="56">
        <v>2028000</v>
      </c>
    </row>
    <row r="925" spans="2:7" x14ac:dyDescent="0.15">
      <c r="B925">
        <v>2026</v>
      </c>
      <c r="C925">
        <v>7</v>
      </c>
      <c r="D925" t="s">
        <v>64</v>
      </c>
      <c r="E925" t="s">
        <v>65</v>
      </c>
      <c r="F925" t="s">
        <v>93</v>
      </c>
      <c r="G925" s="56">
        <v>1120000</v>
      </c>
    </row>
    <row r="926" spans="2:7" x14ac:dyDescent="0.15">
      <c r="B926">
        <v>2026</v>
      </c>
      <c r="C926">
        <v>7</v>
      </c>
      <c r="D926" t="s">
        <v>64</v>
      </c>
      <c r="E926" t="s">
        <v>96</v>
      </c>
      <c r="F926" t="s">
        <v>55</v>
      </c>
      <c r="G926" s="56">
        <v>3710000</v>
      </c>
    </row>
    <row r="927" spans="2:7" x14ac:dyDescent="0.15">
      <c r="B927">
        <v>2026</v>
      </c>
      <c r="C927">
        <v>7</v>
      </c>
      <c r="D927" t="s">
        <v>64</v>
      </c>
      <c r="E927" t="s">
        <v>96</v>
      </c>
      <c r="F927" t="s">
        <v>62</v>
      </c>
      <c r="G927" s="56">
        <v>2128000</v>
      </c>
    </row>
    <row r="928" spans="2:7" x14ac:dyDescent="0.15">
      <c r="B928">
        <v>2026</v>
      </c>
      <c r="C928">
        <v>7</v>
      </c>
      <c r="D928" t="s">
        <v>64</v>
      </c>
      <c r="E928" t="s">
        <v>96</v>
      </c>
      <c r="F928" t="s">
        <v>75</v>
      </c>
      <c r="G928" s="56">
        <v>1559000</v>
      </c>
    </row>
    <row r="929" spans="2:7" x14ac:dyDescent="0.15">
      <c r="B929">
        <v>2026</v>
      </c>
      <c r="C929">
        <v>7</v>
      </c>
      <c r="D929" t="s">
        <v>64</v>
      </c>
      <c r="E929" t="s">
        <v>96</v>
      </c>
      <c r="F929" t="s">
        <v>88</v>
      </c>
      <c r="G929" s="56">
        <v>1679000</v>
      </c>
    </row>
    <row r="930" spans="2:7" x14ac:dyDescent="0.15">
      <c r="B930">
        <v>2026</v>
      </c>
      <c r="C930">
        <v>7</v>
      </c>
      <c r="D930" t="s">
        <v>64</v>
      </c>
      <c r="E930" t="s">
        <v>96</v>
      </c>
      <c r="F930" t="s">
        <v>93</v>
      </c>
      <c r="G930" s="56">
        <v>912000</v>
      </c>
    </row>
    <row r="931" spans="2:7" x14ac:dyDescent="0.15">
      <c r="B931">
        <v>2026</v>
      </c>
      <c r="C931">
        <v>7</v>
      </c>
      <c r="D931" t="s">
        <v>77</v>
      </c>
      <c r="E931" t="s">
        <v>107</v>
      </c>
      <c r="F931" t="s">
        <v>55</v>
      </c>
      <c r="G931" s="56">
        <v>3189000</v>
      </c>
    </row>
    <row r="932" spans="2:7" x14ac:dyDescent="0.15">
      <c r="B932">
        <v>2026</v>
      </c>
      <c r="C932">
        <v>7</v>
      </c>
      <c r="D932" t="s">
        <v>77</v>
      </c>
      <c r="E932" t="s">
        <v>107</v>
      </c>
      <c r="F932" t="s">
        <v>62</v>
      </c>
      <c r="G932" s="56">
        <v>1821000</v>
      </c>
    </row>
    <row r="933" spans="2:7" x14ac:dyDescent="0.15">
      <c r="B933">
        <v>2026</v>
      </c>
      <c r="C933">
        <v>7</v>
      </c>
      <c r="D933" t="s">
        <v>77</v>
      </c>
      <c r="E933" t="s">
        <v>107</v>
      </c>
      <c r="F933" t="s">
        <v>75</v>
      </c>
      <c r="G933" s="56">
        <v>1342000</v>
      </c>
    </row>
    <row r="934" spans="2:7" x14ac:dyDescent="0.15">
      <c r="B934">
        <v>2026</v>
      </c>
      <c r="C934">
        <v>7</v>
      </c>
      <c r="D934" t="s">
        <v>77</v>
      </c>
      <c r="E934" t="s">
        <v>107</v>
      </c>
      <c r="F934" t="s">
        <v>88</v>
      </c>
      <c r="G934" s="56">
        <v>1475000</v>
      </c>
    </row>
    <row r="935" spans="2:7" x14ac:dyDescent="0.15">
      <c r="B935">
        <v>2026</v>
      </c>
      <c r="C935">
        <v>7</v>
      </c>
      <c r="D935" t="s">
        <v>77</v>
      </c>
      <c r="E935" t="s">
        <v>107</v>
      </c>
      <c r="F935" t="s">
        <v>93</v>
      </c>
      <c r="G935" s="56">
        <v>768000</v>
      </c>
    </row>
    <row r="936" spans="2:7" x14ac:dyDescent="0.15">
      <c r="B936">
        <v>2026</v>
      </c>
      <c r="C936">
        <v>7</v>
      </c>
      <c r="D936" t="s">
        <v>77</v>
      </c>
      <c r="E936" t="s">
        <v>78</v>
      </c>
      <c r="F936" t="s">
        <v>55</v>
      </c>
      <c r="G936" s="56">
        <v>2073000</v>
      </c>
    </row>
    <row r="937" spans="2:7" x14ac:dyDescent="0.15">
      <c r="B937">
        <v>2026</v>
      </c>
      <c r="C937">
        <v>7</v>
      </c>
      <c r="D937" t="s">
        <v>77</v>
      </c>
      <c r="E937" t="s">
        <v>78</v>
      </c>
      <c r="F937" t="s">
        <v>62</v>
      </c>
      <c r="G937" s="56">
        <v>1227000</v>
      </c>
    </row>
    <row r="938" spans="2:7" x14ac:dyDescent="0.15">
      <c r="B938">
        <v>2026</v>
      </c>
      <c r="C938">
        <v>7</v>
      </c>
      <c r="D938" t="s">
        <v>77</v>
      </c>
      <c r="E938" t="s">
        <v>78</v>
      </c>
      <c r="F938" t="s">
        <v>75</v>
      </c>
      <c r="G938" s="56">
        <v>882000</v>
      </c>
    </row>
    <row r="939" spans="2:7" x14ac:dyDescent="0.15">
      <c r="B939">
        <v>2026</v>
      </c>
      <c r="C939">
        <v>7</v>
      </c>
      <c r="D939" t="s">
        <v>77</v>
      </c>
      <c r="E939" t="s">
        <v>78</v>
      </c>
      <c r="F939" t="s">
        <v>88</v>
      </c>
      <c r="G939" s="56">
        <v>965000</v>
      </c>
    </row>
    <row r="940" spans="2:7" x14ac:dyDescent="0.15">
      <c r="B940">
        <v>2026</v>
      </c>
      <c r="C940">
        <v>7</v>
      </c>
      <c r="D940" t="s">
        <v>77</v>
      </c>
      <c r="E940" t="s">
        <v>78</v>
      </c>
      <c r="F940" t="s">
        <v>93</v>
      </c>
      <c r="G940" s="56">
        <v>519000</v>
      </c>
    </row>
    <row r="941" spans="2:7" x14ac:dyDescent="0.15">
      <c r="B941">
        <v>2026</v>
      </c>
      <c r="C941">
        <v>7</v>
      </c>
      <c r="D941" t="s">
        <v>57</v>
      </c>
      <c r="E941" t="s">
        <v>81</v>
      </c>
      <c r="F941" t="s">
        <v>55</v>
      </c>
      <c r="G941" s="56">
        <v>2647000</v>
      </c>
    </row>
    <row r="942" spans="2:7" x14ac:dyDescent="0.15">
      <c r="B942">
        <v>2026</v>
      </c>
      <c r="C942">
        <v>7</v>
      </c>
      <c r="D942" t="s">
        <v>57</v>
      </c>
      <c r="E942" t="s">
        <v>81</v>
      </c>
      <c r="F942" t="s">
        <v>62</v>
      </c>
      <c r="G942" s="56">
        <v>1534000</v>
      </c>
    </row>
    <row r="943" spans="2:7" x14ac:dyDescent="0.15">
      <c r="B943">
        <v>2026</v>
      </c>
      <c r="C943">
        <v>7</v>
      </c>
      <c r="D943" t="s">
        <v>57</v>
      </c>
      <c r="E943" t="s">
        <v>81</v>
      </c>
      <c r="F943" t="s">
        <v>75</v>
      </c>
      <c r="G943" s="56">
        <v>1132000</v>
      </c>
    </row>
    <row r="944" spans="2:7" x14ac:dyDescent="0.15">
      <c r="B944">
        <v>2026</v>
      </c>
      <c r="C944">
        <v>7</v>
      </c>
      <c r="D944" t="s">
        <v>57</v>
      </c>
      <c r="E944" t="s">
        <v>81</v>
      </c>
      <c r="F944" t="s">
        <v>88</v>
      </c>
      <c r="G944" s="56">
        <v>1209000</v>
      </c>
    </row>
    <row r="945" spans="2:7" x14ac:dyDescent="0.15">
      <c r="B945">
        <v>2026</v>
      </c>
      <c r="C945">
        <v>7</v>
      </c>
      <c r="D945" t="s">
        <v>57</v>
      </c>
      <c r="E945" t="s">
        <v>81</v>
      </c>
      <c r="F945" t="s">
        <v>93</v>
      </c>
      <c r="G945" s="56">
        <v>654000</v>
      </c>
    </row>
    <row r="946" spans="2:7" x14ac:dyDescent="0.15">
      <c r="B946">
        <v>2026</v>
      </c>
      <c r="C946">
        <v>7</v>
      </c>
      <c r="D946" t="s">
        <v>57</v>
      </c>
      <c r="E946" t="s">
        <v>58</v>
      </c>
      <c r="F946" t="s">
        <v>55</v>
      </c>
      <c r="G946" s="56">
        <v>1616000</v>
      </c>
    </row>
    <row r="947" spans="2:7" x14ac:dyDescent="0.15">
      <c r="B947">
        <v>2026</v>
      </c>
      <c r="C947">
        <v>7</v>
      </c>
      <c r="D947" t="s">
        <v>57</v>
      </c>
      <c r="E947" t="s">
        <v>58</v>
      </c>
      <c r="F947" t="s">
        <v>62</v>
      </c>
      <c r="G947" s="56">
        <v>962000</v>
      </c>
    </row>
    <row r="948" spans="2:7" x14ac:dyDescent="0.15">
      <c r="B948">
        <v>2026</v>
      </c>
      <c r="C948">
        <v>7</v>
      </c>
      <c r="D948" t="s">
        <v>57</v>
      </c>
      <c r="E948" t="s">
        <v>58</v>
      </c>
      <c r="F948" t="s">
        <v>75</v>
      </c>
      <c r="G948" s="56">
        <v>693000</v>
      </c>
    </row>
    <row r="949" spans="2:7" x14ac:dyDescent="0.15">
      <c r="B949">
        <v>2026</v>
      </c>
      <c r="C949">
        <v>7</v>
      </c>
      <c r="D949" t="s">
        <v>57</v>
      </c>
      <c r="E949" t="s">
        <v>58</v>
      </c>
      <c r="F949" t="s">
        <v>88</v>
      </c>
      <c r="G949" s="56">
        <v>750000</v>
      </c>
    </row>
    <row r="950" spans="2:7" x14ac:dyDescent="0.15">
      <c r="B950">
        <v>2026</v>
      </c>
      <c r="C950">
        <v>7</v>
      </c>
      <c r="D950" t="s">
        <v>57</v>
      </c>
      <c r="E950" t="s">
        <v>58</v>
      </c>
      <c r="F950" t="s">
        <v>93</v>
      </c>
      <c r="G950" s="56">
        <v>407000</v>
      </c>
    </row>
    <row r="951" spans="2:7" x14ac:dyDescent="0.15">
      <c r="B951">
        <v>2026</v>
      </c>
      <c r="C951">
        <v>7</v>
      </c>
      <c r="D951" t="s">
        <v>125</v>
      </c>
      <c r="E951" t="s">
        <v>138</v>
      </c>
      <c r="F951" t="s">
        <v>55</v>
      </c>
      <c r="G951" s="56">
        <v>1903000</v>
      </c>
    </row>
    <row r="952" spans="2:7" x14ac:dyDescent="0.15">
      <c r="B952">
        <v>2026</v>
      </c>
      <c r="C952">
        <v>7</v>
      </c>
      <c r="D952" t="s">
        <v>125</v>
      </c>
      <c r="E952" t="s">
        <v>138</v>
      </c>
      <c r="F952" t="s">
        <v>62</v>
      </c>
      <c r="G952" s="56">
        <v>1137000</v>
      </c>
    </row>
    <row r="953" spans="2:7" x14ac:dyDescent="0.15">
      <c r="B953">
        <v>2026</v>
      </c>
      <c r="C953">
        <v>7</v>
      </c>
      <c r="D953" t="s">
        <v>125</v>
      </c>
      <c r="E953" t="s">
        <v>138</v>
      </c>
      <c r="F953" t="s">
        <v>75</v>
      </c>
      <c r="G953" s="56">
        <v>826000</v>
      </c>
    </row>
    <row r="954" spans="2:7" x14ac:dyDescent="0.15">
      <c r="B954">
        <v>2026</v>
      </c>
      <c r="C954">
        <v>7</v>
      </c>
      <c r="D954" t="s">
        <v>125</v>
      </c>
      <c r="E954" t="s">
        <v>138</v>
      </c>
      <c r="F954" t="s">
        <v>88</v>
      </c>
      <c r="G954" s="56">
        <v>908000</v>
      </c>
    </row>
    <row r="955" spans="2:7" x14ac:dyDescent="0.15">
      <c r="B955">
        <v>2026</v>
      </c>
      <c r="C955">
        <v>7</v>
      </c>
      <c r="D955" t="s">
        <v>125</v>
      </c>
      <c r="E955" t="s">
        <v>138</v>
      </c>
      <c r="F955" t="s">
        <v>93</v>
      </c>
      <c r="G955" s="56">
        <v>477000</v>
      </c>
    </row>
    <row r="956" spans="2:7" x14ac:dyDescent="0.15">
      <c r="B956">
        <v>2026</v>
      </c>
      <c r="C956">
        <v>7</v>
      </c>
      <c r="D956" t="s">
        <v>125</v>
      </c>
      <c r="E956" t="s">
        <v>126</v>
      </c>
      <c r="F956" t="s">
        <v>55</v>
      </c>
      <c r="G956" s="56">
        <v>1016000</v>
      </c>
    </row>
    <row r="957" spans="2:7" x14ac:dyDescent="0.15">
      <c r="B957">
        <v>2026</v>
      </c>
      <c r="C957">
        <v>7</v>
      </c>
      <c r="D957" t="s">
        <v>125</v>
      </c>
      <c r="E957" t="s">
        <v>126</v>
      </c>
      <c r="F957" t="s">
        <v>62</v>
      </c>
      <c r="G957" s="56">
        <v>607000</v>
      </c>
    </row>
    <row r="958" spans="2:7" x14ac:dyDescent="0.15">
      <c r="B958">
        <v>2026</v>
      </c>
      <c r="C958">
        <v>7</v>
      </c>
      <c r="D958" t="s">
        <v>125</v>
      </c>
      <c r="E958" t="s">
        <v>126</v>
      </c>
      <c r="F958" t="s">
        <v>75</v>
      </c>
      <c r="G958" s="56">
        <v>442000</v>
      </c>
    </row>
    <row r="959" spans="2:7" x14ac:dyDescent="0.15">
      <c r="B959">
        <v>2026</v>
      </c>
      <c r="C959">
        <v>7</v>
      </c>
      <c r="D959" t="s">
        <v>125</v>
      </c>
      <c r="E959" t="s">
        <v>126</v>
      </c>
      <c r="F959" t="s">
        <v>88</v>
      </c>
      <c r="G959" s="56">
        <v>481000</v>
      </c>
    </row>
    <row r="960" spans="2:7" x14ac:dyDescent="0.15">
      <c r="B960">
        <v>2026</v>
      </c>
      <c r="C960">
        <v>7</v>
      </c>
      <c r="D960" t="s">
        <v>125</v>
      </c>
      <c r="E960" t="s">
        <v>126</v>
      </c>
      <c r="F960" t="s">
        <v>93</v>
      </c>
      <c r="G960" s="56">
        <v>258000</v>
      </c>
    </row>
    <row r="961" spans="2:7" x14ac:dyDescent="0.15">
      <c r="B961">
        <v>2026</v>
      </c>
      <c r="C961">
        <v>7</v>
      </c>
      <c r="D961" t="s">
        <v>70</v>
      </c>
      <c r="E961" t="s">
        <v>84</v>
      </c>
      <c r="F961" t="s">
        <v>55</v>
      </c>
      <c r="G961" s="56">
        <v>1591000</v>
      </c>
    </row>
    <row r="962" spans="2:7" x14ac:dyDescent="0.15">
      <c r="B962">
        <v>2026</v>
      </c>
      <c r="C962">
        <v>7</v>
      </c>
      <c r="D962" t="s">
        <v>70</v>
      </c>
      <c r="E962" t="s">
        <v>84</v>
      </c>
      <c r="F962" t="s">
        <v>62</v>
      </c>
      <c r="G962" s="56">
        <v>928000</v>
      </c>
    </row>
    <row r="963" spans="2:7" x14ac:dyDescent="0.15">
      <c r="B963">
        <v>2026</v>
      </c>
      <c r="C963">
        <v>7</v>
      </c>
      <c r="D963" t="s">
        <v>70</v>
      </c>
      <c r="E963" t="s">
        <v>84</v>
      </c>
      <c r="F963" t="s">
        <v>75</v>
      </c>
      <c r="G963" s="56">
        <v>661000</v>
      </c>
    </row>
    <row r="964" spans="2:7" x14ac:dyDescent="0.15">
      <c r="B964">
        <v>2026</v>
      </c>
      <c r="C964">
        <v>7</v>
      </c>
      <c r="D964" t="s">
        <v>70</v>
      </c>
      <c r="E964" t="s">
        <v>84</v>
      </c>
      <c r="F964" t="s">
        <v>88</v>
      </c>
      <c r="G964" s="56">
        <v>730000</v>
      </c>
    </row>
    <row r="965" spans="2:7" x14ac:dyDescent="0.15">
      <c r="B965">
        <v>2026</v>
      </c>
      <c r="C965">
        <v>7</v>
      </c>
      <c r="D965" t="s">
        <v>70</v>
      </c>
      <c r="E965" t="s">
        <v>84</v>
      </c>
      <c r="F965" t="s">
        <v>93</v>
      </c>
      <c r="G965" s="56">
        <v>400000</v>
      </c>
    </row>
    <row r="966" spans="2:7" x14ac:dyDescent="0.15">
      <c r="B966">
        <v>2026</v>
      </c>
      <c r="C966">
        <v>7</v>
      </c>
      <c r="D966" t="s">
        <v>70</v>
      </c>
      <c r="E966" t="s">
        <v>71</v>
      </c>
      <c r="F966" t="s">
        <v>55</v>
      </c>
      <c r="G966" s="56">
        <v>1151000</v>
      </c>
    </row>
    <row r="967" spans="2:7" x14ac:dyDescent="0.15">
      <c r="B967">
        <v>2026</v>
      </c>
      <c r="C967">
        <v>7</v>
      </c>
      <c r="D967" t="s">
        <v>70</v>
      </c>
      <c r="E967" t="s">
        <v>71</v>
      </c>
      <c r="F967" t="s">
        <v>62</v>
      </c>
      <c r="G967" s="56">
        <v>670000</v>
      </c>
    </row>
    <row r="968" spans="2:7" x14ac:dyDescent="0.15">
      <c r="B968">
        <v>2026</v>
      </c>
      <c r="C968">
        <v>7</v>
      </c>
      <c r="D968" t="s">
        <v>70</v>
      </c>
      <c r="E968" t="s">
        <v>71</v>
      </c>
      <c r="F968" t="s">
        <v>75</v>
      </c>
      <c r="G968" s="56">
        <v>495000</v>
      </c>
    </row>
    <row r="969" spans="2:7" x14ac:dyDescent="0.15">
      <c r="B969">
        <v>2026</v>
      </c>
      <c r="C969">
        <v>7</v>
      </c>
      <c r="D969" t="s">
        <v>70</v>
      </c>
      <c r="E969" t="s">
        <v>71</v>
      </c>
      <c r="F969" t="s">
        <v>88</v>
      </c>
      <c r="G969" s="56">
        <v>542000</v>
      </c>
    </row>
    <row r="970" spans="2:7" x14ac:dyDescent="0.15">
      <c r="B970">
        <v>2026</v>
      </c>
      <c r="C970">
        <v>7</v>
      </c>
      <c r="D970" t="s">
        <v>70</v>
      </c>
      <c r="E970" t="s">
        <v>71</v>
      </c>
      <c r="F970" t="s">
        <v>93</v>
      </c>
      <c r="G970" s="56">
        <v>288000</v>
      </c>
    </row>
    <row r="971" spans="2:7" x14ac:dyDescent="0.15">
      <c r="B971">
        <v>2026</v>
      </c>
      <c r="C971">
        <v>8</v>
      </c>
      <c r="D971" t="s">
        <v>64</v>
      </c>
      <c r="E971" t="s">
        <v>65</v>
      </c>
      <c r="F971" t="s">
        <v>55</v>
      </c>
      <c r="G971" s="56">
        <v>4059000</v>
      </c>
    </row>
    <row r="972" spans="2:7" x14ac:dyDescent="0.15">
      <c r="B972">
        <v>2026</v>
      </c>
      <c r="C972">
        <v>8</v>
      </c>
      <c r="D972" t="s">
        <v>64</v>
      </c>
      <c r="E972" t="s">
        <v>65</v>
      </c>
      <c r="F972" t="s">
        <v>62</v>
      </c>
      <c r="G972" s="56">
        <v>2350000</v>
      </c>
    </row>
    <row r="973" spans="2:7" x14ac:dyDescent="0.15">
      <c r="B973">
        <v>2026</v>
      </c>
      <c r="C973">
        <v>8</v>
      </c>
      <c r="D973" t="s">
        <v>64</v>
      </c>
      <c r="E973" t="s">
        <v>65</v>
      </c>
      <c r="F973" t="s">
        <v>75</v>
      </c>
      <c r="G973" s="56">
        <v>1688000</v>
      </c>
    </row>
    <row r="974" spans="2:7" x14ac:dyDescent="0.15">
      <c r="B974">
        <v>2026</v>
      </c>
      <c r="C974">
        <v>8</v>
      </c>
      <c r="D974" t="s">
        <v>64</v>
      </c>
      <c r="E974" t="s">
        <v>65</v>
      </c>
      <c r="F974" t="s">
        <v>88</v>
      </c>
      <c r="G974" s="56">
        <v>1471000</v>
      </c>
    </row>
    <row r="975" spans="2:7" x14ac:dyDescent="0.15">
      <c r="B975">
        <v>2026</v>
      </c>
      <c r="C975">
        <v>8</v>
      </c>
      <c r="D975" t="s">
        <v>64</v>
      </c>
      <c r="E975" t="s">
        <v>65</v>
      </c>
      <c r="F975" t="s">
        <v>93</v>
      </c>
      <c r="G975" s="56">
        <v>998000</v>
      </c>
    </row>
    <row r="976" spans="2:7" x14ac:dyDescent="0.15">
      <c r="B976">
        <v>2026</v>
      </c>
      <c r="C976">
        <v>8</v>
      </c>
      <c r="D976" t="s">
        <v>64</v>
      </c>
      <c r="E976" t="s">
        <v>96</v>
      </c>
      <c r="F976" t="s">
        <v>55</v>
      </c>
      <c r="G976" s="56">
        <v>3359000</v>
      </c>
    </row>
    <row r="977" spans="2:7" x14ac:dyDescent="0.15">
      <c r="B977">
        <v>2026</v>
      </c>
      <c r="C977">
        <v>8</v>
      </c>
      <c r="D977" t="s">
        <v>64</v>
      </c>
      <c r="E977" t="s">
        <v>96</v>
      </c>
      <c r="F977" t="s">
        <v>62</v>
      </c>
      <c r="G977" s="56">
        <v>1952000</v>
      </c>
    </row>
    <row r="978" spans="2:7" x14ac:dyDescent="0.15">
      <c r="B978">
        <v>2026</v>
      </c>
      <c r="C978">
        <v>8</v>
      </c>
      <c r="D978" t="s">
        <v>64</v>
      </c>
      <c r="E978" t="s">
        <v>96</v>
      </c>
      <c r="F978" t="s">
        <v>75</v>
      </c>
      <c r="G978" s="56">
        <v>1383000</v>
      </c>
    </row>
    <row r="979" spans="2:7" x14ac:dyDescent="0.15">
      <c r="B979">
        <v>2026</v>
      </c>
      <c r="C979">
        <v>8</v>
      </c>
      <c r="D979" t="s">
        <v>64</v>
      </c>
      <c r="E979" t="s">
        <v>96</v>
      </c>
      <c r="F979" t="s">
        <v>88</v>
      </c>
      <c r="G979" s="56">
        <v>1212000</v>
      </c>
    </row>
    <row r="980" spans="2:7" x14ac:dyDescent="0.15">
      <c r="B980">
        <v>2026</v>
      </c>
      <c r="C980">
        <v>8</v>
      </c>
      <c r="D980" t="s">
        <v>64</v>
      </c>
      <c r="E980" t="s">
        <v>96</v>
      </c>
      <c r="F980" t="s">
        <v>93</v>
      </c>
      <c r="G980" s="56">
        <v>841000</v>
      </c>
    </row>
    <row r="981" spans="2:7" x14ac:dyDescent="0.15">
      <c r="B981">
        <v>2026</v>
      </c>
      <c r="C981">
        <v>8</v>
      </c>
      <c r="D981" t="s">
        <v>77</v>
      </c>
      <c r="E981" t="s">
        <v>107</v>
      </c>
      <c r="F981" t="s">
        <v>55</v>
      </c>
      <c r="G981" s="56">
        <v>2863000</v>
      </c>
    </row>
    <row r="982" spans="2:7" x14ac:dyDescent="0.15">
      <c r="B982">
        <v>2026</v>
      </c>
      <c r="C982">
        <v>8</v>
      </c>
      <c r="D982" t="s">
        <v>77</v>
      </c>
      <c r="E982" t="s">
        <v>107</v>
      </c>
      <c r="F982" t="s">
        <v>62</v>
      </c>
      <c r="G982" s="56">
        <v>1651000</v>
      </c>
    </row>
    <row r="983" spans="2:7" x14ac:dyDescent="0.15">
      <c r="B983">
        <v>2026</v>
      </c>
      <c r="C983">
        <v>8</v>
      </c>
      <c r="D983" t="s">
        <v>77</v>
      </c>
      <c r="E983" t="s">
        <v>107</v>
      </c>
      <c r="F983" t="s">
        <v>75</v>
      </c>
      <c r="G983" s="56">
        <v>1200000</v>
      </c>
    </row>
    <row r="984" spans="2:7" x14ac:dyDescent="0.15">
      <c r="B984">
        <v>2026</v>
      </c>
      <c r="C984">
        <v>8</v>
      </c>
      <c r="D984" t="s">
        <v>77</v>
      </c>
      <c r="E984" t="s">
        <v>107</v>
      </c>
      <c r="F984" t="s">
        <v>88</v>
      </c>
      <c r="G984" s="56">
        <v>1055000</v>
      </c>
    </row>
    <row r="985" spans="2:7" x14ac:dyDescent="0.15">
      <c r="B985">
        <v>2026</v>
      </c>
      <c r="C985">
        <v>8</v>
      </c>
      <c r="D985" t="s">
        <v>77</v>
      </c>
      <c r="E985" t="s">
        <v>107</v>
      </c>
      <c r="F985" t="s">
        <v>93</v>
      </c>
      <c r="G985" s="56">
        <v>711000</v>
      </c>
    </row>
    <row r="986" spans="2:7" x14ac:dyDescent="0.15">
      <c r="B986">
        <v>2026</v>
      </c>
      <c r="C986">
        <v>8</v>
      </c>
      <c r="D986" t="s">
        <v>77</v>
      </c>
      <c r="E986" t="s">
        <v>78</v>
      </c>
      <c r="F986" t="s">
        <v>55</v>
      </c>
      <c r="G986" s="56">
        <v>1916000</v>
      </c>
    </row>
    <row r="987" spans="2:7" x14ac:dyDescent="0.15">
      <c r="B987">
        <v>2026</v>
      </c>
      <c r="C987">
        <v>8</v>
      </c>
      <c r="D987" t="s">
        <v>77</v>
      </c>
      <c r="E987" t="s">
        <v>78</v>
      </c>
      <c r="F987" t="s">
        <v>62</v>
      </c>
      <c r="G987" s="56">
        <v>1095000</v>
      </c>
    </row>
    <row r="988" spans="2:7" x14ac:dyDescent="0.15">
      <c r="B988">
        <v>2026</v>
      </c>
      <c r="C988">
        <v>8</v>
      </c>
      <c r="D988" t="s">
        <v>77</v>
      </c>
      <c r="E988" t="s">
        <v>78</v>
      </c>
      <c r="F988" t="s">
        <v>75</v>
      </c>
      <c r="G988" s="56">
        <v>788000</v>
      </c>
    </row>
    <row r="989" spans="2:7" x14ac:dyDescent="0.15">
      <c r="B989">
        <v>2026</v>
      </c>
      <c r="C989">
        <v>8</v>
      </c>
      <c r="D989" t="s">
        <v>77</v>
      </c>
      <c r="E989" t="s">
        <v>78</v>
      </c>
      <c r="F989" t="s">
        <v>88</v>
      </c>
      <c r="G989" s="56">
        <v>699000</v>
      </c>
    </row>
    <row r="990" spans="2:7" x14ac:dyDescent="0.15">
      <c r="B990">
        <v>2026</v>
      </c>
      <c r="C990">
        <v>8</v>
      </c>
      <c r="D990" t="s">
        <v>77</v>
      </c>
      <c r="E990" t="s">
        <v>78</v>
      </c>
      <c r="F990" t="s">
        <v>93</v>
      </c>
      <c r="G990" s="56">
        <v>482000</v>
      </c>
    </row>
    <row r="991" spans="2:7" x14ac:dyDescent="0.15">
      <c r="B991">
        <v>2026</v>
      </c>
      <c r="C991">
        <v>8</v>
      </c>
      <c r="D991" t="s">
        <v>57</v>
      </c>
      <c r="E991" t="s">
        <v>81</v>
      </c>
      <c r="F991" t="s">
        <v>55</v>
      </c>
      <c r="G991" s="56">
        <v>2433000</v>
      </c>
    </row>
    <row r="992" spans="2:7" x14ac:dyDescent="0.15">
      <c r="B992">
        <v>2026</v>
      </c>
      <c r="C992">
        <v>8</v>
      </c>
      <c r="D992" t="s">
        <v>57</v>
      </c>
      <c r="E992" t="s">
        <v>81</v>
      </c>
      <c r="F992" t="s">
        <v>62</v>
      </c>
      <c r="G992" s="56">
        <v>1403000</v>
      </c>
    </row>
    <row r="993" spans="2:7" x14ac:dyDescent="0.15">
      <c r="B993">
        <v>2026</v>
      </c>
      <c r="C993">
        <v>8</v>
      </c>
      <c r="D993" t="s">
        <v>57</v>
      </c>
      <c r="E993" t="s">
        <v>81</v>
      </c>
      <c r="F993" t="s">
        <v>75</v>
      </c>
      <c r="G993" s="56">
        <v>994000</v>
      </c>
    </row>
    <row r="994" spans="2:7" x14ac:dyDescent="0.15">
      <c r="B994">
        <v>2026</v>
      </c>
      <c r="C994">
        <v>8</v>
      </c>
      <c r="D994" t="s">
        <v>57</v>
      </c>
      <c r="E994" t="s">
        <v>81</v>
      </c>
      <c r="F994" t="s">
        <v>88</v>
      </c>
      <c r="G994" s="56">
        <v>864000</v>
      </c>
    </row>
    <row r="995" spans="2:7" x14ac:dyDescent="0.15">
      <c r="B995">
        <v>2026</v>
      </c>
      <c r="C995">
        <v>8</v>
      </c>
      <c r="D995" t="s">
        <v>57</v>
      </c>
      <c r="E995" t="s">
        <v>81</v>
      </c>
      <c r="F995" t="s">
        <v>93</v>
      </c>
      <c r="G995" s="56">
        <v>596000</v>
      </c>
    </row>
    <row r="996" spans="2:7" x14ac:dyDescent="0.15">
      <c r="B996">
        <v>2026</v>
      </c>
      <c r="C996">
        <v>8</v>
      </c>
      <c r="D996" t="s">
        <v>57</v>
      </c>
      <c r="E996" t="s">
        <v>58</v>
      </c>
      <c r="F996" t="s">
        <v>55</v>
      </c>
      <c r="G996" s="56">
        <v>1476000</v>
      </c>
    </row>
    <row r="997" spans="2:7" x14ac:dyDescent="0.15">
      <c r="B997">
        <v>2026</v>
      </c>
      <c r="C997">
        <v>8</v>
      </c>
      <c r="D997" t="s">
        <v>57</v>
      </c>
      <c r="E997" t="s">
        <v>58</v>
      </c>
      <c r="F997" t="s">
        <v>62</v>
      </c>
      <c r="G997" s="56">
        <v>840000</v>
      </c>
    </row>
    <row r="998" spans="2:7" x14ac:dyDescent="0.15">
      <c r="B998">
        <v>2026</v>
      </c>
      <c r="C998">
        <v>8</v>
      </c>
      <c r="D998" t="s">
        <v>57</v>
      </c>
      <c r="E998" t="s">
        <v>58</v>
      </c>
      <c r="F998" t="s">
        <v>75</v>
      </c>
      <c r="G998" s="56">
        <v>601000</v>
      </c>
    </row>
    <row r="999" spans="2:7" x14ac:dyDescent="0.15">
      <c r="B999">
        <v>2026</v>
      </c>
      <c r="C999">
        <v>8</v>
      </c>
      <c r="D999" t="s">
        <v>57</v>
      </c>
      <c r="E999" t="s">
        <v>58</v>
      </c>
      <c r="F999" t="s">
        <v>88</v>
      </c>
      <c r="G999" s="56">
        <v>534000</v>
      </c>
    </row>
    <row r="1000" spans="2:7" x14ac:dyDescent="0.15">
      <c r="B1000">
        <v>2026</v>
      </c>
      <c r="C1000">
        <v>8</v>
      </c>
      <c r="D1000" t="s">
        <v>57</v>
      </c>
      <c r="E1000" t="s">
        <v>58</v>
      </c>
      <c r="F1000" t="s">
        <v>93</v>
      </c>
      <c r="G1000" s="56">
        <v>363000</v>
      </c>
    </row>
    <row r="1001" spans="2:7" x14ac:dyDescent="0.15">
      <c r="B1001">
        <v>2026</v>
      </c>
      <c r="C1001">
        <v>8</v>
      </c>
      <c r="D1001" t="s">
        <v>125</v>
      </c>
      <c r="E1001" t="s">
        <v>138</v>
      </c>
      <c r="F1001" t="s">
        <v>55</v>
      </c>
      <c r="G1001" s="56">
        <v>1727000</v>
      </c>
    </row>
    <row r="1002" spans="2:7" x14ac:dyDescent="0.15">
      <c r="B1002">
        <v>2026</v>
      </c>
      <c r="C1002">
        <v>8</v>
      </c>
      <c r="D1002" t="s">
        <v>125</v>
      </c>
      <c r="E1002" t="s">
        <v>138</v>
      </c>
      <c r="F1002" t="s">
        <v>62</v>
      </c>
      <c r="G1002" s="56">
        <v>996000</v>
      </c>
    </row>
    <row r="1003" spans="2:7" x14ac:dyDescent="0.15">
      <c r="B1003">
        <v>2026</v>
      </c>
      <c r="C1003">
        <v>8</v>
      </c>
      <c r="D1003" t="s">
        <v>125</v>
      </c>
      <c r="E1003" t="s">
        <v>138</v>
      </c>
      <c r="F1003" t="s">
        <v>75</v>
      </c>
      <c r="G1003" s="56">
        <v>715000</v>
      </c>
    </row>
    <row r="1004" spans="2:7" x14ac:dyDescent="0.15">
      <c r="B1004">
        <v>2026</v>
      </c>
      <c r="C1004">
        <v>8</v>
      </c>
      <c r="D1004" t="s">
        <v>125</v>
      </c>
      <c r="E1004" t="s">
        <v>138</v>
      </c>
      <c r="F1004" t="s">
        <v>88</v>
      </c>
      <c r="G1004" s="56">
        <v>630000</v>
      </c>
    </row>
    <row r="1005" spans="2:7" x14ac:dyDescent="0.15">
      <c r="B1005">
        <v>2026</v>
      </c>
      <c r="C1005">
        <v>8</v>
      </c>
      <c r="D1005" t="s">
        <v>125</v>
      </c>
      <c r="E1005" t="s">
        <v>138</v>
      </c>
      <c r="F1005" t="s">
        <v>93</v>
      </c>
      <c r="G1005" s="56">
        <v>429000</v>
      </c>
    </row>
    <row r="1006" spans="2:7" x14ac:dyDescent="0.15">
      <c r="B1006">
        <v>2026</v>
      </c>
      <c r="C1006">
        <v>8</v>
      </c>
      <c r="D1006" t="s">
        <v>125</v>
      </c>
      <c r="E1006" t="s">
        <v>126</v>
      </c>
      <c r="F1006" t="s">
        <v>55</v>
      </c>
      <c r="G1006" s="56">
        <v>944000</v>
      </c>
    </row>
    <row r="1007" spans="2:7" x14ac:dyDescent="0.15">
      <c r="B1007">
        <v>2026</v>
      </c>
      <c r="C1007">
        <v>8</v>
      </c>
      <c r="D1007" t="s">
        <v>125</v>
      </c>
      <c r="E1007" t="s">
        <v>126</v>
      </c>
      <c r="F1007" t="s">
        <v>62</v>
      </c>
      <c r="G1007" s="56">
        <v>547000</v>
      </c>
    </row>
    <row r="1008" spans="2:7" x14ac:dyDescent="0.15">
      <c r="B1008">
        <v>2026</v>
      </c>
      <c r="C1008">
        <v>8</v>
      </c>
      <c r="D1008" t="s">
        <v>125</v>
      </c>
      <c r="E1008" t="s">
        <v>126</v>
      </c>
      <c r="F1008" t="s">
        <v>75</v>
      </c>
      <c r="G1008" s="56">
        <v>396000</v>
      </c>
    </row>
    <row r="1009" spans="2:7" x14ac:dyDescent="0.15">
      <c r="B1009">
        <v>2026</v>
      </c>
      <c r="C1009">
        <v>8</v>
      </c>
      <c r="D1009" t="s">
        <v>125</v>
      </c>
      <c r="E1009" t="s">
        <v>126</v>
      </c>
      <c r="F1009" t="s">
        <v>88</v>
      </c>
      <c r="G1009" s="56">
        <v>350000</v>
      </c>
    </row>
    <row r="1010" spans="2:7" x14ac:dyDescent="0.15">
      <c r="B1010">
        <v>2026</v>
      </c>
      <c r="C1010">
        <v>8</v>
      </c>
      <c r="D1010" t="s">
        <v>125</v>
      </c>
      <c r="E1010" t="s">
        <v>126</v>
      </c>
      <c r="F1010" t="s">
        <v>93</v>
      </c>
      <c r="G1010" s="56">
        <v>236000</v>
      </c>
    </row>
    <row r="1011" spans="2:7" x14ac:dyDescent="0.15">
      <c r="B1011">
        <v>2026</v>
      </c>
      <c r="C1011">
        <v>8</v>
      </c>
      <c r="D1011" t="s">
        <v>70</v>
      </c>
      <c r="E1011" t="s">
        <v>84</v>
      </c>
      <c r="F1011" t="s">
        <v>55</v>
      </c>
      <c r="G1011" s="56">
        <v>1421000</v>
      </c>
    </row>
    <row r="1012" spans="2:7" x14ac:dyDescent="0.15">
      <c r="B1012">
        <v>2026</v>
      </c>
      <c r="C1012">
        <v>8</v>
      </c>
      <c r="D1012" t="s">
        <v>70</v>
      </c>
      <c r="E1012" t="s">
        <v>84</v>
      </c>
      <c r="F1012" t="s">
        <v>62</v>
      </c>
      <c r="G1012" s="56">
        <v>823000</v>
      </c>
    </row>
    <row r="1013" spans="2:7" x14ac:dyDescent="0.15">
      <c r="B1013">
        <v>2026</v>
      </c>
      <c r="C1013">
        <v>8</v>
      </c>
      <c r="D1013" t="s">
        <v>70</v>
      </c>
      <c r="E1013" t="s">
        <v>84</v>
      </c>
      <c r="F1013" t="s">
        <v>75</v>
      </c>
      <c r="G1013" s="56">
        <v>599000</v>
      </c>
    </row>
    <row r="1014" spans="2:7" x14ac:dyDescent="0.15">
      <c r="B1014">
        <v>2026</v>
      </c>
      <c r="C1014">
        <v>8</v>
      </c>
      <c r="D1014" t="s">
        <v>70</v>
      </c>
      <c r="E1014" t="s">
        <v>84</v>
      </c>
      <c r="F1014" t="s">
        <v>88</v>
      </c>
      <c r="G1014" s="56">
        <v>521000</v>
      </c>
    </row>
    <row r="1015" spans="2:7" x14ac:dyDescent="0.15">
      <c r="B1015">
        <v>2026</v>
      </c>
      <c r="C1015">
        <v>8</v>
      </c>
      <c r="D1015" t="s">
        <v>70</v>
      </c>
      <c r="E1015" t="s">
        <v>84</v>
      </c>
      <c r="F1015" t="s">
        <v>93</v>
      </c>
      <c r="G1015" s="56">
        <v>360000</v>
      </c>
    </row>
    <row r="1016" spans="2:7" x14ac:dyDescent="0.15">
      <c r="B1016">
        <v>2026</v>
      </c>
      <c r="C1016">
        <v>8</v>
      </c>
      <c r="D1016" t="s">
        <v>70</v>
      </c>
      <c r="E1016" t="s">
        <v>71</v>
      </c>
      <c r="F1016" t="s">
        <v>55</v>
      </c>
      <c r="G1016" s="56">
        <v>1038000</v>
      </c>
    </row>
    <row r="1017" spans="2:7" x14ac:dyDescent="0.15">
      <c r="B1017">
        <v>2026</v>
      </c>
      <c r="C1017">
        <v>8</v>
      </c>
      <c r="D1017" t="s">
        <v>70</v>
      </c>
      <c r="E1017" t="s">
        <v>71</v>
      </c>
      <c r="F1017" t="s">
        <v>62</v>
      </c>
      <c r="G1017" s="56">
        <v>609000</v>
      </c>
    </row>
    <row r="1018" spans="2:7" x14ac:dyDescent="0.15">
      <c r="B1018">
        <v>2026</v>
      </c>
      <c r="C1018">
        <v>8</v>
      </c>
      <c r="D1018" t="s">
        <v>70</v>
      </c>
      <c r="E1018" t="s">
        <v>71</v>
      </c>
      <c r="F1018" t="s">
        <v>75</v>
      </c>
      <c r="G1018" s="56">
        <v>425000</v>
      </c>
    </row>
    <row r="1019" spans="2:7" x14ac:dyDescent="0.15">
      <c r="B1019">
        <v>2026</v>
      </c>
      <c r="C1019">
        <v>8</v>
      </c>
      <c r="D1019" t="s">
        <v>70</v>
      </c>
      <c r="E1019" t="s">
        <v>71</v>
      </c>
      <c r="F1019" t="s">
        <v>88</v>
      </c>
      <c r="G1019" s="56">
        <v>377000</v>
      </c>
    </row>
    <row r="1020" spans="2:7" x14ac:dyDescent="0.15">
      <c r="B1020">
        <v>2026</v>
      </c>
      <c r="C1020">
        <v>8</v>
      </c>
      <c r="D1020" t="s">
        <v>70</v>
      </c>
      <c r="E1020" t="s">
        <v>71</v>
      </c>
      <c r="F1020" t="s">
        <v>93</v>
      </c>
      <c r="G1020" s="56">
        <v>253000</v>
      </c>
    </row>
    <row r="1021" spans="2:7" x14ac:dyDescent="0.15">
      <c r="B1021">
        <v>2026</v>
      </c>
      <c r="C1021">
        <v>9</v>
      </c>
      <c r="D1021" t="s">
        <v>64</v>
      </c>
      <c r="E1021" t="s">
        <v>65</v>
      </c>
      <c r="F1021" t="s">
        <v>55</v>
      </c>
      <c r="G1021" s="56">
        <v>4105000</v>
      </c>
    </row>
    <row r="1022" spans="2:7" x14ac:dyDescent="0.15">
      <c r="B1022">
        <v>2026</v>
      </c>
      <c r="C1022">
        <v>9</v>
      </c>
      <c r="D1022" t="s">
        <v>64</v>
      </c>
      <c r="E1022" t="s">
        <v>65</v>
      </c>
      <c r="F1022" t="s">
        <v>62</v>
      </c>
      <c r="G1022" s="56">
        <v>2332000</v>
      </c>
    </row>
    <row r="1023" spans="2:7" x14ac:dyDescent="0.15">
      <c r="B1023">
        <v>2026</v>
      </c>
      <c r="C1023">
        <v>9</v>
      </c>
      <c r="D1023" t="s">
        <v>64</v>
      </c>
      <c r="E1023" t="s">
        <v>65</v>
      </c>
      <c r="F1023" t="s">
        <v>75</v>
      </c>
      <c r="G1023" s="56">
        <v>1592000</v>
      </c>
    </row>
    <row r="1024" spans="2:7" x14ac:dyDescent="0.15">
      <c r="B1024">
        <v>2026</v>
      </c>
      <c r="C1024">
        <v>9</v>
      </c>
      <c r="D1024" t="s">
        <v>64</v>
      </c>
      <c r="E1024" t="s">
        <v>65</v>
      </c>
      <c r="F1024" t="s">
        <v>88</v>
      </c>
      <c r="G1024" s="56">
        <v>1444000</v>
      </c>
    </row>
    <row r="1025" spans="2:7" x14ac:dyDescent="0.15">
      <c r="B1025">
        <v>2026</v>
      </c>
      <c r="C1025">
        <v>9</v>
      </c>
      <c r="D1025" t="s">
        <v>64</v>
      </c>
      <c r="E1025" t="s">
        <v>65</v>
      </c>
      <c r="F1025" t="s">
        <v>93</v>
      </c>
      <c r="G1025" s="56">
        <v>1076000</v>
      </c>
    </row>
    <row r="1026" spans="2:7" x14ac:dyDescent="0.15">
      <c r="B1026">
        <v>2026</v>
      </c>
      <c r="C1026">
        <v>9</v>
      </c>
      <c r="D1026" t="s">
        <v>64</v>
      </c>
      <c r="E1026" t="s">
        <v>96</v>
      </c>
      <c r="F1026" t="s">
        <v>55</v>
      </c>
      <c r="G1026" s="56">
        <v>3269000</v>
      </c>
    </row>
    <row r="1027" spans="2:7" x14ac:dyDescent="0.15">
      <c r="B1027">
        <v>2026</v>
      </c>
      <c r="C1027">
        <v>9</v>
      </c>
      <c r="D1027" t="s">
        <v>64</v>
      </c>
      <c r="E1027" t="s">
        <v>96</v>
      </c>
      <c r="F1027" t="s">
        <v>62</v>
      </c>
      <c r="G1027" s="56">
        <v>1857000</v>
      </c>
    </row>
    <row r="1028" spans="2:7" x14ac:dyDescent="0.15">
      <c r="B1028">
        <v>2026</v>
      </c>
      <c r="C1028">
        <v>9</v>
      </c>
      <c r="D1028" t="s">
        <v>64</v>
      </c>
      <c r="E1028" t="s">
        <v>96</v>
      </c>
      <c r="F1028" t="s">
        <v>75</v>
      </c>
      <c r="G1028" s="56">
        <v>1349000</v>
      </c>
    </row>
    <row r="1029" spans="2:7" x14ac:dyDescent="0.15">
      <c r="B1029">
        <v>2026</v>
      </c>
      <c r="C1029">
        <v>9</v>
      </c>
      <c r="D1029" t="s">
        <v>64</v>
      </c>
      <c r="E1029" t="s">
        <v>96</v>
      </c>
      <c r="F1029" t="s">
        <v>88</v>
      </c>
      <c r="G1029" s="56">
        <v>1170000</v>
      </c>
    </row>
    <row r="1030" spans="2:7" x14ac:dyDescent="0.15">
      <c r="B1030">
        <v>2026</v>
      </c>
      <c r="C1030">
        <v>9</v>
      </c>
      <c r="D1030" t="s">
        <v>64</v>
      </c>
      <c r="E1030" t="s">
        <v>96</v>
      </c>
      <c r="F1030" t="s">
        <v>93</v>
      </c>
      <c r="G1030" s="56">
        <v>913000</v>
      </c>
    </row>
    <row r="1031" spans="2:7" x14ac:dyDescent="0.15">
      <c r="B1031">
        <v>2026</v>
      </c>
      <c r="C1031">
        <v>9</v>
      </c>
      <c r="D1031" t="s">
        <v>77</v>
      </c>
      <c r="E1031" t="s">
        <v>107</v>
      </c>
      <c r="F1031" t="s">
        <v>55</v>
      </c>
      <c r="G1031" s="56">
        <v>2868000</v>
      </c>
    </row>
    <row r="1032" spans="2:7" x14ac:dyDescent="0.15">
      <c r="B1032">
        <v>2026</v>
      </c>
      <c r="C1032">
        <v>9</v>
      </c>
      <c r="D1032" t="s">
        <v>77</v>
      </c>
      <c r="E1032" t="s">
        <v>107</v>
      </c>
      <c r="F1032" t="s">
        <v>62</v>
      </c>
      <c r="G1032" s="56">
        <v>1656000</v>
      </c>
    </row>
    <row r="1033" spans="2:7" x14ac:dyDescent="0.15">
      <c r="B1033">
        <v>2026</v>
      </c>
      <c r="C1033">
        <v>9</v>
      </c>
      <c r="D1033" t="s">
        <v>77</v>
      </c>
      <c r="E1033" t="s">
        <v>107</v>
      </c>
      <c r="F1033" t="s">
        <v>75</v>
      </c>
      <c r="G1033" s="56">
        <v>1136000</v>
      </c>
    </row>
    <row r="1034" spans="2:7" x14ac:dyDescent="0.15">
      <c r="B1034">
        <v>2026</v>
      </c>
      <c r="C1034">
        <v>9</v>
      </c>
      <c r="D1034" t="s">
        <v>77</v>
      </c>
      <c r="E1034" t="s">
        <v>107</v>
      </c>
      <c r="F1034" t="s">
        <v>88</v>
      </c>
      <c r="G1034" s="56">
        <v>1011000</v>
      </c>
    </row>
    <row r="1035" spans="2:7" x14ac:dyDescent="0.15">
      <c r="B1035">
        <v>2026</v>
      </c>
      <c r="C1035">
        <v>9</v>
      </c>
      <c r="D1035" t="s">
        <v>77</v>
      </c>
      <c r="E1035" t="s">
        <v>107</v>
      </c>
      <c r="F1035" t="s">
        <v>93</v>
      </c>
      <c r="G1035" s="56">
        <v>768000</v>
      </c>
    </row>
    <row r="1036" spans="2:7" x14ac:dyDescent="0.15">
      <c r="B1036">
        <v>2026</v>
      </c>
      <c r="C1036">
        <v>9</v>
      </c>
      <c r="D1036" t="s">
        <v>77</v>
      </c>
      <c r="E1036" t="s">
        <v>78</v>
      </c>
      <c r="F1036" t="s">
        <v>55</v>
      </c>
      <c r="G1036" s="56">
        <v>1900000</v>
      </c>
    </row>
    <row r="1037" spans="2:7" x14ac:dyDescent="0.15">
      <c r="B1037">
        <v>2026</v>
      </c>
      <c r="C1037">
        <v>9</v>
      </c>
      <c r="D1037" t="s">
        <v>77</v>
      </c>
      <c r="E1037" t="s">
        <v>78</v>
      </c>
      <c r="F1037" t="s">
        <v>62</v>
      </c>
      <c r="G1037" s="56">
        <v>1095000</v>
      </c>
    </row>
    <row r="1038" spans="2:7" x14ac:dyDescent="0.15">
      <c r="B1038">
        <v>2026</v>
      </c>
      <c r="C1038">
        <v>9</v>
      </c>
      <c r="D1038" t="s">
        <v>77</v>
      </c>
      <c r="E1038" t="s">
        <v>78</v>
      </c>
      <c r="F1038" t="s">
        <v>75</v>
      </c>
      <c r="G1038" s="56">
        <v>770000</v>
      </c>
    </row>
    <row r="1039" spans="2:7" x14ac:dyDescent="0.15">
      <c r="B1039">
        <v>2026</v>
      </c>
      <c r="C1039">
        <v>9</v>
      </c>
      <c r="D1039" t="s">
        <v>77</v>
      </c>
      <c r="E1039" t="s">
        <v>78</v>
      </c>
      <c r="F1039" t="s">
        <v>88</v>
      </c>
      <c r="G1039" s="56">
        <v>672000</v>
      </c>
    </row>
    <row r="1040" spans="2:7" x14ac:dyDescent="0.15">
      <c r="B1040">
        <v>2026</v>
      </c>
      <c r="C1040">
        <v>9</v>
      </c>
      <c r="D1040" t="s">
        <v>77</v>
      </c>
      <c r="E1040" t="s">
        <v>78</v>
      </c>
      <c r="F1040" t="s">
        <v>93</v>
      </c>
      <c r="G1040" s="56">
        <v>511000</v>
      </c>
    </row>
    <row r="1041" spans="2:7" x14ac:dyDescent="0.15">
      <c r="B1041">
        <v>2026</v>
      </c>
      <c r="C1041">
        <v>9</v>
      </c>
      <c r="D1041" t="s">
        <v>57</v>
      </c>
      <c r="E1041" t="s">
        <v>81</v>
      </c>
      <c r="F1041" t="s">
        <v>55</v>
      </c>
      <c r="G1041" s="56">
        <v>2424000</v>
      </c>
    </row>
    <row r="1042" spans="2:7" x14ac:dyDescent="0.15">
      <c r="B1042">
        <v>2026</v>
      </c>
      <c r="C1042">
        <v>9</v>
      </c>
      <c r="D1042" t="s">
        <v>57</v>
      </c>
      <c r="E1042" t="s">
        <v>81</v>
      </c>
      <c r="F1042" t="s">
        <v>62</v>
      </c>
      <c r="G1042" s="56">
        <v>1333000</v>
      </c>
    </row>
    <row r="1043" spans="2:7" x14ac:dyDescent="0.15">
      <c r="B1043">
        <v>2026</v>
      </c>
      <c r="C1043">
        <v>9</v>
      </c>
      <c r="D1043" t="s">
        <v>57</v>
      </c>
      <c r="E1043" t="s">
        <v>81</v>
      </c>
      <c r="F1043" t="s">
        <v>75</v>
      </c>
      <c r="G1043" s="56">
        <v>976000</v>
      </c>
    </row>
    <row r="1044" spans="2:7" x14ac:dyDescent="0.15">
      <c r="B1044">
        <v>2026</v>
      </c>
      <c r="C1044">
        <v>9</v>
      </c>
      <c r="D1044" t="s">
        <v>57</v>
      </c>
      <c r="E1044" t="s">
        <v>81</v>
      </c>
      <c r="F1044" t="s">
        <v>88</v>
      </c>
      <c r="G1044" s="56">
        <v>860000</v>
      </c>
    </row>
    <row r="1045" spans="2:7" x14ac:dyDescent="0.15">
      <c r="B1045">
        <v>2026</v>
      </c>
      <c r="C1045">
        <v>9</v>
      </c>
      <c r="D1045" t="s">
        <v>57</v>
      </c>
      <c r="E1045" t="s">
        <v>81</v>
      </c>
      <c r="F1045" t="s">
        <v>93</v>
      </c>
      <c r="G1045" s="56">
        <v>655000</v>
      </c>
    </row>
    <row r="1046" spans="2:7" x14ac:dyDescent="0.15">
      <c r="B1046">
        <v>2026</v>
      </c>
      <c r="C1046">
        <v>9</v>
      </c>
      <c r="D1046" t="s">
        <v>57</v>
      </c>
      <c r="E1046" t="s">
        <v>58</v>
      </c>
      <c r="F1046" t="s">
        <v>55</v>
      </c>
      <c r="G1046" s="56">
        <v>1455000</v>
      </c>
    </row>
    <row r="1047" spans="2:7" x14ac:dyDescent="0.15">
      <c r="B1047">
        <v>2026</v>
      </c>
      <c r="C1047">
        <v>9</v>
      </c>
      <c r="D1047" t="s">
        <v>57</v>
      </c>
      <c r="E1047" t="s">
        <v>58</v>
      </c>
      <c r="F1047" t="s">
        <v>62</v>
      </c>
      <c r="G1047" s="56">
        <v>848000</v>
      </c>
    </row>
    <row r="1048" spans="2:7" x14ac:dyDescent="0.15">
      <c r="B1048">
        <v>2026</v>
      </c>
      <c r="C1048">
        <v>9</v>
      </c>
      <c r="D1048" t="s">
        <v>57</v>
      </c>
      <c r="E1048" t="s">
        <v>58</v>
      </c>
      <c r="F1048" t="s">
        <v>75</v>
      </c>
      <c r="G1048" s="56">
        <v>586000</v>
      </c>
    </row>
    <row r="1049" spans="2:7" x14ac:dyDescent="0.15">
      <c r="B1049">
        <v>2026</v>
      </c>
      <c r="C1049">
        <v>9</v>
      </c>
      <c r="D1049" t="s">
        <v>57</v>
      </c>
      <c r="E1049" t="s">
        <v>58</v>
      </c>
      <c r="F1049" t="s">
        <v>88</v>
      </c>
      <c r="G1049" s="56">
        <v>521000</v>
      </c>
    </row>
    <row r="1050" spans="2:7" x14ac:dyDescent="0.15">
      <c r="B1050">
        <v>2026</v>
      </c>
      <c r="C1050">
        <v>9</v>
      </c>
      <c r="D1050" t="s">
        <v>57</v>
      </c>
      <c r="E1050" t="s">
        <v>58</v>
      </c>
      <c r="F1050" t="s">
        <v>93</v>
      </c>
      <c r="G1050" s="56">
        <v>402000</v>
      </c>
    </row>
    <row r="1051" spans="2:7" x14ac:dyDescent="0.15">
      <c r="B1051">
        <v>2026</v>
      </c>
      <c r="C1051">
        <v>9</v>
      </c>
      <c r="D1051" t="s">
        <v>125</v>
      </c>
      <c r="E1051" t="s">
        <v>138</v>
      </c>
      <c r="F1051" t="s">
        <v>55</v>
      </c>
      <c r="G1051" s="56">
        <v>1756000</v>
      </c>
    </row>
    <row r="1052" spans="2:7" x14ac:dyDescent="0.15">
      <c r="B1052">
        <v>2026</v>
      </c>
      <c r="C1052">
        <v>9</v>
      </c>
      <c r="D1052" t="s">
        <v>125</v>
      </c>
      <c r="E1052" t="s">
        <v>138</v>
      </c>
      <c r="F1052" t="s">
        <v>62</v>
      </c>
      <c r="G1052" s="56">
        <v>1004000</v>
      </c>
    </row>
    <row r="1053" spans="2:7" x14ac:dyDescent="0.15">
      <c r="B1053">
        <v>2026</v>
      </c>
      <c r="C1053">
        <v>9</v>
      </c>
      <c r="D1053" t="s">
        <v>125</v>
      </c>
      <c r="E1053" t="s">
        <v>138</v>
      </c>
      <c r="F1053" t="s">
        <v>75</v>
      </c>
      <c r="G1053" s="56">
        <v>708000</v>
      </c>
    </row>
    <row r="1054" spans="2:7" x14ac:dyDescent="0.15">
      <c r="B1054">
        <v>2026</v>
      </c>
      <c r="C1054">
        <v>9</v>
      </c>
      <c r="D1054" t="s">
        <v>125</v>
      </c>
      <c r="E1054" t="s">
        <v>138</v>
      </c>
      <c r="F1054" t="s">
        <v>88</v>
      </c>
      <c r="G1054" s="56">
        <v>631000</v>
      </c>
    </row>
    <row r="1055" spans="2:7" x14ac:dyDescent="0.15">
      <c r="B1055">
        <v>2026</v>
      </c>
      <c r="C1055">
        <v>9</v>
      </c>
      <c r="D1055" t="s">
        <v>125</v>
      </c>
      <c r="E1055" t="s">
        <v>138</v>
      </c>
      <c r="F1055" t="s">
        <v>93</v>
      </c>
      <c r="G1055" s="56">
        <v>465000</v>
      </c>
    </row>
    <row r="1056" spans="2:7" x14ac:dyDescent="0.15">
      <c r="B1056">
        <v>2026</v>
      </c>
      <c r="C1056">
        <v>9</v>
      </c>
      <c r="D1056" t="s">
        <v>125</v>
      </c>
      <c r="E1056" t="s">
        <v>126</v>
      </c>
      <c r="F1056" t="s">
        <v>55</v>
      </c>
      <c r="G1056" s="56">
        <v>926000</v>
      </c>
    </row>
    <row r="1057" spans="2:7" x14ac:dyDescent="0.15">
      <c r="B1057">
        <v>2026</v>
      </c>
      <c r="C1057">
        <v>9</v>
      </c>
      <c r="D1057" t="s">
        <v>125</v>
      </c>
      <c r="E1057" t="s">
        <v>126</v>
      </c>
      <c r="F1057" t="s">
        <v>62</v>
      </c>
      <c r="G1057" s="56">
        <v>540000</v>
      </c>
    </row>
    <row r="1058" spans="2:7" x14ac:dyDescent="0.15">
      <c r="B1058">
        <v>2026</v>
      </c>
      <c r="C1058">
        <v>9</v>
      </c>
      <c r="D1058" t="s">
        <v>125</v>
      </c>
      <c r="E1058" t="s">
        <v>126</v>
      </c>
      <c r="F1058" t="s">
        <v>75</v>
      </c>
      <c r="G1058" s="56">
        <v>369000</v>
      </c>
    </row>
    <row r="1059" spans="2:7" x14ac:dyDescent="0.15">
      <c r="B1059">
        <v>2026</v>
      </c>
      <c r="C1059">
        <v>9</v>
      </c>
      <c r="D1059" t="s">
        <v>125</v>
      </c>
      <c r="E1059" t="s">
        <v>126</v>
      </c>
      <c r="F1059" t="s">
        <v>88</v>
      </c>
      <c r="G1059" s="56">
        <v>329000</v>
      </c>
    </row>
    <row r="1060" spans="2:7" x14ac:dyDescent="0.15">
      <c r="B1060">
        <v>2026</v>
      </c>
      <c r="C1060">
        <v>9</v>
      </c>
      <c r="D1060" t="s">
        <v>125</v>
      </c>
      <c r="E1060" t="s">
        <v>126</v>
      </c>
      <c r="F1060" t="s">
        <v>93</v>
      </c>
      <c r="G1060" s="56">
        <v>255000</v>
      </c>
    </row>
    <row r="1061" spans="2:7" x14ac:dyDescent="0.15">
      <c r="B1061">
        <v>2026</v>
      </c>
      <c r="C1061">
        <v>9</v>
      </c>
      <c r="D1061" t="s">
        <v>70</v>
      </c>
      <c r="E1061" t="s">
        <v>84</v>
      </c>
      <c r="F1061" t="s">
        <v>55</v>
      </c>
      <c r="G1061" s="56">
        <v>1431000</v>
      </c>
    </row>
    <row r="1062" spans="2:7" x14ac:dyDescent="0.15">
      <c r="B1062">
        <v>2026</v>
      </c>
      <c r="C1062">
        <v>9</v>
      </c>
      <c r="D1062" t="s">
        <v>70</v>
      </c>
      <c r="E1062" t="s">
        <v>84</v>
      </c>
      <c r="F1062" t="s">
        <v>62</v>
      </c>
      <c r="G1062" s="56">
        <v>810000</v>
      </c>
    </row>
    <row r="1063" spans="2:7" x14ac:dyDescent="0.15">
      <c r="B1063">
        <v>2026</v>
      </c>
      <c r="C1063">
        <v>9</v>
      </c>
      <c r="D1063" t="s">
        <v>70</v>
      </c>
      <c r="E1063" t="s">
        <v>84</v>
      </c>
      <c r="F1063" t="s">
        <v>75</v>
      </c>
      <c r="G1063" s="56">
        <v>563000</v>
      </c>
    </row>
    <row r="1064" spans="2:7" x14ac:dyDescent="0.15">
      <c r="B1064">
        <v>2026</v>
      </c>
      <c r="C1064">
        <v>9</v>
      </c>
      <c r="D1064" t="s">
        <v>70</v>
      </c>
      <c r="E1064" t="s">
        <v>84</v>
      </c>
      <c r="F1064" t="s">
        <v>88</v>
      </c>
      <c r="G1064" s="56">
        <v>501000</v>
      </c>
    </row>
    <row r="1065" spans="2:7" x14ac:dyDescent="0.15">
      <c r="B1065">
        <v>2026</v>
      </c>
      <c r="C1065">
        <v>9</v>
      </c>
      <c r="D1065" t="s">
        <v>70</v>
      </c>
      <c r="E1065" t="s">
        <v>84</v>
      </c>
      <c r="F1065" t="s">
        <v>93</v>
      </c>
      <c r="G1065" s="56">
        <v>386000</v>
      </c>
    </row>
    <row r="1066" spans="2:7" x14ac:dyDescent="0.15">
      <c r="B1066">
        <v>2026</v>
      </c>
      <c r="C1066">
        <v>9</v>
      </c>
      <c r="D1066" t="s">
        <v>70</v>
      </c>
      <c r="E1066" t="s">
        <v>71</v>
      </c>
      <c r="F1066" t="s">
        <v>55</v>
      </c>
      <c r="G1066" s="56">
        <v>1048000</v>
      </c>
    </row>
    <row r="1067" spans="2:7" x14ac:dyDescent="0.15">
      <c r="B1067">
        <v>2026</v>
      </c>
      <c r="C1067">
        <v>9</v>
      </c>
      <c r="D1067" t="s">
        <v>70</v>
      </c>
      <c r="E1067" t="s">
        <v>71</v>
      </c>
      <c r="F1067" t="s">
        <v>62</v>
      </c>
      <c r="G1067" s="56">
        <v>583000</v>
      </c>
    </row>
    <row r="1068" spans="2:7" x14ac:dyDescent="0.15">
      <c r="B1068">
        <v>2026</v>
      </c>
      <c r="C1068">
        <v>9</v>
      </c>
      <c r="D1068" t="s">
        <v>70</v>
      </c>
      <c r="E1068" t="s">
        <v>71</v>
      </c>
      <c r="F1068" t="s">
        <v>75</v>
      </c>
      <c r="G1068" s="56">
        <v>410000</v>
      </c>
    </row>
    <row r="1069" spans="2:7" x14ac:dyDescent="0.15">
      <c r="B1069">
        <v>2026</v>
      </c>
      <c r="C1069">
        <v>9</v>
      </c>
      <c r="D1069" t="s">
        <v>70</v>
      </c>
      <c r="E1069" t="s">
        <v>71</v>
      </c>
      <c r="F1069" t="s">
        <v>88</v>
      </c>
      <c r="G1069" s="56">
        <v>369000</v>
      </c>
    </row>
    <row r="1070" spans="2:7" x14ac:dyDescent="0.15">
      <c r="B1070">
        <v>2026</v>
      </c>
      <c r="C1070">
        <v>9</v>
      </c>
      <c r="D1070" t="s">
        <v>70</v>
      </c>
      <c r="E1070" t="s">
        <v>71</v>
      </c>
      <c r="F1070" t="s">
        <v>93</v>
      </c>
      <c r="G1070" s="56">
        <v>278000</v>
      </c>
    </row>
    <row r="1071" spans="2:7" x14ac:dyDescent="0.15">
      <c r="B1071">
        <v>2026</v>
      </c>
      <c r="C1071">
        <v>10</v>
      </c>
      <c r="D1071" t="s">
        <v>64</v>
      </c>
      <c r="E1071" t="s">
        <v>65</v>
      </c>
      <c r="F1071" t="s">
        <v>55</v>
      </c>
      <c r="G1071" s="56">
        <v>4341000</v>
      </c>
    </row>
    <row r="1072" spans="2:7" x14ac:dyDescent="0.15">
      <c r="B1072">
        <v>2026</v>
      </c>
      <c r="C1072">
        <v>10</v>
      </c>
      <c r="D1072" t="s">
        <v>64</v>
      </c>
      <c r="E1072" t="s">
        <v>65</v>
      </c>
      <c r="F1072" t="s">
        <v>62</v>
      </c>
      <c r="G1072" s="56">
        <v>2510000</v>
      </c>
    </row>
    <row r="1073" spans="2:7" x14ac:dyDescent="0.15">
      <c r="B1073">
        <v>2026</v>
      </c>
      <c r="C1073">
        <v>10</v>
      </c>
      <c r="D1073" t="s">
        <v>64</v>
      </c>
      <c r="E1073" t="s">
        <v>65</v>
      </c>
      <c r="F1073" t="s">
        <v>75</v>
      </c>
      <c r="G1073" s="56">
        <v>1729000</v>
      </c>
    </row>
    <row r="1074" spans="2:7" x14ac:dyDescent="0.15">
      <c r="B1074">
        <v>2026</v>
      </c>
      <c r="C1074">
        <v>10</v>
      </c>
      <c r="D1074" t="s">
        <v>64</v>
      </c>
      <c r="E1074" t="s">
        <v>65</v>
      </c>
      <c r="F1074" t="s">
        <v>88</v>
      </c>
      <c r="G1074" s="56">
        <v>1551000</v>
      </c>
    </row>
    <row r="1075" spans="2:7" x14ac:dyDescent="0.15">
      <c r="B1075">
        <v>2026</v>
      </c>
      <c r="C1075">
        <v>10</v>
      </c>
      <c r="D1075" t="s">
        <v>64</v>
      </c>
      <c r="E1075" t="s">
        <v>65</v>
      </c>
      <c r="F1075" t="s">
        <v>93</v>
      </c>
      <c r="G1075" s="56">
        <v>1195000</v>
      </c>
    </row>
    <row r="1076" spans="2:7" x14ac:dyDescent="0.15">
      <c r="B1076">
        <v>2026</v>
      </c>
      <c r="C1076">
        <v>10</v>
      </c>
      <c r="D1076" t="s">
        <v>64</v>
      </c>
      <c r="E1076" t="s">
        <v>96</v>
      </c>
      <c r="F1076" t="s">
        <v>55</v>
      </c>
      <c r="G1076" s="56">
        <v>3657000</v>
      </c>
    </row>
    <row r="1077" spans="2:7" x14ac:dyDescent="0.15">
      <c r="B1077">
        <v>2026</v>
      </c>
      <c r="C1077">
        <v>10</v>
      </c>
      <c r="D1077" t="s">
        <v>64</v>
      </c>
      <c r="E1077" t="s">
        <v>96</v>
      </c>
      <c r="F1077" t="s">
        <v>62</v>
      </c>
      <c r="G1077" s="56">
        <v>2047000</v>
      </c>
    </row>
    <row r="1078" spans="2:7" x14ac:dyDescent="0.15">
      <c r="B1078">
        <v>2026</v>
      </c>
      <c r="C1078">
        <v>10</v>
      </c>
      <c r="D1078" t="s">
        <v>64</v>
      </c>
      <c r="E1078" t="s">
        <v>96</v>
      </c>
      <c r="F1078" t="s">
        <v>75</v>
      </c>
      <c r="G1078" s="56">
        <v>1419000</v>
      </c>
    </row>
    <row r="1079" spans="2:7" x14ac:dyDescent="0.15">
      <c r="B1079">
        <v>2026</v>
      </c>
      <c r="C1079">
        <v>10</v>
      </c>
      <c r="D1079" t="s">
        <v>64</v>
      </c>
      <c r="E1079" t="s">
        <v>96</v>
      </c>
      <c r="F1079" t="s">
        <v>88</v>
      </c>
      <c r="G1079" s="56">
        <v>1281000</v>
      </c>
    </row>
    <row r="1080" spans="2:7" x14ac:dyDescent="0.15">
      <c r="B1080">
        <v>2026</v>
      </c>
      <c r="C1080">
        <v>10</v>
      </c>
      <c r="D1080" t="s">
        <v>64</v>
      </c>
      <c r="E1080" t="s">
        <v>96</v>
      </c>
      <c r="F1080" t="s">
        <v>93</v>
      </c>
      <c r="G1080" s="56">
        <v>986000</v>
      </c>
    </row>
    <row r="1081" spans="2:7" x14ac:dyDescent="0.15">
      <c r="B1081">
        <v>2026</v>
      </c>
      <c r="C1081">
        <v>10</v>
      </c>
      <c r="D1081" t="s">
        <v>77</v>
      </c>
      <c r="E1081" t="s">
        <v>107</v>
      </c>
      <c r="F1081" t="s">
        <v>55</v>
      </c>
      <c r="G1081" s="56">
        <v>3090000</v>
      </c>
    </row>
    <row r="1082" spans="2:7" x14ac:dyDescent="0.15">
      <c r="B1082">
        <v>2026</v>
      </c>
      <c r="C1082">
        <v>10</v>
      </c>
      <c r="D1082" t="s">
        <v>77</v>
      </c>
      <c r="E1082" t="s">
        <v>107</v>
      </c>
      <c r="F1082" t="s">
        <v>62</v>
      </c>
      <c r="G1082" s="56">
        <v>1732000</v>
      </c>
    </row>
    <row r="1083" spans="2:7" x14ac:dyDescent="0.15">
      <c r="B1083">
        <v>2026</v>
      </c>
      <c r="C1083">
        <v>10</v>
      </c>
      <c r="D1083" t="s">
        <v>77</v>
      </c>
      <c r="E1083" t="s">
        <v>107</v>
      </c>
      <c r="F1083" t="s">
        <v>75</v>
      </c>
      <c r="G1083" s="56">
        <v>1205000</v>
      </c>
    </row>
    <row r="1084" spans="2:7" x14ac:dyDescent="0.15">
      <c r="B1084">
        <v>2026</v>
      </c>
      <c r="C1084">
        <v>10</v>
      </c>
      <c r="D1084" t="s">
        <v>77</v>
      </c>
      <c r="E1084" t="s">
        <v>107</v>
      </c>
      <c r="F1084" t="s">
        <v>88</v>
      </c>
      <c r="G1084" s="56">
        <v>1085000</v>
      </c>
    </row>
    <row r="1085" spans="2:7" x14ac:dyDescent="0.15">
      <c r="B1085">
        <v>2026</v>
      </c>
      <c r="C1085">
        <v>10</v>
      </c>
      <c r="D1085" t="s">
        <v>77</v>
      </c>
      <c r="E1085" t="s">
        <v>107</v>
      </c>
      <c r="F1085" t="s">
        <v>93</v>
      </c>
      <c r="G1085" s="56">
        <v>863000</v>
      </c>
    </row>
    <row r="1086" spans="2:7" x14ac:dyDescent="0.15">
      <c r="B1086">
        <v>2026</v>
      </c>
      <c r="C1086">
        <v>10</v>
      </c>
      <c r="D1086" t="s">
        <v>77</v>
      </c>
      <c r="E1086" t="s">
        <v>78</v>
      </c>
      <c r="F1086" t="s">
        <v>55</v>
      </c>
      <c r="G1086" s="56">
        <v>2099000</v>
      </c>
    </row>
    <row r="1087" spans="2:7" x14ac:dyDescent="0.15">
      <c r="B1087">
        <v>2026</v>
      </c>
      <c r="C1087">
        <v>10</v>
      </c>
      <c r="D1087" t="s">
        <v>77</v>
      </c>
      <c r="E1087" t="s">
        <v>78</v>
      </c>
      <c r="F1087" t="s">
        <v>62</v>
      </c>
      <c r="G1087" s="56">
        <v>1144000</v>
      </c>
    </row>
    <row r="1088" spans="2:7" x14ac:dyDescent="0.15">
      <c r="B1088">
        <v>2026</v>
      </c>
      <c r="C1088">
        <v>10</v>
      </c>
      <c r="D1088" t="s">
        <v>77</v>
      </c>
      <c r="E1088" t="s">
        <v>78</v>
      </c>
      <c r="F1088" t="s">
        <v>75</v>
      </c>
      <c r="G1088" s="56">
        <v>808000</v>
      </c>
    </row>
    <row r="1089" spans="2:7" x14ac:dyDescent="0.15">
      <c r="B1089">
        <v>2026</v>
      </c>
      <c r="C1089">
        <v>10</v>
      </c>
      <c r="D1089" t="s">
        <v>77</v>
      </c>
      <c r="E1089" t="s">
        <v>78</v>
      </c>
      <c r="F1089" t="s">
        <v>88</v>
      </c>
      <c r="G1089" s="56">
        <v>735000</v>
      </c>
    </row>
    <row r="1090" spans="2:7" x14ac:dyDescent="0.15">
      <c r="B1090">
        <v>2026</v>
      </c>
      <c r="C1090">
        <v>10</v>
      </c>
      <c r="D1090" t="s">
        <v>77</v>
      </c>
      <c r="E1090" t="s">
        <v>78</v>
      </c>
      <c r="F1090" t="s">
        <v>93</v>
      </c>
      <c r="G1090" s="56">
        <v>575000</v>
      </c>
    </row>
    <row r="1091" spans="2:7" x14ac:dyDescent="0.15">
      <c r="B1091">
        <v>2026</v>
      </c>
      <c r="C1091">
        <v>10</v>
      </c>
      <c r="D1091" t="s">
        <v>57</v>
      </c>
      <c r="E1091" t="s">
        <v>81</v>
      </c>
      <c r="F1091" t="s">
        <v>55</v>
      </c>
      <c r="G1091" s="56">
        <v>2602000</v>
      </c>
    </row>
    <row r="1092" spans="2:7" x14ac:dyDescent="0.15">
      <c r="B1092">
        <v>2026</v>
      </c>
      <c r="C1092">
        <v>10</v>
      </c>
      <c r="D1092" t="s">
        <v>57</v>
      </c>
      <c r="E1092" t="s">
        <v>81</v>
      </c>
      <c r="F1092" t="s">
        <v>62</v>
      </c>
      <c r="G1092" s="56">
        <v>1439000</v>
      </c>
    </row>
    <row r="1093" spans="2:7" x14ac:dyDescent="0.15">
      <c r="B1093">
        <v>2026</v>
      </c>
      <c r="C1093">
        <v>10</v>
      </c>
      <c r="D1093" t="s">
        <v>57</v>
      </c>
      <c r="E1093" t="s">
        <v>81</v>
      </c>
      <c r="F1093" t="s">
        <v>75</v>
      </c>
      <c r="G1093" s="56">
        <v>1003000</v>
      </c>
    </row>
    <row r="1094" spans="2:7" x14ac:dyDescent="0.15">
      <c r="B1094">
        <v>2026</v>
      </c>
      <c r="C1094">
        <v>10</v>
      </c>
      <c r="D1094" t="s">
        <v>57</v>
      </c>
      <c r="E1094" t="s">
        <v>81</v>
      </c>
      <c r="F1094" t="s">
        <v>88</v>
      </c>
      <c r="G1094" s="56">
        <v>912000</v>
      </c>
    </row>
    <row r="1095" spans="2:7" x14ac:dyDescent="0.15">
      <c r="B1095">
        <v>2026</v>
      </c>
      <c r="C1095">
        <v>10</v>
      </c>
      <c r="D1095" t="s">
        <v>57</v>
      </c>
      <c r="E1095" t="s">
        <v>81</v>
      </c>
      <c r="F1095" t="s">
        <v>93</v>
      </c>
      <c r="G1095" s="56">
        <v>716000</v>
      </c>
    </row>
    <row r="1096" spans="2:7" x14ac:dyDescent="0.15">
      <c r="B1096">
        <v>2026</v>
      </c>
      <c r="C1096">
        <v>10</v>
      </c>
      <c r="D1096" t="s">
        <v>57</v>
      </c>
      <c r="E1096" t="s">
        <v>58</v>
      </c>
      <c r="F1096" t="s">
        <v>55</v>
      </c>
      <c r="G1096" s="56">
        <v>1618000</v>
      </c>
    </row>
    <row r="1097" spans="2:7" x14ac:dyDescent="0.15">
      <c r="B1097">
        <v>2026</v>
      </c>
      <c r="C1097">
        <v>10</v>
      </c>
      <c r="D1097" t="s">
        <v>57</v>
      </c>
      <c r="E1097" t="s">
        <v>58</v>
      </c>
      <c r="F1097" t="s">
        <v>62</v>
      </c>
      <c r="G1097" s="56">
        <v>893000</v>
      </c>
    </row>
    <row r="1098" spans="2:7" x14ac:dyDescent="0.15">
      <c r="B1098">
        <v>2026</v>
      </c>
      <c r="C1098">
        <v>10</v>
      </c>
      <c r="D1098" t="s">
        <v>57</v>
      </c>
      <c r="E1098" t="s">
        <v>58</v>
      </c>
      <c r="F1098" t="s">
        <v>75</v>
      </c>
      <c r="G1098" s="56">
        <v>632000</v>
      </c>
    </row>
    <row r="1099" spans="2:7" x14ac:dyDescent="0.15">
      <c r="B1099">
        <v>2026</v>
      </c>
      <c r="C1099">
        <v>10</v>
      </c>
      <c r="D1099" t="s">
        <v>57</v>
      </c>
      <c r="E1099" t="s">
        <v>58</v>
      </c>
      <c r="F1099" t="s">
        <v>88</v>
      </c>
      <c r="G1099" s="56">
        <v>563000</v>
      </c>
    </row>
    <row r="1100" spans="2:7" x14ac:dyDescent="0.15">
      <c r="B1100">
        <v>2026</v>
      </c>
      <c r="C1100">
        <v>10</v>
      </c>
      <c r="D1100" t="s">
        <v>57</v>
      </c>
      <c r="E1100" t="s">
        <v>58</v>
      </c>
      <c r="F1100" t="s">
        <v>93</v>
      </c>
      <c r="G1100" s="56">
        <v>431000</v>
      </c>
    </row>
    <row r="1101" spans="2:7" x14ac:dyDescent="0.15">
      <c r="B1101">
        <v>2026</v>
      </c>
      <c r="C1101">
        <v>10</v>
      </c>
      <c r="D1101" t="s">
        <v>125</v>
      </c>
      <c r="E1101" t="s">
        <v>138</v>
      </c>
      <c r="F1101" t="s">
        <v>55</v>
      </c>
      <c r="G1101" s="56">
        <v>1920000</v>
      </c>
    </row>
    <row r="1102" spans="2:7" x14ac:dyDescent="0.15">
      <c r="B1102">
        <v>2026</v>
      </c>
      <c r="C1102">
        <v>10</v>
      </c>
      <c r="D1102" t="s">
        <v>125</v>
      </c>
      <c r="E1102" t="s">
        <v>138</v>
      </c>
      <c r="F1102" t="s">
        <v>62</v>
      </c>
      <c r="G1102" s="56">
        <v>1063000</v>
      </c>
    </row>
    <row r="1103" spans="2:7" x14ac:dyDescent="0.15">
      <c r="B1103">
        <v>2026</v>
      </c>
      <c r="C1103">
        <v>10</v>
      </c>
      <c r="D1103" t="s">
        <v>125</v>
      </c>
      <c r="E1103" t="s">
        <v>138</v>
      </c>
      <c r="F1103" t="s">
        <v>75</v>
      </c>
      <c r="G1103" s="56">
        <v>741000</v>
      </c>
    </row>
    <row r="1104" spans="2:7" x14ac:dyDescent="0.15">
      <c r="B1104">
        <v>2026</v>
      </c>
      <c r="C1104">
        <v>10</v>
      </c>
      <c r="D1104" t="s">
        <v>125</v>
      </c>
      <c r="E1104" t="s">
        <v>138</v>
      </c>
      <c r="F1104" t="s">
        <v>88</v>
      </c>
      <c r="G1104" s="56">
        <v>670000</v>
      </c>
    </row>
    <row r="1105" spans="2:7" x14ac:dyDescent="0.15">
      <c r="B1105">
        <v>2026</v>
      </c>
      <c r="C1105">
        <v>10</v>
      </c>
      <c r="D1105" t="s">
        <v>125</v>
      </c>
      <c r="E1105" t="s">
        <v>138</v>
      </c>
      <c r="F1105" t="s">
        <v>93</v>
      </c>
      <c r="G1105" s="56">
        <v>510000</v>
      </c>
    </row>
    <row r="1106" spans="2:7" x14ac:dyDescent="0.15">
      <c r="B1106">
        <v>2026</v>
      </c>
      <c r="C1106">
        <v>10</v>
      </c>
      <c r="D1106" t="s">
        <v>125</v>
      </c>
      <c r="E1106" t="s">
        <v>126</v>
      </c>
      <c r="F1106" t="s">
        <v>55</v>
      </c>
      <c r="G1106" s="56">
        <v>1001000</v>
      </c>
    </row>
    <row r="1107" spans="2:7" x14ac:dyDescent="0.15">
      <c r="B1107">
        <v>2026</v>
      </c>
      <c r="C1107">
        <v>10</v>
      </c>
      <c r="D1107" t="s">
        <v>125</v>
      </c>
      <c r="E1107" t="s">
        <v>126</v>
      </c>
      <c r="F1107" t="s">
        <v>62</v>
      </c>
      <c r="G1107" s="56">
        <v>565000</v>
      </c>
    </row>
    <row r="1108" spans="2:7" x14ac:dyDescent="0.15">
      <c r="B1108">
        <v>2026</v>
      </c>
      <c r="C1108">
        <v>10</v>
      </c>
      <c r="D1108" t="s">
        <v>125</v>
      </c>
      <c r="E1108" t="s">
        <v>126</v>
      </c>
      <c r="F1108" t="s">
        <v>75</v>
      </c>
      <c r="G1108" s="56">
        <v>400000</v>
      </c>
    </row>
    <row r="1109" spans="2:7" x14ac:dyDescent="0.15">
      <c r="B1109">
        <v>2026</v>
      </c>
      <c r="C1109">
        <v>10</v>
      </c>
      <c r="D1109" t="s">
        <v>125</v>
      </c>
      <c r="E1109" t="s">
        <v>126</v>
      </c>
      <c r="F1109" t="s">
        <v>88</v>
      </c>
      <c r="G1109" s="56">
        <v>353000</v>
      </c>
    </row>
    <row r="1110" spans="2:7" x14ac:dyDescent="0.15">
      <c r="B1110">
        <v>2026</v>
      </c>
      <c r="C1110">
        <v>10</v>
      </c>
      <c r="D1110" t="s">
        <v>125</v>
      </c>
      <c r="E1110" t="s">
        <v>126</v>
      </c>
      <c r="F1110" t="s">
        <v>93</v>
      </c>
      <c r="G1110" s="56">
        <v>274000</v>
      </c>
    </row>
    <row r="1111" spans="2:7" x14ac:dyDescent="0.15">
      <c r="B1111">
        <v>2026</v>
      </c>
      <c r="C1111">
        <v>10</v>
      </c>
      <c r="D1111" t="s">
        <v>70</v>
      </c>
      <c r="E1111" t="s">
        <v>84</v>
      </c>
      <c r="F1111" t="s">
        <v>55</v>
      </c>
      <c r="G1111" s="56">
        <v>1505000</v>
      </c>
    </row>
    <row r="1112" spans="2:7" x14ac:dyDescent="0.15">
      <c r="B1112">
        <v>2026</v>
      </c>
      <c r="C1112">
        <v>10</v>
      </c>
      <c r="D1112" t="s">
        <v>70</v>
      </c>
      <c r="E1112" t="s">
        <v>84</v>
      </c>
      <c r="F1112" t="s">
        <v>62</v>
      </c>
      <c r="G1112" s="56">
        <v>860000</v>
      </c>
    </row>
    <row r="1113" spans="2:7" x14ac:dyDescent="0.15">
      <c r="B1113">
        <v>2026</v>
      </c>
      <c r="C1113">
        <v>10</v>
      </c>
      <c r="D1113" t="s">
        <v>70</v>
      </c>
      <c r="E1113" t="s">
        <v>84</v>
      </c>
      <c r="F1113" t="s">
        <v>75</v>
      </c>
      <c r="G1113" s="56">
        <v>591000</v>
      </c>
    </row>
    <row r="1114" spans="2:7" x14ac:dyDescent="0.15">
      <c r="B1114">
        <v>2026</v>
      </c>
      <c r="C1114">
        <v>10</v>
      </c>
      <c r="D1114" t="s">
        <v>70</v>
      </c>
      <c r="E1114" t="s">
        <v>84</v>
      </c>
      <c r="F1114" t="s">
        <v>88</v>
      </c>
      <c r="G1114" s="56">
        <v>530000</v>
      </c>
    </row>
    <row r="1115" spans="2:7" x14ac:dyDescent="0.15">
      <c r="B1115">
        <v>2026</v>
      </c>
      <c r="C1115">
        <v>10</v>
      </c>
      <c r="D1115" t="s">
        <v>70</v>
      </c>
      <c r="E1115" t="s">
        <v>84</v>
      </c>
      <c r="F1115" t="s">
        <v>93</v>
      </c>
      <c r="G1115" s="56">
        <v>423000</v>
      </c>
    </row>
    <row r="1116" spans="2:7" x14ac:dyDescent="0.15">
      <c r="B1116">
        <v>2026</v>
      </c>
      <c r="C1116">
        <v>10</v>
      </c>
      <c r="D1116" t="s">
        <v>70</v>
      </c>
      <c r="E1116" t="s">
        <v>71</v>
      </c>
      <c r="F1116" t="s">
        <v>55</v>
      </c>
      <c r="G1116" s="56">
        <v>1124000</v>
      </c>
    </row>
    <row r="1117" spans="2:7" x14ac:dyDescent="0.15">
      <c r="B1117">
        <v>2026</v>
      </c>
      <c r="C1117">
        <v>10</v>
      </c>
      <c r="D1117" t="s">
        <v>70</v>
      </c>
      <c r="E1117" t="s">
        <v>71</v>
      </c>
      <c r="F1117" t="s">
        <v>62</v>
      </c>
      <c r="G1117" s="56">
        <v>624000</v>
      </c>
    </row>
    <row r="1118" spans="2:7" x14ac:dyDescent="0.15">
      <c r="B1118">
        <v>2026</v>
      </c>
      <c r="C1118">
        <v>10</v>
      </c>
      <c r="D1118" t="s">
        <v>70</v>
      </c>
      <c r="E1118" t="s">
        <v>71</v>
      </c>
      <c r="F1118" t="s">
        <v>75</v>
      </c>
      <c r="G1118" s="56">
        <v>433000</v>
      </c>
    </row>
    <row r="1119" spans="2:7" x14ac:dyDescent="0.15">
      <c r="B1119">
        <v>2026</v>
      </c>
      <c r="C1119">
        <v>10</v>
      </c>
      <c r="D1119" t="s">
        <v>70</v>
      </c>
      <c r="E1119" t="s">
        <v>71</v>
      </c>
      <c r="F1119" t="s">
        <v>88</v>
      </c>
      <c r="G1119" s="56">
        <v>386000</v>
      </c>
    </row>
    <row r="1120" spans="2:7" x14ac:dyDescent="0.15">
      <c r="B1120">
        <v>2026</v>
      </c>
      <c r="C1120">
        <v>10</v>
      </c>
      <c r="D1120" t="s">
        <v>70</v>
      </c>
      <c r="E1120" t="s">
        <v>71</v>
      </c>
      <c r="F1120" t="s">
        <v>93</v>
      </c>
      <c r="G1120" s="56">
        <v>299000</v>
      </c>
    </row>
    <row r="1121" spans="2:7" x14ac:dyDescent="0.15">
      <c r="B1121">
        <v>2026</v>
      </c>
      <c r="C1121">
        <v>11</v>
      </c>
      <c r="D1121" t="s">
        <v>64</v>
      </c>
      <c r="E1121" t="s">
        <v>65</v>
      </c>
      <c r="F1121" t="s">
        <v>55</v>
      </c>
      <c r="G1121" s="56">
        <v>4691000</v>
      </c>
    </row>
    <row r="1122" spans="2:7" x14ac:dyDescent="0.15">
      <c r="B1122">
        <v>2026</v>
      </c>
      <c r="C1122">
        <v>11</v>
      </c>
      <c r="D1122" t="s">
        <v>64</v>
      </c>
      <c r="E1122" t="s">
        <v>65</v>
      </c>
      <c r="F1122" t="s">
        <v>62</v>
      </c>
      <c r="G1122" s="56">
        <v>2586000</v>
      </c>
    </row>
    <row r="1123" spans="2:7" x14ac:dyDescent="0.15">
      <c r="B1123">
        <v>2026</v>
      </c>
      <c r="C1123">
        <v>11</v>
      </c>
      <c r="D1123" t="s">
        <v>64</v>
      </c>
      <c r="E1123" t="s">
        <v>65</v>
      </c>
      <c r="F1123" t="s">
        <v>75</v>
      </c>
      <c r="G1123" s="56">
        <v>1822000</v>
      </c>
    </row>
    <row r="1124" spans="2:7" x14ac:dyDescent="0.15">
      <c r="B1124">
        <v>2026</v>
      </c>
      <c r="C1124">
        <v>11</v>
      </c>
      <c r="D1124" t="s">
        <v>64</v>
      </c>
      <c r="E1124" t="s">
        <v>65</v>
      </c>
      <c r="F1124" t="s">
        <v>88</v>
      </c>
      <c r="G1124" s="56">
        <v>1597000</v>
      </c>
    </row>
    <row r="1125" spans="2:7" x14ac:dyDescent="0.15">
      <c r="B1125">
        <v>2026</v>
      </c>
      <c r="C1125">
        <v>11</v>
      </c>
      <c r="D1125" t="s">
        <v>64</v>
      </c>
      <c r="E1125" t="s">
        <v>65</v>
      </c>
      <c r="F1125" t="s">
        <v>93</v>
      </c>
      <c r="G1125" s="56">
        <v>1133000</v>
      </c>
    </row>
    <row r="1126" spans="2:7" x14ac:dyDescent="0.15">
      <c r="B1126">
        <v>2026</v>
      </c>
      <c r="C1126">
        <v>11</v>
      </c>
      <c r="D1126" t="s">
        <v>64</v>
      </c>
      <c r="E1126" t="s">
        <v>96</v>
      </c>
      <c r="F1126" t="s">
        <v>55</v>
      </c>
      <c r="G1126" s="56">
        <v>3839000</v>
      </c>
    </row>
    <row r="1127" spans="2:7" x14ac:dyDescent="0.15">
      <c r="B1127">
        <v>2026</v>
      </c>
      <c r="C1127">
        <v>11</v>
      </c>
      <c r="D1127" t="s">
        <v>64</v>
      </c>
      <c r="E1127" t="s">
        <v>96</v>
      </c>
      <c r="F1127" t="s">
        <v>62</v>
      </c>
      <c r="G1127" s="56">
        <v>2129000</v>
      </c>
    </row>
    <row r="1128" spans="2:7" x14ac:dyDescent="0.15">
      <c r="B1128">
        <v>2026</v>
      </c>
      <c r="C1128">
        <v>11</v>
      </c>
      <c r="D1128" t="s">
        <v>64</v>
      </c>
      <c r="E1128" t="s">
        <v>96</v>
      </c>
      <c r="F1128" t="s">
        <v>75</v>
      </c>
      <c r="G1128" s="56">
        <v>1447000</v>
      </c>
    </row>
    <row r="1129" spans="2:7" x14ac:dyDescent="0.15">
      <c r="B1129">
        <v>2026</v>
      </c>
      <c r="C1129">
        <v>11</v>
      </c>
      <c r="D1129" t="s">
        <v>64</v>
      </c>
      <c r="E1129" t="s">
        <v>96</v>
      </c>
      <c r="F1129" t="s">
        <v>88</v>
      </c>
      <c r="G1129" s="56">
        <v>1322000</v>
      </c>
    </row>
    <row r="1130" spans="2:7" x14ac:dyDescent="0.15">
      <c r="B1130">
        <v>2026</v>
      </c>
      <c r="C1130">
        <v>11</v>
      </c>
      <c r="D1130" t="s">
        <v>64</v>
      </c>
      <c r="E1130" t="s">
        <v>96</v>
      </c>
      <c r="F1130" t="s">
        <v>93</v>
      </c>
      <c r="G1130" s="56">
        <v>932000</v>
      </c>
    </row>
    <row r="1131" spans="2:7" x14ac:dyDescent="0.15">
      <c r="B1131">
        <v>2026</v>
      </c>
      <c r="C1131">
        <v>11</v>
      </c>
      <c r="D1131" t="s">
        <v>77</v>
      </c>
      <c r="E1131" t="s">
        <v>107</v>
      </c>
      <c r="F1131" t="s">
        <v>55</v>
      </c>
      <c r="G1131" s="56">
        <v>3354000</v>
      </c>
    </row>
    <row r="1132" spans="2:7" x14ac:dyDescent="0.15">
      <c r="B1132">
        <v>2026</v>
      </c>
      <c r="C1132">
        <v>11</v>
      </c>
      <c r="D1132" t="s">
        <v>77</v>
      </c>
      <c r="E1132" t="s">
        <v>107</v>
      </c>
      <c r="F1132" t="s">
        <v>62</v>
      </c>
      <c r="G1132" s="56">
        <v>1839000</v>
      </c>
    </row>
    <row r="1133" spans="2:7" x14ac:dyDescent="0.15">
      <c r="B1133">
        <v>2026</v>
      </c>
      <c r="C1133">
        <v>11</v>
      </c>
      <c r="D1133" t="s">
        <v>77</v>
      </c>
      <c r="E1133" t="s">
        <v>107</v>
      </c>
      <c r="F1133" t="s">
        <v>75</v>
      </c>
      <c r="G1133" s="56">
        <v>1271000</v>
      </c>
    </row>
    <row r="1134" spans="2:7" x14ac:dyDescent="0.15">
      <c r="B1134">
        <v>2026</v>
      </c>
      <c r="C1134">
        <v>11</v>
      </c>
      <c r="D1134" t="s">
        <v>77</v>
      </c>
      <c r="E1134" t="s">
        <v>107</v>
      </c>
      <c r="F1134" t="s">
        <v>88</v>
      </c>
      <c r="G1134" s="56">
        <v>1134000</v>
      </c>
    </row>
    <row r="1135" spans="2:7" x14ac:dyDescent="0.15">
      <c r="B1135">
        <v>2026</v>
      </c>
      <c r="C1135">
        <v>11</v>
      </c>
      <c r="D1135" t="s">
        <v>77</v>
      </c>
      <c r="E1135" t="s">
        <v>107</v>
      </c>
      <c r="F1135" t="s">
        <v>93</v>
      </c>
      <c r="G1135" s="56">
        <v>818000</v>
      </c>
    </row>
    <row r="1136" spans="2:7" x14ac:dyDescent="0.15">
      <c r="B1136">
        <v>2026</v>
      </c>
      <c r="C1136">
        <v>11</v>
      </c>
      <c r="D1136" t="s">
        <v>77</v>
      </c>
      <c r="E1136" t="s">
        <v>78</v>
      </c>
      <c r="F1136" t="s">
        <v>55</v>
      </c>
      <c r="G1136" s="56">
        <v>2228000</v>
      </c>
    </row>
    <row r="1137" spans="2:7" x14ac:dyDescent="0.15">
      <c r="B1137">
        <v>2026</v>
      </c>
      <c r="C1137">
        <v>11</v>
      </c>
      <c r="D1137" t="s">
        <v>77</v>
      </c>
      <c r="E1137" t="s">
        <v>78</v>
      </c>
      <c r="F1137" t="s">
        <v>62</v>
      </c>
      <c r="G1137" s="56">
        <v>1244000</v>
      </c>
    </row>
    <row r="1138" spans="2:7" x14ac:dyDescent="0.15">
      <c r="B1138">
        <v>2026</v>
      </c>
      <c r="C1138">
        <v>11</v>
      </c>
      <c r="D1138" t="s">
        <v>77</v>
      </c>
      <c r="E1138" t="s">
        <v>78</v>
      </c>
      <c r="F1138" t="s">
        <v>75</v>
      </c>
      <c r="G1138" s="56">
        <v>843000</v>
      </c>
    </row>
    <row r="1139" spans="2:7" x14ac:dyDescent="0.15">
      <c r="B1139">
        <v>2026</v>
      </c>
      <c r="C1139">
        <v>11</v>
      </c>
      <c r="D1139" t="s">
        <v>77</v>
      </c>
      <c r="E1139" t="s">
        <v>78</v>
      </c>
      <c r="F1139" t="s">
        <v>88</v>
      </c>
      <c r="G1139" s="56">
        <v>752000</v>
      </c>
    </row>
    <row r="1140" spans="2:7" x14ac:dyDescent="0.15">
      <c r="B1140">
        <v>2026</v>
      </c>
      <c r="C1140">
        <v>11</v>
      </c>
      <c r="D1140" t="s">
        <v>77</v>
      </c>
      <c r="E1140" t="s">
        <v>78</v>
      </c>
      <c r="F1140" t="s">
        <v>93</v>
      </c>
      <c r="G1140" s="56">
        <v>548000</v>
      </c>
    </row>
    <row r="1141" spans="2:7" x14ac:dyDescent="0.15">
      <c r="B1141">
        <v>2026</v>
      </c>
      <c r="C1141">
        <v>11</v>
      </c>
      <c r="D1141" t="s">
        <v>57</v>
      </c>
      <c r="E1141" t="s">
        <v>81</v>
      </c>
      <c r="F1141" t="s">
        <v>55</v>
      </c>
      <c r="G1141" s="56">
        <v>2827000</v>
      </c>
    </row>
    <row r="1142" spans="2:7" x14ac:dyDescent="0.15">
      <c r="B1142">
        <v>2026</v>
      </c>
      <c r="C1142">
        <v>11</v>
      </c>
      <c r="D1142" t="s">
        <v>57</v>
      </c>
      <c r="E1142" t="s">
        <v>81</v>
      </c>
      <c r="F1142" t="s">
        <v>62</v>
      </c>
      <c r="G1142" s="56">
        <v>1516000</v>
      </c>
    </row>
    <row r="1143" spans="2:7" x14ac:dyDescent="0.15">
      <c r="B1143">
        <v>2026</v>
      </c>
      <c r="C1143">
        <v>11</v>
      </c>
      <c r="D1143" t="s">
        <v>57</v>
      </c>
      <c r="E1143" t="s">
        <v>81</v>
      </c>
      <c r="F1143" t="s">
        <v>75</v>
      </c>
      <c r="G1143" s="56">
        <v>1043000</v>
      </c>
    </row>
    <row r="1144" spans="2:7" x14ac:dyDescent="0.15">
      <c r="B1144">
        <v>2026</v>
      </c>
      <c r="C1144">
        <v>11</v>
      </c>
      <c r="D1144" t="s">
        <v>57</v>
      </c>
      <c r="E1144" t="s">
        <v>81</v>
      </c>
      <c r="F1144" t="s">
        <v>88</v>
      </c>
      <c r="G1144" s="56">
        <v>956000</v>
      </c>
    </row>
    <row r="1145" spans="2:7" x14ac:dyDescent="0.15">
      <c r="B1145">
        <v>2026</v>
      </c>
      <c r="C1145">
        <v>11</v>
      </c>
      <c r="D1145" t="s">
        <v>57</v>
      </c>
      <c r="E1145" t="s">
        <v>81</v>
      </c>
      <c r="F1145" t="s">
        <v>93</v>
      </c>
      <c r="G1145" s="56">
        <v>683000</v>
      </c>
    </row>
    <row r="1146" spans="2:7" x14ac:dyDescent="0.15">
      <c r="B1146">
        <v>2026</v>
      </c>
      <c r="C1146">
        <v>11</v>
      </c>
      <c r="D1146" t="s">
        <v>57</v>
      </c>
      <c r="E1146" t="s">
        <v>58</v>
      </c>
      <c r="F1146" t="s">
        <v>55</v>
      </c>
      <c r="G1146" s="56">
        <v>1719000</v>
      </c>
    </row>
    <row r="1147" spans="2:7" x14ac:dyDescent="0.15">
      <c r="B1147">
        <v>2026</v>
      </c>
      <c r="C1147">
        <v>11</v>
      </c>
      <c r="D1147" t="s">
        <v>57</v>
      </c>
      <c r="E1147" t="s">
        <v>58</v>
      </c>
      <c r="F1147" t="s">
        <v>62</v>
      </c>
      <c r="G1147" s="56">
        <v>925000</v>
      </c>
    </row>
    <row r="1148" spans="2:7" x14ac:dyDescent="0.15">
      <c r="B1148">
        <v>2026</v>
      </c>
      <c r="C1148">
        <v>11</v>
      </c>
      <c r="D1148" t="s">
        <v>57</v>
      </c>
      <c r="E1148" t="s">
        <v>58</v>
      </c>
      <c r="F1148" t="s">
        <v>75</v>
      </c>
      <c r="G1148" s="56">
        <v>645000</v>
      </c>
    </row>
    <row r="1149" spans="2:7" x14ac:dyDescent="0.15">
      <c r="B1149">
        <v>2026</v>
      </c>
      <c r="C1149">
        <v>11</v>
      </c>
      <c r="D1149" t="s">
        <v>57</v>
      </c>
      <c r="E1149" t="s">
        <v>58</v>
      </c>
      <c r="F1149" t="s">
        <v>88</v>
      </c>
      <c r="G1149" s="56">
        <v>575000</v>
      </c>
    </row>
    <row r="1150" spans="2:7" x14ac:dyDescent="0.15">
      <c r="B1150">
        <v>2026</v>
      </c>
      <c r="C1150">
        <v>11</v>
      </c>
      <c r="D1150" t="s">
        <v>57</v>
      </c>
      <c r="E1150" t="s">
        <v>58</v>
      </c>
      <c r="F1150" t="s">
        <v>93</v>
      </c>
      <c r="G1150" s="56">
        <v>414000</v>
      </c>
    </row>
    <row r="1151" spans="2:7" x14ac:dyDescent="0.15">
      <c r="B1151">
        <v>2026</v>
      </c>
      <c r="C1151">
        <v>11</v>
      </c>
      <c r="D1151" t="s">
        <v>125</v>
      </c>
      <c r="E1151" t="s">
        <v>138</v>
      </c>
      <c r="F1151" t="s">
        <v>55</v>
      </c>
      <c r="G1151" s="56">
        <v>2062000</v>
      </c>
    </row>
    <row r="1152" spans="2:7" x14ac:dyDescent="0.15">
      <c r="B1152">
        <v>2026</v>
      </c>
      <c r="C1152">
        <v>11</v>
      </c>
      <c r="D1152" t="s">
        <v>125</v>
      </c>
      <c r="E1152" t="s">
        <v>138</v>
      </c>
      <c r="F1152" t="s">
        <v>62</v>
      </c>
      <c r="G1152" s="56">
        <v>1116000</v>
      </c>
    </row>
    <row r="1153" spans="2:7" x14ac:dyDescent="0.15">
      <c r="B1153">
        <v>2026</v>
      </c>
      <c r="C1153">
        <v>11</v>
      </c>
      <c r="D1153" t="s">
        <v>125</v>
      </c>
      <c r="E1153" t="s">
        <v>138</v>
      </c>
      <c r="F1153" t="s">
        <v>75</v>
      </c>
      <c r="G1153" s="56">
        <v>761000</v>
      </c>
    </row>
    <row r="1154" spans="2:7" x14ac:dyDescent="0.15">
      <c r="B1154">
        <v>2026</v>
      </c>
      <c r="C1154">
        <v>11</v>
      </c>
      <c r="D1154" t="s">
        <v>125</v>
      </c>
      <c r="E1154" t="s">
        <v>138</v>
      </c>
      <c r="F1154" t="s">
        <v>88</v>
      </c>
      <c r="G1154" s="56">
        <v>698000</v>
      </c>
    </row>
    <row r="1155" spans="2:7" x14ac:dyDescent="0.15">
      <c r="B1155">
        <v>2026</v>
      </c>
      <c r="C1155">
        <v>11</v>
      </c>
      <c r="D1155" t="s">
        <v>125</v>
      </c>
      <c r="E1155" t="s">
        <v>138</v>
      </c>
      <c r="F1155" t="s">
        <v>93</v>
      </c>
      <c r="G1155" s="56">
        <v>484000</v>
      </c>
    </row>
    <row r="1156" spans="2:7" x14ac:dyDescent="0.15">
      <c r="B1156">
        <v>2026</v>
      </c>
      <c r="C1156">
        <v>11</v>
      </c>
      <c r="D1156" t="s">
        <v>125</v>
      </c>
      <c r="E1156" t="s">
        <v>126</v>
      </c>
      <c r="F1156" t="s">
        <v>55</v>
      </c>
      <c r="G1156" s="56">
        <v>1080000</v>
      </c>
    </row>
    <row r="1157" spans="2:7" x14ac:dyDescent="0.15">
      <c r="B1157">
        <v>2026</v>
      </c>
      <c r="C1157">
        <v>11</v>
      </c>
      <c r="D1157" t="s">
        <v>125</v>
      </c>
      <c r="E1157" t="s">
        <v>126</v>
      </c>
      <c r="F1157" t="s">
        <v>62</v>
      </c>
      <c r="G1157" s="56">
        <v>602000</v>
      </c>
    </row>
    <row r="1158" spans="2:7" x14ac:dyDescent="0.15">
      <c r="B1158">
        <v>2026</v>
      </c>
      <c r="C1158">
        <v>11</v>
      </c>
      <c r="D1158" t="s">
        <v>125</v>
      </c>
      <c r="E1158" t="s">
        <v>126</v>
      </c>
      <c r="F1158" t="s">
        <v>75</v>
      </c>
      <c r="G1158" s="56">
        <v>417000</v>
      </c>
    </row>
    <row r="1159" spans="2:7" x14ac:dyDescent="0.15">
      <c r="B1159">
        <v>2026</v>
      </c>
      <c r="C1159">
        <v>11</v>
      </c>
      <c r="D1159" t="s">
        <v>125</v>
      </c>
      <c r="E1159" t="s">
        <v>126</v>
      </c>
      <c r="F1159" t="s">
        <v>88</v>
      </c>
      <c r="G1159" s="56">
        <v>372000</v>
      </c>
    </row>
    <row r="1160" spans="2:7" x14ac:dyDescent="0.15">
      <c r="B1160">
        <v>2026</v>
      </c>
      <c r="C1160">
        <v>11</v>
      </c>
      <c r="D1160" t="s">
        <v>125</v>
      </c>
      <c r="E1160" t="s">
        <v>126</v>
      </c>
      <c r="F1160" t="s">
        <v>93</v>
      </c>
      <c r="G1160" s="56">
        <v>261000</v>
      </c>
    </row>
    <row r="1161" spans="2:7" x14ac:dyDescent="0.15">
      <c r="B1161">
        <v>2026</v>
      </c>
      <c r="C1161">
        <v>11</v>
      </c>
      <c r="D1161" t="s">
        <v>70</v>
      </c>
      <c r="E1161" t="s">
        <v>84</v>
      </c>
      <c r="F1161" t="s">
        <v>55</v>
      </c>
      <c r="G1161" s="56">
        <v>1634000</v>
      </c>
    </row>
    <row r="1162" spans="2:7" x14ac:dyDescent="0.15">
      <c r="B1162">
        <v>2026</v>
      </c>
      <c r="C1162">
        <v>11</v>
      </c>
      <c r="D1162" t="s">
        <v>70</v>
      </c>
      <c r="E1162" t="s">
        <v>84</v>
      </c>
      <c r="F1162" t="s">
        <v>62</v>
      </c>
      <c r="G1162" s="56">
        <v>895000</v>
      </c>
    </row>
    <row r="1163" spans="2:7" x14ac:dyDescent="0.15">
      <c r="B1163">
        <v>2026</v>
      </c>
      <c r="C1163">
        <v>11</v>
      </c>
      <c r="D1163" t="s">
        <v>70</v>
      </c>
      <c r="E1163" t="s">
        <v>84</v>
      </c>
      <c r="F1163" t="s">
        <v>75</v>
      </c>
      <c r="G1163" s="56">
        <v>616000</v>
      </c>
    </row>
    <row r="1164" spans="2:7" x14ac:dyDescent="0.15">
      <c r="B1164">
        <v>2026</v>
      </c>
      <c r="C1164">
        <v>11</v>
      </c>
      <c r="D1164" t="s">
        <v>70</v>
      </c>
      <c r="E1164" t="s">
        <v>84</v>
      </c>
      <c r="F1164" t="s">
        <v>88</v>
      </c>
      <c r="G1164" s="56">
        <v>554000</v>
      </c>
    </row>
    <row r="1165" spans="2:7" x14ac:dyDescent="0.15">
      <c r="B1165">
        <v>2026</v>
      </c>
      <c r="C1165">
        <v>11</v>
      </c>
      <c r="D1165" t="s">
        <v>70</v>
      </c>
      <c r="E1165" t="s">
        <v>84</v>
      </c>
      <c r="F1165" t="s">
        <v>93</v>
      </c>
      <c r="G1165" s="56">
        <v>388000</v>
      </c>
    </row>
    <row r="1166" spans="2:7" x14ac:dyDescent="0.15">
      <c r="B1166">
        <v>2026</v>
      </c>
      <c r="C1166">
        <v>11</v>
      </c>
      <c r="D1166" t="s">
        <v>70</v>
      </c>
      <c r="E1166" t="s">
        <v>71</v>
      </c>
      <c r="F1166" t="s">
        <v>55</v>
      </c>
      <c r="G1166" s="56">
        <v>1163000</v>
      </c>
    </row>
    <row r="1167" spans="2:7" x14ac:dyDescent="0.15">
      <c r="B1167">
        <v>2026</v>
      </c>
      <c r="C1167">
        <v>11</v>
      </c>
      <c r="D1167" t="s">
        <v>70</v>
      </c>
      <c r="E1167" t="s">
        <v>71</v>
      </c>
      <c r="F1167" t="s">
        <v>62</v>
      </c>
      <c r="G1167" s="56">
        <v>651000</v>
      </c>
    </row>
    <row r="1168" spans="2:7" x14ac:dyDescent="0.15">
      <c r="B1168">
        <v>2026</v>
      </c>
      <c r="C1168">
        <v>11</v>
      </c>
      <c r="D1168" t="s">
        <v>70</v>
      </c>
      <c r="E1168" t="s">
        <v>71</v>
      </c>
      <c r="F1168" t="s">
        <v>75</v>
      </c>
      <c r="G1168" s="56">
        <v>453000</v>
      </c>
    </row>
    <row r="1169" spans="2:7" x14ac:dyDescent="0.15">
      <c r="B1169">
        <v>2026</v>
      </c>
      <c r="C1169">
        <v>11</v>
      </c>
      <c r="D1169" t="s">
        <v>70</v>
      </c>
      <c r="E1169" t="s">
        <v>71</v>
      </c>
      <c r="F1169" t="s">
        <v>88</v>
      </c>
      <c r="G1169" s="56">
        <v>404000</v>
      </c>
    </row>
    <row r="1170" spans="2:7" x14ac:dyDescent="0.15">
      <c r="B1170">
        <v>2026</v>
      </c>
      <c r="C1170">
        <v>11</v>
      </c>
      <c r="D1170" t="s">
        <v>70</v>
      </c>
      <c r="E1170" t="s">
        <v>71</v>
      </c>
      <c r="F1170" t="s">
        <v>93</v>
      </c>
      <c r="G1170" s="56">
        <v>287000</v>
      </c>
    </row>
    <row r="1171" spans="2:7" x14ac:dyDescent="0.15">
      <c r="B1171">
        <v>2026</v>
      </c>
      <c r="C1171">
        <v>12</v>
      </c>
      <c r="D1171" t="s">
        <v>64</v>
      </c>
      <c r="E1171" t="s">
        <v>65</v>
      </c>
      <c r="F1171" t="s">
        <v>55</v>
      </c>
      <c r="G1171" s="56">
        <v>7035000</v>
      </c>
    </row>
    <row r="1172" spans="2:7" x14ac:dyDescent="0.15">
      <c r="B1172">
        <v>2026</v>
      </c>
      <c r="C1172">
        <v>12</v>
      </c>
      <c r="D1172" t="s">
        <v>64</v>
      </c>
      <c r="E1172" t="s">
        <v>65</v>
      </c>
      <c r="F1172" t="s">
        <v>62</v>
      </c>
      <c r="G1172" s="56">
        <v>3384000</v>
      </c>
    </row>
    <row r="1173" spans="2:7" x14ac:dyDescent="0.15">
      <c r="B1173">
        <v>2026</v>
      </c>
      <c r="C1173">
        <v>12</v>
      </c>
      <c r="D1173" t="s">
        <v>64</v>
      </c>
      <c r="E1173" t="s">
        <v>65</v>
      </c>
      <c r="F1173" t="s">
        <v>75</v>
      </c>
      <c r="G1173" s="56">
        <v>2550000</v>
      </c>
    </row>
    <row r="1174" spans="2:7" x14ac:dyDescent="0.15">
      <c r="B1174">
        <v>2026</v>
      </c>
      <c r="C1174">
        <v>12</v>
      </c>
      <c r="D1174" t="s">
        <v>64</v>
      </c>
      <c r="E1174" t="s">
        <v>65</v>
      </c>
      <c r="F1174" t="s">
        <v>88</v>
      </c>
      <c r="G1174" s="56">
        <v>2392000</v>
      </c>
    </row>
    <row r="1175" spans="2:7" x14ac:dyDescent="0.15">
      <c r="B1175">
        <v>2026</v>
      </c>
      <c r="C1175">
        <v>12</v>
      </c>
      <c r="D1175" t="s">
        <v>64</v>
      </c>
      <c r="E1175" t="s">
        <v>65</v>
      </c>
      <c r="F1175" t="s">
        <v>93</v>
      </c>
      <c r="G1175" s="56">
        <v>1464000</v>
      </c>
    </row>
    <row r="1176" spans="2:7" x14ac:dyDescent="0.15">
      <c r="B1176">
        <v>2026</v>
      </c>
      <c r="C1176">
        <v>12</v>
      </c>
      <c r="D1176" t="s">
        <v>64</v>
      </c>
      <c r="E1176" t="s">
        <v>96</v>
      </c>
      <c r="F1176" t="s">
        <v>55</v>
      </c>
      <c r="G1176" s="56">
        <v>5944000</v>
      </c>
    </row>
    <row r="1177" spans="2:7" x14ac:dyDescent="0.15">
      <c r="B1177">
        <v>2026</v>
      </c>
      <c r="C1177">
        <v>12</v>
      </c>
      <c r="D1177" t="s">
        <v>64</v>
      </c>
      <c r="E1177" t="s">
        <v>96</v>
      </c>
      <c r="F1177" t="s">
        <v>62</v>
      </c>
      <c r="G1177" s="56">
        <v>2783000</v>
      </c>
    </row>
    <row r="1178" spans="2:7" x14ac:dyDescent="0.15">
      <c r="B1178">
        <v>2026</v>
      </c>
      <c r="C1178">
        <v>12</v>
      </c>
      <c r="D1178" t="s">
        <v>64</v>
      </c>
      <c r="E1178" t="s">
        <v>96</v>
      </c>
      <c r="F1178" t="s">
        <v>75</v>
      </c>
      <c r="G1178" s="56">
        <v>2051000</v>
      </c>
    </row>
    <row r="1179" spans="2:7" x14ac:dyDescent="0.15">
      <c r="B1179">
        <v>2026</v>
      </c>
      <c r="C1179">
        <v>12</v>
      </c>
      <c r="D1179" t="s">
        <v>64</v>
      </c>
      <c r="E1179" t="s">
        <v>96</v>
      </c>
      <c r="F1179" t="s">
        <v>88</v>
      </c>
      <c r="G1179" s="56">
        <v>1994000</v>
      </c>
    </row>
    <row r="1180" spans="2:7" x14ac:dyDescent="0.15">
      <c r="B1180">
        <v>2026</v>
      </c>
      <c r="C1180">
        <v>12</v>
      </c>
      <c r="D1180" t="s">
        <v>64</v>
      </c>
      <c r="E1180" t="s">
        <v>96</v>
      </c>
      <c r="F1180" t="s">
        <v>93</v>
      </c>
      <c r="G1180" s="56">
        <v>1201000</v>
      </c>
    </row>
    <row r="1181" spans="2:7" x14ac:dyDescent="0.15">
      <c r="B1181">
        <v>2026</v>
      </c>
      <c r="C1181">
        <v>12</v>
      </c>
      <c r="D1181" t="s">
        <v>77</v>
      </c>
      <c r="E1181" t="s">
        <v>107</v>
      </c>
      <c r="F1181" t="s">
        <v>55</v>
      </c>
      <c r="G1181" s="56">
        <v>4994000</v>
      </c>
    </row>
    <row r="1182" spans="2:7" x14ac:dyDescent="0.15">
      <c r="B1182">
        <v>2026</v>
      </c>
      <c r="C1182">
        <v>12</v>
      </c>
      <c r="D1182" t="s">
        <v>77</v>
      </c>
      <c r="E1182" t="s">
        <v>107</v>
      </c>
      <c r="F1182" t="s">
        <v>62</v>
      </c>
      <c r="G1182" s="56">
        <v>2347000</v>
      </c>
    </row>
    <row r="1183" spans="2:7" x14ac:dyDescent="0.15">
      <c r="B1183">
        <v>2026</v>
      </c>
      <c r="C1183">
        <v>12</v>
      </c>
      <c r="D1183" t="s">
        <v>77</v>
      </c>
      <c r="E1183" t="s">
        <v>107</v>
      </c>
      <c r="F1183" t="s">
        <v>75</v>
      </c>
      <c r="G1183" s="56">
        <v>1812000</v>
      </c>
    </row>
    <row r="1184" spans="2:7" x14ac:dyDescent="0.15">
      <c r="B1184">
        <v>2026</v>
      </c>
      <c r="C1184">
        <v>12</v>
      </c>
      <c r="D1184" t="s">
        <v>77</v>
      </c>
      <c r="E1184" t="s">
        <v>107</v>
      </c>
      <c r="F1184" t="s">
        <v>88</v>
      </c>
      <c r="G1184" s="56">
        <v>1707000</v>
      </c>
    </row>
    <row r="1185" spans="2:7" x14ac:dyDescent="0.15">
      <c r="B1185">
        <v>2026</v>
      </c>
      <c r="C1185">
        <v>12</v>
      </c>
      <c r="D1185" t="s">
        <v>77</v>
      </c>
      <c r="E1185" t="s">
        <v>107</v>
      </c>
      <c r="F1185" t="s">
        <v>93</v>
      </c>
      <c r="G1185" s="56">
        <v>1075000</v>
      </c>
    </row>
    <row r="1186" spans="2:7" x14ac:dyDescent="0.15">
      <c r="B1186">
        <v>2026</v>
      </c>
      <c r="C1186">
        <v>12</v>
      </c>
      <c r="D1186" t="s">
        <v>77</v>
      </c>
      <c r="E1186" t="s">
        <v>78</v>
      </c>
      <c r="F1186" t="s">
        <v>55</v>
      </c>
      <c r="G1186" s="56">
        <v>3304000</v>
      </c>
    </row>
    <row r="1187" spans="2:7" x14ac:dyDescent="0.15">
      <c r="B1187">
        <v>2026</v>
      </c>
      <c r="C1187">
        <v>12</v>
      </c>
      <c r="D1187" t="s">
        <v>77</v>
      </c>
      <c r="E1187" t="s">
        <v>78</v>
      </c>
      <c r="F1187" t="s">
        <v>62</v>
      </c>
      <c r="G1187" s="56">
        <v>1561000</v>
      </c>
    </row>
    <row r="1188" spans="2:7" x14ac:dyDescent="0.15">
      <c r="B1188">
        <v>2026</v>
      </c>
      <c r="C1188">
        <v>12</v>
      </c>
      <c r="D1188" t="s">
        <v>77</v>
      </c>
      <c r="E1188" t="s">
        <v>78</v>
      </c>
      <c r="F1188" t="s">
        <v>75</v>
      </c>
      <c r="G1188" s="56">
        <v>1188000</v>
      </c>
    </row>
    <row r="1189" spans="2:7" x14ac:dyDescent="0.15">
      <c r="B1189">
        <v>2026</v>
      </c>
      <c r="C1189">
        <v>12</v>
      </c>
      <c r="D1189" t="s">
        <v>77</v>
      </c>
      <c r="E1189" t="s">
        <v>78</v>
      </c>
      <c r="F1189" t="s">
        <v>88</v>
      </c>
      <c r="G1189" s="56">
        <v>1149000</v>
      </c>
    </row>
    <row r="1190" spans="2:7" x14ac:dyDescent="0.15">
      <c r="B1190">
        <v>2026</v>
      </c>
      <c r="C1190">
        <v>12</v>
      </c>
      <c r="D1190" t="s">
        <v>77</v>
      </c>
      <c r="E1190" t="s">
        <v>78</v>
      </c>
      <c r="F1190" t="s">
        <v>93</v>
      </c>
      <c r="G1190" s="56">
        <v>696000</v>
      </c>
    </row>
    <row r="1191" spans="2:7" x14ac:dyDescent="0.15">
      <c r="B1191">
        <v>2026</v>
      </c>
      <c r="C1191">
        <v>12</v>
      </c>
      <c r="D1191" t="s">
        <v>57</v>
      </c>
      <c r="E1191" t="s">
        <v>81</v>
      </c>
      <c r="F1191" t="s">
        <v>55</v>
      </c>
      <c r="G1191" s="56">
        <v>4249000</v>
      </c>
    </row>
    <row r="1192" spans="2:7" x14ac:dyDescent="0.15">
      <c r="B1192">
        <v>2026</v>
      </c>
      <c r="C1192">
        <v>12</v>
      </c>
      <c r="D1192" t="s">
        <v>57</v>
      </c>
      <c r="E1192" t="s">
        <v>81</v>
      </c>
      <c r="F1192" t="s">
        <v>62</v>
      </c>
      <c r="G1192" s="56">
        <v>1966000</v>
      </c>
    </row>
    <row r="1193" spans="2:7" x14ac:dyDescent="0.15">
      <c r="B1193">
        <v>2026</v>
      </c>
      <c r="C1193">
        <v>12</v>
      </c>
      <c r="D1193" t="s">
        <v>57</v>
      </c>
      <c r="E1193" t="s">
        <v>81</v>
      </c>
      <c r="F1193" t="s">
        <v>75</v>
      </c>
      <c r="G1193" s="56">
        <v>1494000</v>
      </c>
    </row>
    <row r="1194" spans="2:7" x14ac:dyDescent="0.15">
      <c r="B1194">
        <v>2026</v>
      </c>
      <c r="C1194">
        <v>12</v>
      </c>
      <c r="D1194" t="s">
        <v>57</v>
      </c>
      <c r="E1194" t="s">
        <v>81</v>
      </c>
      <c r="F1194" t="s">
        <v>88</v>
      </c>
      <c r="G1194" s="56">
        <v>1407000</v>
      </c>
    </row>
    <row r="1195" spans="2:7" x14ac:dyDescent="0.15">
      <c r="B1195">
        <v>2026</v>
      </c>
      <c r="C1195">
        <v>12</v>
      </c>
      <c r="D1195" t="s">
        <v>57</v>
      </c>
      <c r="E1195" t="s">
        <v>81</v>
      </c>
      <c r="F1195" t="s">
        <v>93</v>
      </c>
      <c r="G1195" s="56">
        <v>889000</v>
      </c>
    </row>
    <row r="1196" spans="2:7" x14ac:dyDescent="0.15">
      <c r="B1196">
        <v>2026</v>
      </c>
      <c r="C1196">
        <v>12</v>
      </c>
      <c r="D1196" t="s">
        <v>57</v>
      </c>
      <c r="E1196" t="s">
        <v>58</v>
      </c>
      <c r="F1196" t="s">
        <v>55</v>
      </c>
      <c r="G1196" s="56">
        <v>2574000</v>
      </c>
    </row>
    <row r="1197" spans="2:7" x14ac:dyDescent="0.15">
      <c r="B1197">
        <v>2026</v>
      </c>
      <c r="C1197">
        <v>12</v>
      </c>
      <c r="D1197" t="s">
        <v>57</v>
      </c>
      <c r="E1197" t="s">
        <v>58</v>
      </c>
      <c r="F1197" t="s">
        <v>62</v>
      </c>
      <c r="G1197" s="56">
        <v>1224000</v>
      </c>
    </row>
    <row r="1198" spans="2:7" x14ac:dyDescent="0.15">
      <c r="B1198">
        <v>2026</v>
      </c>
      <c r="C1198">
        <v>12</v>
      </c>
      <c r="D1198" t="s">
        <v>57</v>
      </c>
      <c r="E1198" t="s">
        <v>58</v>
      </c>
      <c r="F1198" t="s">
        <v>75</v>
      </c>
      <c r="G1198" s="56">
        <v>911000</v>
      </c>
    </row>
    <row r="1199" spans="2:7" x14ac:dyDescent="0.15">
      <c r="B1199">
        <v>2026</v>
      </c>
      <c r="C1199">
        <v>12</v>
      </c>
      <c r="D1199" t="s">
        <v>57</v>
      </c>
      <c r="E1199" t="s">
        <v>58</v>
      </c>
      <c r="F1199" t="s">
        <v>88</v>
      </c>
      <c r="G1199" s="56">
        <v>864000</v>
      </c>
    </row>
    <row r="1200" spans="2:7" x14ac:dyDescent="0.15">
      <c r="B1200">
        <v>2026</v>
      </c>
      <c r="C1200">
        <v>12</v>
      </c>
      <c r="D1200" t="s">
        <v>57</v>
      </c>
      <c r="E1200" t="s">
        <v>58</v>
      </c>
      <c r="F1200" t="s">
        <v>93</v>
      </c>
      <c r="G1200" s="56">
        <v>531000</v>
      </c>
    </row>
    <row r="1201" spans="2:7" x14ac:dyDescent="0.15">
      <c r="B1201">
        <v>2026</v>
      </c>
      <c r="C1201">
        <v>12</v>
      </c>
      <c r="D1201" t="s">
        <v>125</v>
      </c>
      <c r="E1201" t="s">
        <v>138</v>
      </c>
      <c r="F1201" t="s">
        <v>55</v>
      </c>
      <c r="G1201" s="56">
        <v>3114000</v>
      </c>
    </row>
    <row r="1202" spans="2:7" x14ac:dyDescent="0.15">
      <c r="B1202">
        <v>2026</v>
      </c>
      <c r="C1202">
        <v>12</v>
      </c>
      <c r="D1202" t="s">
        <v>125</v>
      </c>
      <c r="E1202" t="s">
        <v>138</v>
      </c>
      <c r="F1202" t="s">
        <v>62</v>
      </c>
      <c r="G1202" s="56">
        <v>1459000</v>
      </c>
    </row>
    <row r="1203" spans="2:7" x14ac:dyDescent="0.15">
      <c r="B1203">
        <v>2026</v>
      </c>
      <c r="C1203">
        <v>12</v>
      </c>
      <c r="D1203" t="s">
        <v>125</v>
      </c>
      <c r="E1203" t="s">
        <v>138</v>
      </c>
      <c r="F1203" t="s">
        <v>75</v>
      </c>
      <c r="G1203" s="56">
        <v>1081000</v>
      </c>
    </row>
    <row r="1204" spans="2:7" x14ac:dyDescent="0.15">
      <c r="B1204">
        <v>2026</v>
      </c>
      <c r="C1204">
        <v>12</v>
      </c>
      <c r="D1204" t="s">
        <v>125</v>
      </c>
      <c r="E1204" t="s">
        <v>138</v>
      </c>
      <c r="F1204" t="s">
        <v>88</v>
      </c>
      <c r="G1204" s="56">
        <v>1023000</v>
      </c>
    </row>
    <row r="1205" spans="2:7" x14ac:dyDescent="0.15">
      <c r="B1205">
        <v>2026</v>
      </c>
      <c r="C1205">
        <v>12</v>
      </c>
      <c r="D1205" t="s">
        <v>125</v>
      </c>
      <c r="E1205" t="s">
        <v>138</v>
      </c>
      <c r="F1205" t="s">
        <v>93</v>
      </c>
      <c r="G1205" s="56">
        <v>627000</v>
      </c>
    </row>
    <row r="1206" spans="2:7" x14ac:dyDescent="0.15">
      <c r="B1206">
        <v>2026</v>
      </c>
      <c r="C1206">
        <v>12</v>
      </c>
      <c r="D1206" t="s">
        <v>125</v>
      </c>
      <c r="E1206" t="s">
        <v>126</v>
      </c>
      <c r="F1206" t="s">
        <v>55</v>
      </c>
      <c r="G1206" s="56">
        <v>1646000</v>
      </c>
    </row>
    <row r="1207" spans="2:7" x14ac:dyDescent="0.15">
      <c r="B1207">
        <v>2026</v>
      </c>
      <c r="C1207">
        <v>12</v>
      </c>
      <c r="D1207" t="s">
        <v>125</v>
      </c>
      <c r="E1207" t="s">
        <v>126</v>
      </c>
      <c r="F1207" t="s">
        <v>62</v>
      </c>
      <c r="G1207" s="56">
        <v>780000</v>
      </c>
    </row>
    <row r="1208" spans="2:7" x14ac:dyDescent="0.15">
      <c r="B1208">
        <v>2026</v>
      </c>
      <c r="C1208">
        <v>12</v>
      </c>
      <c r="D1208" t="s">
        <v>125</v>
      </c>
      <c r="E1208" t="s">
        <v>126</v>
      </c>
      <c r="F1208" t="s">
        <v>75</v>
      </c>
      <c r="G1208" s="56">
        <v>582000</v>
      </c>
    </row>
    <row r="1209" spans="2:7" x14ac:dyDescent="0.15">
      <c r="B1209">
        <v>2026</v>
      </c>
      <c r="C1209">
        <v>12</v>
      </c>
      <c r="D1209" t="s">
        <v>125</v>
      </c>
      <c r="E1209" t="s">
        <v>126</v>
      </c>
      <c r="F1209" t="s">
        <v>88</v>
      </c>
      <c r="G1209" s="56">
        <v>560000</v>
      </c>
    </row>
    <row r="1210" spans="2:7" x14ac:dyDescent="0.15">
      <c r="B1210">
        <v>2026</v>
      </c>
      <c r="C1210">
        <v>12</v>
      </c>
      <c r="D1210" t="s">
        <v>125</v>
      </c>
      <c r="E1210" t="s">
        <v>126</v>
      </c>
      <c r="F1210" t="s">
        <v>93</v>
      </c>
      <c r="G1210" s="56">
        <v>337000</v>
      </c>
    </row>
    <row r="1211" spans="2:7" x14ac:dyDescent="0.15">
      <c r="B1211">
        <v>2026</v>
      </c>
      <c r="C1211">
        <v>12</v>
      </c>
      <c r="D1211" t="s">
        <v>70</v>
      </c>
      <c r="E1211" t="s">
        <v>84</v>
      </c>
      <c r="F1211" t="s">
        <v>55</v>
      </c>
      <c r="G1211" s="56">
        <v>2417000</v>
      </c>
    </row>
    <row r="1212" spans="2:7" x14ac:dyDescent="0.15">
      <c r="B1212">
        <v>2026</v>
      </c>
      <c r="C1212">
        <v>12</v>
      </c>
      <c r="D1212" t="s">
        <v>70</v>
      </c>
      <c r="E1212" t="s">
        <v>84</v>
      </c>
      <c r="F1212" t="s">
        <v>62</v>
      </c>
      <c r="G1212" s="56">
        <v>1169000</v>
      </c>
    </row>
    <row r="1213" spans="2:7" x14ac:dyDescent="0.15">
      <c r="B1213">
        <v>2026</v>
      </c>
      <c r="C1213">
        <v>12</v>
      </c>
      <c r="D1213" t="s">
        <v>70</v>
      </c>
      <c r="E1213" t="s">
        <v>84</v>
      </c>
      <c r="F1213" t="s">
        <v>75</v>
      </c>
      <c r="G1213" s="56">
        <v>850000</v>
      </c>
    </row>
    <row r="1214" spans="2:7" x14ac:dyDescent="0.15">
      <c r="B1214">
        <v>2026</v>
      </c>
      <c r="C1214">
        <v>12</v>
      </c>
      <c r="D1214" t="s">
        <v>70</v>
      </c>
      <c r="E1214" t="s">
        <v>84</v>
      </c>
      <c r="F1214" t="s">
        <v>88</v>
      </c>
      <c r="G1214" s="56">
        <v>807000</v>
      </c>
    </row>
    <row r="1215" spans="2:7" x14ac:dyDescent="0.15">
      <c r="B1215">
        <v>2026</v>
      </c>
      <c r="C1215">
        <v>12</v>
      </c>
      <c r="D1215" t="s">
        <v>70</v>
      </c>
      <c r="E1215" t="s">
        <v>84</v>
      </c>
      <c r="F1215" t="s">
        <v>93</v>
      </c>
      <c r="G1215" s="56">
        <v>511000</v>
      </c>
    </row>
    <row r="1216" spans="2:7" x14ac:dyDescent="0.15">
      <c r="B1216">
        <v>2026</v>
      </c>
      <c r="C1216">
        <v>12</v>
      </c>
      <c r="D1216" t="s">
        <v>70</v>
      </c>
      <c r="E1216" t="s">
        <v>71</v>
      </c>
      <c r="F1216" t="s">
        <v>55</v>
      </c>
      <c r="G1216" s="56">
        <v>1795000</v>
      </c>
    </row>
    <row r="1217" spans="2:7" x14ac:dyDescent="0.15">
      <c r="B1217">
        <v>2026</v>
      </c>
      <c r="C1217">
        <v>12</v>
      </c>
      <c r="D1217" t="s">
        <v>70</v>
      </c>
      <c r="E1217" t="s">
        <v>71</v>
      </c>
      <c r="F1217" t="s">
        <v>62</v>
      </c>
      <c r="G1217" s="56">
        <v>836000</v>
      </c>
    </row>
    <row r="1218" spans="2:7" x14ac:dyDescent="0.15">
      <c r="B1218">
        <v>2026</v>
      </c>
      <c r="C1218">
        <v>12</v>
      </c>
      <c r="D1218" t="s">
        <v>70</v>
      </c>
      <c r="E1218" t="s">
        <v>71</v>
      </c>
      <c r="F1218" t="s">
        <v>75</v>
      </c>
      <c r="G1218" s="56">
        <v>629000</v>
      </c>
    </row>
    <row r="1219" spans="2:7" x14ac:dyDescent="0.15">
      <c r="B1219">
        <v>2026</v>
      </c>
      <c r="C1219">
        <v>12</v>
      </c>
      <c r="D1219" t="s">
        <v>70</v>
      </c>
      <c r="E1219" t="s">
        <v>71</v>
      </c>
      <c r="F1219" t="s">
        <v>88</v>
      </c>
      <c r="G1219" s="56">
        <v>592000</v>
      </c>
    </row>
    <row r="1220" spans="2:7" x14ac:dyDescent="0.15">
      <c r="B1220">
        <v>2026</v>
      </c>
      <c r="C1220">
        <v>12</v>
      </c>
      <c r="D1220" t="s">
        <v>70</v>
      </c>
      <c r="E1220" t="s">
        <v>71</v>
      </c>
      <c r="F1220" t="s">
        <v>93</v>
      </c>
      <c r="G1220" s="56">
        <v>375000</v>
      </c>
    </row>
  </sheetData>
  <mergeCells count="14">
    <mergeCell ref="C14:F14"/>
    <mergeCell ref="C15:F15"/>
    <mergeCell ref="C16:F16"/>
    <mergeCell ref="B18:G18"/>
    <mergeCell ref="C9:F9"/>
    <mergeCell ref="C10:F10"/>
    <mergeCell ref="C11:F11"/>
    <mergeCell ref="C12:F12"/>
    <mergeCell ref="C13:F13"/>
    <mergeCell ref="B2:N2"/>
    <mergeCell ref="C5:F5"/>
    <mergeCell ref="C6:F6"/>
    <mergeCell ref="C7:F7"/>
    <mergeCell ref="C8:F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7</vt:i4>
      </vt:variant>
    </vt:vector>
  </HeadingPairs>
  <TitlesOfParts>
    <vt:vector size="12" baseType="lpstr">
      <vt:lpstr>Dashboard</vt:lpstr>
      <vt:lpstr>Datos</vt:lpstr>
      <vt:lpstr>Cálculos</vt:lpstr>
      <vt:lpstr>Análisis</vt:lpstr>
      <vt:lpstr>Configuración</vt:lpstr>
      <vt:lpstr>Análisis!Área_de_impresión</vt:lpstr>
      <vt:lpstr>Dashboard!Área_de_impresión</vt:lpstr>
      <vt:lpstr>lst_FiltroCategoria</vt:lpstr>
      <vt:lpstr>lst_FiltroRegion</vt:lpstr>
      <vt:lpstr>lst_FiltroSucursal</vt:lpstr>
      <vt:lpstr>lst_MesAb</vt:lpstr>
      <vt:lpstr>lst_Meses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Sistema de Inteligencia de Negocios — Retail Andina S.A.</dc:title>
  <dc:subject>Dashboard ejecutivo de ventas y rentabilidad (trabajo académico)</dc:subject>
  <dc:creator>Nicolás Alderete</dc:creator>
  <dc:description>Dataset sintético de retail (ene-2025 a jun-2026), capa de cálculo con SUMIFS y tablero ejecutivo con filtros dinámicos, storytelling e interpretación cognitiva.</dc:description>
  <cp:lastModifiedBy>Nicolas Alderete</cp:lastModifiedBy>
  <cp:revision>1</cp:revision>
  <dcterms:created xsi:type="dcterms:W3CDTF">2026-08-19T03:00:21Z</dcterms:created>
  <dcterms:modified xsi:type="dcterms:W3CDTF">2026-08-19T03:33:12Z</dcterms:modified>
  <dc:language>en-US</dc:language>
</cp:coreProperties>
</file>